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10451" firstSheet="1" activeTab="1"/>
  </bookViews>
  <sheets>
    <sheet name="高考志愿填报指南" sheetId="4" state="hidden" r:id="rId1"/>
    <sheet name="院校录取信息表" sheetId="6" r:id="rId2"/>
    <sheet name="自动生成专业初选表" sheetId="2" r:id="rId3"/>
    <sheet name="自动生成最终志愿表" sheetId="3" r:id="rId4"/>
    <sheet name="广东省2024年普通高校春季依据学考录取普通类投档情况 " sheetId="10" state="hidden" r:id="rId5"/>
    <sheet name="广东省2025年普通高校春季依据学考录取普通类投档情况 " sheetId="9" state="hidden" r:id="rId6"/>
    <sheet name="广东省2024年普通高校春季“3+证书”录取专科投档情况" sheetId="8" state="hidden" r:id="rId7"/>
    <sheet name="广东省2025年普通高校春季“3+证书”录取专科投档情况" sheetId="7" state="hidden" r:id="rId8"/>
  </sheets>
  <definedNames>
    <definedName name="切片器_平均最低分">#N/A</definedName>
    <definedName name="切片器_2024最低分">#N/A</definedName>
    <definedName name="切片器_2025最低分">#N/A</definedName>
    <definedName name="切片器_类型">#N/A</definedName>
    <definedName name="_xlnm._FilterDatabase" localSheetId="2" hidden="1">自动生成专业初选表!$A$2:$O$121</definedName>
    <definedName name="_xlnm._FilterDatabase" localSheetId="1" hidden="1">院校录取信息表!$5:$738</definedName>
    <definedName name="_xlnm.Criteria" localSheetId="1">院校录取信息表!#REF!</definedName>
  </definedNames>
  <calcPr calcId="144525"/>
</workbook>
</file>

<file path=xl/comments1.xml><?xml version="1.0" encoding="utf-8"?>
<comments xmlns="http://schemas.openxmlformats.org/spreadsheetml/2006/main">
  <authors>
    <author>LEN</author>
  </authors>
  <commentList>
    <comment ref="C2" authorId="0">
      <text>
        <r>
          <rPr>
            <b/>
            <sz val="12"/>
            <rFont val="宋体"/>
            <charset val="134"/>
          </rPr>
          <t>LEN:</t>
        </r>
        <r>
          <rPr>
            <sz val="12"/>
            <rFont val="宋体"/>
            <charset val="134"/>
          </rPr>
          <t xml:space="preserve">
在下列填写志愿标号如：
11、12、13、14、15、……
可自动生成专业初选表</t>
        </r>
      </text>
    </comment>
  </commentList>
</comments>
</file>

<file path=xl/sharedStrings.xml><?xml version="1.0" encoding="utf-8"?>
<sst xmlns="http://schemas.openxmlformats.org/spreadsheetml/2006/main" count="17824" uniqueCount="1197">
  <si>
    <t>100%不滑挡、不退档志愿填报六步法</t>
  </si>
  <si>
    <r>
      <rPr>
        <b/>
        <sz val="11"/>
        <color theme="1"/>
        <rFont val="微软雅黑"/>
        <charset val="134"/>
      </rPr>
      <t>第一步：查位次（这是基础中的基础！）</t>
    </r>
    <r>
      <rPr>
        <sz val="11"/>
        <color theme="1"/>
        <rFont val="宋体"/>
        <charset val="134"/>
        <scheme val="minor"/>
      </rPr>
      <t>不要只看分数，更重要看位次，并按照自己位次*1.05来定位。</t>
    </r>
  </si>
  <si>
    <t>第二步：筛范围（别被众多院校淹没！）</t>
  </si>
  <si>
    <t xml:space="preserve">      思路1：圈定地域 你想留在家乡还是去北上广深？或者是向往那些山清水秀的城市？先把低于圈定！</t>
  </si>
  <si>
    <t xml:space="preserve">      思路2：筛选院校层次 如果过了本科线，优先关注具有保研资格的370所院校。</t>
  </si>
  <si>
    <r>
      <rPr>
        <b/>
        <sz val="11"/>
        <color theme="1"/>
        <rFont val="微软雅黑"/>
        <charset val="134"/>
      </rPr>
      <t>第三步：找标杆（志愿填报的分水岭）</t>
    </r>
    <r>
      <rPr>
        <sz val="11"/>
        <color theme="1"/>
        <rFont val="宋体"/>
        <charset val="134"/>
        <scheme val="minor"/>
      </rPr>
      <t>什么是标杆院校？就是以你的位次为基准，找到刚好能录取的那所学校！标杆等位分加权计算法则</t>
    </r>
    <r>
      <rPr>
        <sz val="11"/>
        <color theme="1"/>
        <rFont val="微软雅黑"/>
        <charset val="134"/>
      </rPr>
      <t>=（2023等效分*40%）+（2022等效分*35%）+（2021等效分*25%）</t>
    </r>
  </si>
  <si>
    <t xml:space="preserve">       标杆院校是你志愿规划的“分水岭”：</t>
  </si>
  <si>
    <t xml:space="preserve">       .标杆以上的院校=“冲”</t>
  </si>
  <si>
    <t xml:space="preserve">       .标杆以下的院校=“稳和保”</t>
  </si>
  <si>
    <r>
      <rPr>
        <b/>
        <sz val="11"/>
        <color theme="1"/>
        <rFont val="微软雅黑"/>
        <charset val="134"/>
      </rPr>
      <t>第四步：险冲稳保垫兜（志愿填报的黄金配比）</t>
    </r>
    <r>
      <rPr>
        <sz val="11"/>
        <color theme="1"/>
        <rFont val="宋体"/>
        <charset val="134"/>
        <scheme val="minor"/>
      </rPr>
      <t>这一步是精髓所在！</t>
    </r>
  </si>
  <si>
    <t xml:space="preserve">       我建议的黄金配比是险（10%）、冲（10%）、稳（30%）、保（20%）、垫（10%）、兜（10%）</t>
  </si>
  <si>
    <t xml:space="preserve">    【险】志愿（5个）</t>
  </si>
  <si>
    <t xml:space="preserve">     分数范围：标杆以上5-10分以内</t>
  </si>
  <si>
    <t xml:space="preserve">     志愿占比：10%</t>
  </si>
  <si>
    <t xml:space="preserve">      注意事项：如果你所在省是“专业+院校”模式（如河北、浙江），只填喜欢的专业；</t>
  </si>
  <si>
    <t xml:space="preserve">                如果是“院校+专业组”模式（如河南、江苏），要检查专业组内的所有专业是否都能接受！</t>
  </si>
  <si>
    <t xml:space="preserve">    【冲】志愿（5个）</t>
  </si>
  <si>
    <t xml:space="preserve">     分数范围：标杆以上0-5分以内</t>
  </si>
  <si>
    <t xml:space="preserve">    【稳】志愿（16个）</t>
  </si>
  <si>
    <t xml:space="preserve">     分数范围：标杆以下0-5分以内</t>
  </si>
  <si>
    <t xml:space="preserve">     志愿占比：30%</t>
  </si>
  <si>
    <t xml:space="preserve">      重点检查：专业接受度、近三年热度变化、招生计划（扩招的更稳）</t>
  </si>
  <si>
    <t xml:space="preserve">                稳，就是要稳！这部分志愿是你的主力军，务必精挑细选。</t>
  </si>
  <si>
    <t xml:space="preserve">    【保】志愿（12个）</t>
  </si>
  <si>
    <t xml:space="preserve">     分数范围：标杆以下5-10分以内</t>
  </si>
  <si>
    <t xml:space="preserve">     志愿占比：20%</t>
  </si>
  <si>
    <t xml:space="preserve">                保，就是要保！这部分志愿是你的主力军，务必精挑细选。</t>
  </si>
  <si>
    <t xml:space="preserve">    【垫】志愿（5个）</t>
  </si>
  <si>
    <t xml:space="preserve">     分数范围：标杆以下10-15分以内</t>
  </si>
  <si>
    <t xml:space="preserve">      核心目的：通过“亏分”来确保兜底</t>
  </si>
  <si>
    <t xml:space="preserve">    【兜】志愿（5个）</t>
  </si>
  <si>
    <t xml:space="preserve">     分数范围：标杆以下15-20分以内</t>
  </si>
  <si>
    <t xml:space="preserve">    有人会说“亏20分太多了吧？”但你要知道，滑档比退档更可怕！对于新高考省份，如果本科批滑档了，就直接专科批，没有第二次机会！宁可委屈自己一点，也不要冒失去本科机会的风险！</t>
  </si>
  <si>
    <t>第五步：排顺序（志愿顺序有讲究）</t>
  </si>
  <si>
    <t xml:space="preserve">      志愿顺序要遵循两大原则：</t>
  </si>
  <si>
    <t xml:space="preserve">   1.整体按“险-冲-稳-保-垫-兜”从高到底排，千万别志愿倒挂</t>
  </si>
  <si>
    <t xml:space="preserve">   2.分数/位次相近时，把喜欢的专业/院校优先排在前面</t>
  </si>
  <si>
    <t xml:space="preserve">  记住：这不是简单的按分数到底排序，而是要在合理的分数梯度内，优先考虑你的兴趣和未来发展！</t>
  </si>
  <si>
    <t>第六步：检查表（最后的安全网）</t>
  </si>
  <si>
    <t xml:space="preserve">  最关键的一步来了！填报完毕后，一定要做这两项检查：</t>
  </si>
  <si>
    <r>
      <rPr>
        <b/>
        <sz val="11"/>
        <color theme="1"/>
        <rFont val="微软雅黑"/>
        <charset val="134"/>
      </rPr>
      <t xml:space="preserve">    防滑挡检查：</t>
    </r>
    <r>
      <rPr>
        <sz val="11"/>
        <color theme="1"/>
        <rFont val="宋体"/>
        <charset val="134"/>
        <scheme val="minor"/>
      </rPr>
      <t>最后一个保底志愿是否足够低（降</t>
    </r>
    <r>
      <rPr>
        <sz val="11"/>
        <color theme="1"/>
        <rFont val="微软雅黑"/>
        <charset val="134"/>
      </rPr>
      <t>20</t>
    </r>
    <r>
      <rPr>
        <sz val="11"/>
        <color theme="1"/>
        <rFont val="宋体"/>
        <charset val="134"/>
        <scheme val="minor"/>
      </rPr>
      <t>分以上）</t>
    </r>
  </si>
  <si>
    <t xml:space="preserve">    防退档检查:</t>
  </si>
  <si>
    <t xml:space="preserve">  查阅招生章程，确认专业录取条件</t>
  </si>
  <si>
    <t xml:space="preserve">  检查单科要求、身体条件等是否符合</t>
  </si>
  <si>
    <t xml:space="preserve">  普通批次务必服从调剂！（提前批可以考虑不服从）</t>
  </si>
  <si>
    <t>2025高考志愿填报特别提醒</t>
  </si>
  <si>
    <t>为帮助考生适应“新高考”，各省都会组织高考综合改革适应性演练，提前熟悉志愿填报流程和办法。建议大家一定要参加这些演练，提前熟悉操作系统。</t>
  </si>
  <si>
    <t>不同省份的志愿填报模式有很大差异;</t>
  </si>
  <si>
    <t xml:space="preserve"> “专业+院校”模式（7个省份）：无专业调剂，需精准选择专业</t>
  </si>
  <si>
    <t xml:space="preserve"> “院校+专业组”模式（其余省份）：调剂限于同一专业组内</t>
  </si>
  <si>
    <t>核对备份
不能修改及删除</t>
  </si>
  <si>
    <t>广东春季学考3+证书</t>
  </si>
  <si>
    <t>志愿
初选标记</t>
  </si>
  <si>
    <t>2026年广东学考一对一志愿填报</t>
  </si>
  <si>
    <t>填报志愿3月初190公办</t>
  </si>
  <si>
    <t>面向高中生</t>
  </si>
  <si>
    <t>分数</t>
  </si>
  <si>
    <t>位次</t>
  </si>
  <si>
    <t>院校信息</t>
  </si>
  <si>
    <t>类型</t>
  </si>
  <si>
    <t>院校
代码</t>
  </si>
  <si>
    <t>院校名称</t>
  </si>
  <si>
    <t>专业组代码</t>
  </si>
  <si>
    <t>2025计划数</t>
  </si>
  <si>
    <t>2024计划数</t>
  </si>
  <si>
    <t>2025投档数</t>
  </si>
  <si>
    <t>2024投档数</t>
  </si>
  <si>
    <t>2025最低分</t>
  </si>
  <si>
    <t>2024最低分</t>
  </si>
  <si>
    <t>2025最低位次</t>
  </si>
  <si>
    <t>2024最低位次</t>
  </si>
  <si>
    <t>平均最低分</t>
  </si>
  <si>
    <t>平均最低位次</t>
  </si>
  <si>
    <t>省份</t>
  </si>
  <si>
    <t>城市</t>
  </si>
  <si>
    <t>院校类型</t>
  </si>
  <si>
    <t>院校层次</t>
  </si>
  <si>
    <t>主管
部门</t>
  </si>
  <si>
    <t>办学
性质</t>
  </si>
  <si>
    <t>城市
水平标签</t>
  </si>
  <si>
    <t>院校标签</t>
  </si>
  <si>
    <t>院校
水平</t>
  </si>
  <si>
    <t>院校简介</t>
  </si>
  <si>
    <t>历史沿革</t>
  </si>
  <si>
    <t>学校官网</t>
  </si>
  <si>
    <t>招生网址</t>
  </si>
  <si>
    <t>招办电话</t>
  </si>
  <si>
    <t>院校地址</t>
  </si>
  <si>
    <t>校园VR</t>
  </si>
  <si>
    <t>院校排名</t>
  </si>
  <si>
    <t>院校百科</t>
  </si>
  <si>
    <t>招生章程</t>
  </si>
  <si>
    <t>依据学考</t>
  </si>
  <si>
    <t>深圳职业技术大学</t>
  </si>
  <si>
    <t>广东省</t>
  </si>
  <si>
    <t>深圳市</t>
  </si>
  <si>
    <t>职业本科</t>
  </si>
  <si>
    <t>公办</t>
  </si>
  <si>
    <t>一线城市</t>
  </si>
  <si>
    <t>省属/双高计划/高水平学校建设单位/国家级示范</t>
  </si>
  <si>
    <t>第一类高水平学校A档示范高职</t>
  </si>
  <si>
    <t>深圳职业技术学院1993年创建，是国内最早独立举办高等职业技术教育的院校之一。建校以来，深职院人艰苦创业，开拓进取，不断创新教育教学理念、办学体制机制和人才培养模式，创造了中国高职教育的多个第一。学校依托珠三角产业发展，秉承深圳特区改革创新精神，坚持把立德树人作为学校教育的根本任务，立足于职业教育产教融合的办学特色，各项事业取得骄人成绩，被誉为中国高职教育的“一面旗帜”。为紧密契合“中国制造2025”等国家重大战略和深圳创新驱动发展战略，学校在2016年底召开的第三次党代会工作报告中提出“三个服务、五个定位、一个率先”的战略发展目标，始终坚持为党和国家服务、为深圳经济社会发展服务、为学生健康成长成才服务，努力成为职业教育创新发展的先行者、复合式创新型高素质技术技能人才的摇篮、企业家的摇篮、深圳中小微企业技术研发中心、深圳市民终身教育学校与中国职业教育师资培训重要基地，率先建成中国特色、世界一流职业院校，为世界职业教育发展贡献“深圳模式”。////学校现有留仙洞、西丽湖、官龙山、华侨城、凤凰山五个校区，校园总面积212万平方米，学校产权校舍建筑面积57.34万平方米，其中教室10.75万平方米，图书馆5万平方米，体育馆3.34万平方米，实训实习场所10.14万平方米。现有固定资产总值23.66亿元，其中教学仪器设备总值9.58亿元,教学用计算机14525台。图书馆藏有纸质图书261.2万册，电子图书130万册，电子期刊60.54万册，中外文数据库46个，音视频16.07万小时。////全校现有教职员工2380人，其中专任教师1243人，正高217人，副高657人，博士408人，享受国务院特殊津贴专家2名，珠江学者5人、海外高层次人才25人、国家“万人计划”教学名师1人、国家级教学名师3人、省级教学名师8人、国家特支计划教师1人、广东特支计划教学名师4人。学校拥有教育部首批黄大年式教师团队1个；引进美国霍夫曼诺奖团队等一批重量级团队，成立霍夫曼先进材料研究院、智能科学与工程研究院、智能制造研究院、新时代中国职业教育研究院、社会与经济发展研究院等高端平台，为珠三角产业发展提供有力支撑。////学校设有电子与通信工程学院等17个二级学院和体育部、工业中心、国际教育部等教学单位，招生专业80个。全校普通全日制在校生22750人，其中港澳台留学生79人，四年制高职生284人，应用型本科生292人，外国留学生127人。自办专科教育在校生3536人。国家级教学成果奖14项，国家职业教育专业教学资源库3项，国家重点支持建设示范专业12个，中央财政支持实训基地9个，国家级精品教材12部，国家精品课程53门，国家级精品资源共享课43门。////学校一直把人才培养作为中心工作，以培养适应智能时代需要的复合式创新型高素质技术技能人才为目标，更新教育教学理念，探索实施以学生学习成效为导向的OBE（Outcome/Based/Education）人才培养模式改革，深入推进产教融合、职普融合、理实融合、技术与文化融合、教育与生活融合、现代信息技术与教学融合等“六个融合”，提升学生的就业能力、职业生涯拓展能力和幸福生活创造能力。瞄准未来社会和经济发展，紧贴深圳四大支柱产业和新兴产业布局专业，打造品牌专业，与华为、ARM、阿里巴巴、平安、比亚迪、裕同、天健等一流企业紧密合作，共建华为信息与网络技术学院、ARM智能硬件学院、阿里巴巴数字贸易学院、平安金融科技学院、比亚迪应用技术学院、裕同数字图文学院、天健建工学院等7所特色产业学院，校企共同制定专业标准、共同开发课程、共建师资团队、共同培养技术技能人才，在服务一流企业中成就自身一流。开设专业文化课程，大力培育工匠精神，厚植工匠文化，全面推进职业院校文化育人。学校已累计培养11万余名全日制专科毕业生，毕业生初次就业率始终保持在96%以上，多项人才培养质量指标位居全国高职院校前列，深受用人单位欢迎。其中，238人次获CCIE证书，13人获RHCA证书，57人获OCM证书，163人获HCIE证书，13人获RHCE证书。////学校探索实施创新创业教育改革，以“五维一体”的创新创业教育理念（重心在“教育”、路径在“分层”、目标在“万众”、核心在“创新”、关键在“实践”）为引领，打造深圳中小微企业技术研发中心、全球技术技能人才创新创业教育中心，以及创新型人才和企业家培养的成长摇篮。通过系统设计、科学构建，协同推进从启蒙教育、预科教育、专门教育到指导创办企业的进阶式创业人才培养体系，搭建“四会两赛三联盟”双创交流平台和“创新型社团—创客中心—学生创意创业园”双创实践平台，逐步完善跨界融合、产品试制、创业孵化、创业投资的双创服务体系，取得良好的社会效益。近年来获评首批全国创新创业典型经验高校、全国深化创新创业教育改革示范高校、广东省大众创业万众创新示范基地、深圳首批十大创新创业基地等。近四届毕业生毕业一年内自主创业比例达到5%，毕业三年后创业比例12.7%。////学校坚持以“产学研用”一体化的科研导向，重视技术转移和科技成果转化。近年来，学校不断深化科研体制机制改革，大力加强与政府职能部门以及行业企业合作，组建成立了应用技术研发院、文化创意产品研发院、经济与社会发展研究院等三大综合性研发平台，建成43个市区级以上科研平台,抢抓产业发展新机遇，服务地方经济社会和中小企业发展。全校累计承担各级各类科研课题5196项，其中国家级项目84项,年度新增国家自然科学基金项目10项。科研经费到账总经费达到8.06亿元，其中技术转移（横向科研）项目到账经费2.98亿元；出版各类学术专著226部、编著、译著和作品集共199部，61项科研成果获部、省、市级奖励；获国家专利授权1726项，软件著作权登记1136件，发明专利345项。主导或参与制定国际、国家、行业标准74项。////学校重视社会服务，发挥品牌优势，致力于推动现代职业教育培训体系和学习型社会建设。做好高水平师资培训，打造世界级的职业教育培训中心；做好职业培训、职业技能鉴定及职业资格认证工作，服务好地方经济发展需要；联合社区街道组建社区学院、特色学院，开展针对社区居民的健康、养老、旅游等培训项目，服务好地方社会发展需要；以办学理念和教学模式输出为主要内容，构建“理念—教学—师资—管理”四位一体的精准帮扶体系，服务好对口支援地区和院校的发展。全年重点对口帮扶11所职业院校，累计对口支援西藏、新疆、贵州等地11个省、自治区的200余所职业院校。全年举办33个全国高职高专师资培训班，累计为全国680余所职业院校培训骨干教师1.2万人次，连续5年名列全国第一。年均开展各类培训、职业技能鉴定与资格认证12万人次。组建西丽社区学院、大鹏旅游学院等社区学院，与社区共同培养技能人才，打造开放办学、产教融合的“职教特区”；选派核心团队建设管理吉安职业技术学院，开创了特区与老区携手共同发展职业教育的典范。////学校紧扣国家发展战略，加快国际化办学步伐，充分利用区域与自身优势，深化国际教育交流与合作。建校以来，已累计与32个国家和地区的162所高校和教育机构建立了友好合作关系，包括英国、德国、法国、美国等发达国家以及新西兰、马来西亚、保加利亚、土耳其、波兰、匈牙利、缅甸、老挝等14个“一带一路”沿线国家。双方在学生交换、课程合作、科研合作、短期研修等领域开展了全方位、多层次、形式多样的教师和学生国际交流活动，取得了丰硕的成果。近年来，我校年均接待境外来访师生及外宾108批次，658人次；我校赴境外参加国际交流的师生52批次，276人次。开办了国际商务（中澳）、金融管理（中澳）、物流管理（中美）和软件技术（中美）4个中外合作办学专业；与香港专业教育学院黄克竞分校合办电气服务工程高级文凭合作课程，毕业生获得深港两地毕业资格，并成为首批获得招收海外留学生资质的高职院校和首个获批面向港澳台自主招生的高职院校。学校还联合中兴、招商港口等一批世界一流企业“走出去”，服务国家“一带一路”倡议。在马来西亚马六甲应用技术大学设立职业教育与培训中心，推动马来西亚全国各类职业院校全面对接深职院标准。依托在保加利亚成立的职业教育与培训中心，输出学校专业标准。应邀为柬埔寨、蒙古等国家职业教育代表团举行专题培训班，输出职业教育经验。加强与职业教育国际组织的合作，成为联合国教科文组织国际职教全球联系中心之一，获批成立联合国教科文组织职业教育计划亚非研究与培训中心。在提高学校国际知名度与影响力的同时，为推动中国职业教育与语言文化走出去做出了积极贡献。////学校办学成绩显著。2001年首家通过国家示范性高职院校实践教学基地优秀评估，2009年通过国家示范性高等职业院校建设项目验收，成为我国高等职业教育领域首批国家级示范校。近年来，学校先后荣获“全国文明单位”、“全国职业教育先进单位”、“全国一流高职院校建设单位”、“首批全国创新创业典型经验高校”、“全国高校毕业生就业工作先进集体”、“中国十大最具就业力高职院校”、“全国毕业生就业工作典型经验高校”、“全国职业院校就业竞争力示范校”、“中国十大创新型高职院校”、“黄炎培优秀学校奖”、“全国高校实践育人创新创业基地”“广东省文明单位”、“广东省职业技术教育工作先进集体”、“广东省首批大学生创新创业教育示范学校”、“广东省一流高职院校建设单位”“深圳市创新创业基地”等荣誉称号。</t>
  </si>
  <si>
    <t>深圳职业技术大学于1993年创建，前身为深圳职业技术学院，是中国国内最早独立举办高等职业技术教育的院校之一。2000年、2004年原深圳市职业技术学校、深圳市卫生学校分别并入深圳职业技术学院。2006年深圳职业技术学院被确定为“国家示范性高等职业院校建设计划”首批立项建设院校，2009年学校顺利通过验收成为首批国家示范性高等职业院校。2023年6月，教育部发文同意以深圳职业技术学院为基础整合资源设立深圳职业技术大学，同时撤销深圳职业技术学院的建制。</t>
  </si>
  <si>
    <t>http://www.szpt.edu.cn/</t>
  </si>
  <si>
    <t>https://zhaosheng.szpt.edu.cn/</t>
  </si>
  <si>
    <t>0755/26731715、26731216</t>
  </si>
  <si>
    <t>深圳市南山区西丽街道留仙大道7098号</t>
  </si>
  <si>
    <t>https://www.720yun.com/t/d8vksm7e0d9</t>
  </si>
  <si>
    <t>https://baike.baidu.com/item/%E6%B7%B1%E5%9C%B3%E8%81%8C%E4%B8%9A%E6%8A%80%E6%9C%AF%E5%A4%A7%E5%AD%A6</t>
  </si>
  <si>
    <t>https://gaokao.chsi.com.cn/zsgs/zhangcheng/listZszc//schId/734.dhtml</t>
  </si>
  <si>
    <t>/</t>
  </si>
  <si>
    <t>深圳信息职业技术大学</t>
  </si>
  <si>
    <t>双高计划/高水平学校建设单位/国家级骨干/现代学徒制试点学院</t>
  </si>
  <si>
    <t>第二类高水平学校B档骨干高职现代学徒</t>
  </si>
  <si>
    <t>深圳信息职业技术学院创办于2002年4月，是经广东省人民政府批准、教育部备案，由深圳市人民政府举办的公办全日制高等院校。//学校现为国家示范（骨干）高职院校、国家示范性软件职业技术学院、教育部“中德职教汽车机电合作项目”试点院校，现拥有3个国家级高等职业教育专业教学资源库（含1个备选项目）。学校拥有现代化、生态型、信息化的校园，占地92.6万平方米（1389亩），建筑面积58.86万平方米。学校现有教学科研仪器设备总值为36786.36万元，图书馆藏书131.33万册。//学校对接深圳支柱产业，打造信息技术特色，共设软件学院、电子与通信学院、计算机学院、数字媒体学院、智能制造与装备学院、交通与环境学院、管理学院、财经学院、应用外语学院、中德学院、马克思主义学院、继续教育学院、创新创业学院、创新教育研究院、公共课教学部、体育部、信息技术研究所等14院2部1所；开设信息类为主的专业44个。现有国家骨干校重点建设专业4个，国家高等职业学校提升专业服务产业发展能力建设专业2个，全国职业院校示范专业点2个，国家高等职业教育教学资源库建设项目3个（含1个备选项目），广东省示范性专业4个，省级重点建设专业6个，省级品牌专业11个；国家级精品资源共享课7门、省级精品资源共享课（含精品在线开放课）38门、省级思想政治理论优质建设课程2门。//学校现有教职工796人，在590位专任教师中，副高及以上职称教师301人，其中，博士、博士后275人，“双师素质”教师九成。目前，学校拥有国家级教学团队1个，获国家级教学名师奖1人，获全国五一劳动奖章1人，国家万人计划教学名师1名，广东省教学名师奖3人，广东省“特支计划”教学名师3人，省级教学团队7个，南粤优秀教师7人，广东省“千百十人才培养工程”省级培养对象6人，广东省“珠江学者”特聘教授4人，深圳市“鹏城学者”特聘教授3人，深圳市政府特殊津贴1人，黄炎培职业教育杰出教师奖1人，深圳市高层次专业人才地方级领军人才9名，后备级领军人才21人，博士后创新实践基地在站博士后3人。//学校坚持科研引领、教研创新、突出应用、服务社会。已主持国家自然科学基金等国家级项目26项、省市级科研项目517项，教研课题国家级6项、省市级49项，深圳市首批教育科研专家工作室1个。获得国家级高等学校教学成果一等奖1项、二等奖2项，省级教学成果一等奖6项、二等奖4项，广东省科学技术二等奖2项、三等奖2项，国家教师科研基金“十一五”规划重点课题科研成果一等奖1项，深圳市科技进步奖2项，深圳市科技创新奖2项，深圳市科学技术奖自然科学奖1项，深圳市哲学社会科学优秀成果奖7项，中国人工智能学会进步奖二等奖；拥有发明专利62项，实用新型专利203项，外观设计专利8项。//学校坚持校企合作办学，积极推进产教融合协同育人，创新合作办学机制，探索校企合作模式，在校内构建了“三会两办”的办学机制，并打造了“学院+行业企业”的校企合作模式。学校用2万平米实训场地，引企入校，合作共建实践教学基地、科技创新平台等，基地目前建有2个省级创新平台、1个先进土木研究中心、1个智能制造实训中心、5个校级协同创新中心等创新载体。学校有国家级高等职业教育实训基地2个，省级高等职业教育实训基地11个，省级公共实训中心1个，省级大学生校外实践教学基地12个，深圳市高职教育校外公共实训基地33个。//学校建构高素质高技能人才培养机制，不断提升高就业率、高满意度办学效益。现有全日制在校生15468人，学校坚持产教融合、校企合作、因材施教、特色发展。近三年，学生参加专业技能竞赛共获国家级奖项137个，省级二等奖以上315个。毕业生“下得去、留得住、用得上、干得好”，毕业生总体就业率均在98%以上。毕业生被华为、腾讯、深圳地铁、中国联通等著名企业录用，产生了被《华尔街日报》报道为“中国最年轻90后千万富豪”丁仕源、拥有8家公司的速运邦邦CEO陈家良等创业典型。//学校积极引进国际先进教学资源，不断形成国际化办学特色。2012年，学校成为教育部“中德职教汽车机电合作项目”试点院校；2013年11月学校与西双版纳职业技术学院正式签署合作协议共建“深圳信息/西双版纳国际留学生基地”/并揭牌；2016年9月，由深圳市教育局和德国巴伐利亚州文教部推动，我校与德国巴伐利亚州帕绍技术学校、兰茨胡特应用技术大学合作创办中德学院；2018年5月，学校与芬兰于韦斯屈莱应用科技大学签订战略合作协议全面启动两校战略合作项目；此外，学校还与加拿大谢尔丹理工学院、韩国京畿大学、台湾地区朝阳科技大学、树德科技大学、龙华科技大学、台北城市科技大学、亚太创意技术学院等26所高校开展了师生交流、合作科研等项目。//学校跨越发展，已跻身全国高职院校“第一方阵”。2004年，学校成为“国家示范性软件职业技术学院”建设院校；2007年，以优异成绩通过教育部人才培养工作水平评估；2010年，成为国家骨干高职院校建设单位；2011年，获国家高等职业教育网络技术专业共享型教学资源库建设立项；2012年，入选教育部“中德职教汽车机电合作项目”试点院校；2014年获国家高等职业教育数字媒体专业群教学资源库立项；2015年，深圳市人力资源与社会保障局同意批准我校设立博士后创新实践基地；2016年，学校国家骨干校建设项目以“优秀”等级通过国家验收、获广东省“一流校”建设立项、学校“2188创客空间”被国家科学技术部认定为国家级众创空间，2016年学校又成功召开了第二次党代会，进一步确立了“全力打造有特色国际化一流职业院校”的奋斗目标。//青春深信成新锐，勇向潮头唱大风。学校将继续开拓奋进，勇于不断创新，努力把学校打造成有特色国际化一流职业院校。</t>
  </si>
  <si>
    <t>学校原名为深圳信息职业技术学院，于2002年4月由深圳教育学院、深圳市工业学校、深圳市财经学校三所学校合并组建；2011年9月，学校从深圳市罗湖区迁至深圳市龙岗区。2012年，学校入选教育部“中德职教汽车机电合作项目”试点院校。2021年，学校获批设立广东省博士工作站。2025年6月，教育部发函广东省，同意以深圳信息职业技术学院为基础设立深圳信息职业技术大学，同时撤销深圳信息职业技术学院的建制。2026年1月，深圳信息职业技术大学正式成立。</t>
  </si>
  <si>
    <t>http://www.sziit.com.cn/</t>
  </si>
  <si>
    <t>http://zhaob.sziit.edu.cn/index.htm</t>
  </si>
  <si>
    <t>075589226360、075589226361</t>
  </si>
  <si>
    <t>深圳市龙岗区龙翔大道2188号</t>
  </si>
  <si>
    <t>https://www.720yun.com/t/d4528mpguus</t>
  </si>
  <si>
    <t>https://baike.baidu.com/item/%E6%B7%B1%E5%9C%B3%E4%BF%A1%E6%81%AF%E8%81%8C%E4%B8%9A%E6%8A%80%E6%9C%AF%E5%AD%A6%E9%99%A2</t>
  </si>
  <si>
    <t>https://gaokao.chsi.com.cn/zsgs/zhangcheng/listZszc//schId/1429.dhtml</t>
  </si>
  <si>
    <t>广东轻工职业技术大学</t>
  </si>
  <si>
    <t>广州市</t>
  </si>
  <si>
    <t>省属/双高计划/高水平学校建设单位/国家级示范/现代学徒制试点学院</t>
  </si>
  <si>
    <t>第二类高水平学校B档示范高职现代学徒</t>
  </si>
  <si>
    <t>广东轻工职业技术学院创建于1933年，是省属唯一国家示范性高等职业院校，全国“双高”高职院校建设单位。前身是“广东省立第一职业学校”，至今已有86年职业教育历史，其中1959/1963年和1978/1983年两段时期，学校开办本科教育，现有全日制在校生21000余人。学校秉承“德能兼备，学以成之”的校训和“自强、敬业、求实、创新”的广轻精神，为珠三角地区乃至全国输送数万名高素质高技能应用型人才。////办学条件好////学校现有广州和南海两个校区，其中广州校区定位为“大文科校区”，文科、艺术类专业面向广州现代服务业；南海校区成为“大工科校区”，工科专业面向珠江西岸高端制造业，校园总面积1700多亩，校舍建筑面积43万多平方米，其中教学科研实训用房近20万平方米，图书馆3万多平方米，学生公寓近16万平方米。固定资产总值15.5亿元，教学仪器设备总值2亿多元，学校图书馆拥有藏书近160万册，电子图书200多万册。网络信息点数2万多个，音视频电子资源1万多小时，学校校园无线网络全覆盖。建有校内实践教学基地近350个、校外实训实习基地900多个。////办学成果优异////学校是广东省唯一拥有7个省级工程技术开发中心的高职院校，是同时拥有省级协同发展中心及协同育人平台的两所高职院校之一，是全国第一批教育信息化试点单位、教育部现代学徒制试点单位、全国高校思政研究会高职高专专业委员会副会长单位（广东省会长单位）、全国跨境电商专业人才培养示范校、全国群众体育先进单位、全国高职“一校一品”示范单位、全国社会实践工作优秀单位、广东省依法治校示范校单位、广东省创新创业示范校单位、广东省安全文明校园示范校单位、广东省示范职业教育集团、广东省集团化办学单位、国防教育特色学校。学校立项“国家标杆党支部”1个，并先后获得全国高等职业院校全国服务贡献50强（连续两年）、全国高等职业院校实习管理50强、全国高等职业院校教学资源50强、全国高等职业院校学生管理50强、全国高等职业院校教学管理50强、全国高等职业院校育人成效50强、亚太职业院校影响力50强、全国示范性高职院校影响力排行榜30强、全国普通高校竞赛评估（高职）20强，全国高职院校思政工作创新优秀示范案例50强。全国高职院校创新创业示范校50强。2019年中国高职高专院校综合竞争力排行榜第9名。////多功能文化食堂、智能垃圾分类系统等创新性后勤改革领先全国。////师资队伍结构合理，业务水平高////学校现有教职工1200余人，其中高级职称教师400余人（二级教授9人），珠江学者9/人，“双师”素质教师70/0余人；国务院特殊津贴专家2人，全国模范教师2人，国家级教学名师2人，国家级教学团队2个，国家“万人计划”教学名师1人，全国技术能手2人，全国青年岗位能手1人，全国高校思想政治理论课教师影响力人物2人，全国轻工行业先进工作者1人，中国轻工职业教育教学名师1人，全国辅导员年度人物1名，广东省高校“千百十工程”国家级培养对象2人，南粤优秀教师11人，南粤优秀教育工作者4人，广东省“特支计划”教学名师、广东省教学名师、专业领军人才等名师专家近70人。建立了一个由企业一线工作的技术人员、能工巧匠、高级经理人等组成的优质兼职教师资源库，兼职教师与专业专任教师数之比达到1:1以上。学校在广东省高职院校教师队伍建设考核中连续三年排名第一。2019年全国高职院校教师教学发展指数排前十名。////教学成果丰硕////学校设有机电技术学院、食品与生物技术学院、轻化工技术学院、信息技术学院、汽车技术学院、生态环境技术学院、艺术设计学院、财贸学院、管理学院、应用外语学院、创业学院、马克思主义学院和继续教育学院，三个协同教学中心（工业机器人协同教学中心、现代信息技术与新工科协同教学中心、应用外语协同教学中心），设20个专业群、69个招生专业。2016年11月，学校成立创业学院，面向全体学生进行创新创业通识教育，面向精英学生进行创新创业定制培养。学校已建成国家示范性专业4个、央财“支持高等职业学校提升专业服务产业发展能力”项目经费支持专业2个、省级示范性专业3个、省级重点（建设）专业13个、省级品牌专业建设项目13个，建有国家级教学资源库1个、国家级精品课程10门、国家级精品资源共享课程9门、全国高校职业发展与就业指导示范课程1门、国家教指委精品课程22门、省级精品课程21门、省级优质课程2门，立项省级精品开放课程4/5门，其中已验收3门，在建省级专业资源库2个。2009年以来，学校共获得国家级优秀教学成果二等奖10项，行业教指会特等奖2个，省级优秀教学成果一等奖9项，省级优秀教学成果二等奖5项。////职教特色明显，人才培养质量高////学校是教育部现代学徒制试点单位，已立项国家级现代学徒制试点项目3项，省级现代学徒制试点项目/9项。学校积极构建职业教育“立交桥”，全面实施“纵向延伸，横向拓展”协同育人模式，开展了“3+2”中高衔接、“2+2”和“4+0”高本联培、“3+2”高本衔接、工程硕士培养等多种形式的协同培养，其中本科专业共1/3个，搭建起“中/高/本/硕”现代职业教育体系框架。连续多年，录取人数和录取分数线均位居省内同类院校前茅，文理类、艺术类高考录取分数线均高于本科省控线。毕业生深受用人单位欢迎，母校的满意度和薪资水平高于全国示范校平均水平，初次就业率高于98%，用人单位满意度99%以上。学生在各级各类技能大赛中获奖数量与质量节节攀升。近三年来，共获得国家级奖项500多个、省部级奖项1000余个。////产教融合，社会服务能力强////学校构建并不断完善政校行企协同促进产教融合长效机制，围绕高水平专业群建设，打造“一群一院一联盟”，搭建了广东轻工职教集团、轻工行业应用技术协同创新发展中心、南海职业教育政校行企协同创新联盟、广东省工业互联网产教联盟、粤港澳数字创意产教联盟、粤港澳跨境电商产教联盟、广东酒店职业教育联盟、全国精准营养食品与果蔬加工产教联盟、国家中小微企业知识产权培训基地等产学研创新、科技研发与转化平台，与华为等世界500强知名企业合作成立了华为ICT学院、瀚蓝环境学院、白天鹅学院、雷诺钟表学院、许鸿飞国际文创学院等10个产业学院，实现校企精准对接，产教深度融合，精准育人。近五年，获国家级科技项目4项、省级36项；国家级、省级科技奖励13项；面向企业开展科技攻关项目200余项。申报专利近430项，授权近300项，专利申请量连续多年位列广州地区高校（含本科）前十名。////坚持对外合作，国际化办学水平高////学校积极广泛开展对外交流与合作，已与国（境）外多所高等院校建立了合作关系，在引进智力与优质教育资源、人才培养、合作办学、汉语言培训等方面开展了实质性的合作。累计已招收来自30多个国家的留学生4/00余名。2017年，学校牵头组建广东省“一带一路”职业教育联盟，输出广轻职教模式，服务“一带一路”沿线国家及地区，国际化办学呈现新气象。////构建终身教育体系，服务广东经济社会////依托“国家中小微企业知识产权培训（南海）基地”“广东轻工培训中心”“职教师资优质省级基地”“广东省专业技术人员继续教育基地”“广东省职业技能鉴定所”等国家级和省级平台，并设有专门和专业性培训机构30多个，面向社会、社区和产业、行业积极开展各级各类培训服务，年培训量超15万人天；与本科院校进行网络远程教育及自学考试合作，并在深圳、佛山、珠海、韶关等地设立12个校外专科继续教育教学点，学校各类学历继续教育在读人数4000余人。////“十三五”期间，学校将遵循“三大一强”院校治理理念，围绕“创新强校工程”及一流高职院校建设，努力把学校建成“国内一流、国际知名”国家优质高职院校，成为高职院校治理的标准与典范，成为高素质技术技能型人才培养的典范。</t>
  </si>
  <si>
    <t>学校创建于1933年，原名广东省立第一职业学校，学校数易其名，先后更名为广东省立广州农工业职业学校、广东省立广州工业职业学校、广东省立广州高级工业职业学校、广东省广州高级工业技术学校、广东省轻工业学校、广东轻工业学院、广州轻工业学校等 ，1959～1963年和1978～1983年曾开办本科职业教育。 1999年，学校升格为广东轻工职业技术学院。 2020年，广东省轻工职业技术学校、广东省石油化工职业技术学校并入。 2024年6月，教育部正式同意在广东轻工职业技术学院的基础上设立广东轻工职业技术大学。 9月3日，广东轻工职业技术大学正式揭牌。</t>
  </si>
  <si>
    <t>http://www.gdqy.edu.cn/</t>
  </si>
  <si>
    <t>http://gdqyzs.jysd.com/</t>
  </si>
  <si>
    <t>020/61230198</t>
  </si>
  <si>
    <t>广州市新港西路152号</t>
  </si>
  <si>
    <t>https://baike.baidu.com/item/%E5%B9%BF%E4%B8%9C%E8%BD%BB%E5%B7%A5%E8%81%8C%E4%B8%9A%E6%8A%80%E6%9C%AF%E5%A4%A7%E5%AD%A6</t>
  </si>
  <si>
    <t>https://gaokao.chsi.com.cn/zsgs/zhangcheng/listZszc//schId/620.dhtml</t>
  </si>
  <si>
    <t>深圳城市职业学院</t>
  </si>
  <si>
    <t>专科（高职）</t>
  </si>
  <si>
    <t>深圳城市职业学院是由深圳市人民政府举办，经广东省人民政府批准、教育部备案，以深圳技师学院为基础设立的公办全日制普通高等职业院校。2024年首批5个专业招生（夏季高考生）。/学校位于深圳市龙岗区中心城，占地555亩，现有中德智造学院、设计学院、信息与通信学院、商贸学院、珠宝学院等13个二级学院。现有专任教师577人，其中博士、硕士418人，高级职称175人。拥有国家级技能大师、全国技术能手/、鹏城工匠等一批高层次人才领衔的双师型师资队伍。最近两届全国人社系统教师职业能力大赛，均获得一等奖。获得第七届广东省青年教师竞赛一等奖1项、三等奖1项。目前建有“深圳市技能型社会研究中心”“龙岗区智能供应链技术重点实验室”等重点研究平台。/与华为、亚马逊、西门子等世界500强企业共建了10家现代产业学院，促进高质量就业。2024届毕业生初次就业平均起薪（6111元）、毕业去向落实率（98.2%）、优质就业率（29.5%）和学生就业满意度（89%），远超全国高职平均水平。学校培养了一批世界拔尖技术技能精英，共获得世界技能大赛奖牌12枚、全国技能大赛奖牌12枚，竞赛成绩名列全国参赛单位前列。/学校遵循高等职业教育规律，以立德树人为根本，以服务“双区”建设为宗旨，坚持“将党的教育方针融入办学治校全领域，将学校发展融入民族复兴大格局，将人才培养融入‘双区’建设大战略，将工匠精神融入教育教学全过程”的办学思路，着力培养应用型、复合型、创新型、数字化、国际化高素质技术技能人才，奋力创建中国特色、世界一流职业院校。</t>
  </si>
  <si>
    <t>https://www.szcp.edu.cn/</t>
  </si>
  <si>
    <t>https://zhaosheng.szcp.edu.cn/</t>
  </si>
  <si>
    <t>0755-83759856   0755-83759861</t>
  </si>
  <si>
    <t>深圳市龙岗区龙岗街道五联社区将军帽路1号</t>
  </si>
  <si>
    <t>https://baike.baidu.com/item/%E6%B7%B1%E5%9C%B3%E5%9F%8E%E5%B8%82%E8%81%8C%E4%B8%9A%E5%AD%A6%E9%99%A2</t>
  </si>
  <si>
    <t>https://gaokao.chsi.com.cn/zsgs/zhangcheng/listZszc--schId-5453828216.dhtml</t>
  </si>
  <si>
    <t>肇庆医学院</t>
  </si>
  <si>
    <t>肇庆市</t>
  </si>
  <si>
    <t>普通本科</t>
  </si>
  <si>
    <t>三线城市</t>
  </si>
  <si>
    <t>省属高等/公立/高等专科学校</t>
  </si>
  <si>
    <t>一、办学历程肇庆医学高等专科学校是经国家教育部批准成立了一所公立全日制专科层次的普通高等院校。学校地处首批中国优秀旅游城市、国家历史文化名城——肇庆市。学校本着“育人为本、质量立校、人才强校、特色兴校”的办学理念，坚持“立足广东辐射全国、面向基层、服务社会”的办学定位，以服务为宗旨、以就业为导向、以职业能力培养为本位，走“校院合作、医教结合”的发展道路，培养“下得去，用得上、留得住”高素质应用型卫生人才。有效发挥了为区域经济发展提供卫生智力支持和人才保证的教育功能。学校办学历史悠久。1958年建校，前身为中山医学院肇庆分院，后更名为广东省肇庆卫生学校。1994年、2000年学校被国家教委、教育部授予重点中专学校称号。1993年、1999年与广东医学院、中山医科大学联合办学，分别设立广东医学院肇庆教学部和中山医科大学肇庆教学点。2004年5月经教育部批准升格为全日制普通高等专科学校，成为我省唯一一所独立设置的医学专科学校。50多年来，学校为国家输送了50000多名的医疗卫生技术人才，很多毕业生成为了行业的精英骨干。二、校区校貌学校现有三个校区：端州校区、鼎湖校区和北校区。端州坐落在景色宜人的西江畔，鼎湖校区毗邻国家4A级旅游风景区鼎湖山。总占地面积512亩，总建筑面积21万平方米。校园环境幽雅，办学基础设施完善。学校建有8个校内实验实训基地，,拥有各类实验、实训、仿真、模拟技能训练室132个，各实验室配备有现代化的电教设备，充分利用现代信息技术开发虚拟实验，进行综合实验项目训练。学校建有现代化的学术报告厅、图书馆、运动场，室内篮、排球运动场、体操房、乒乓球活动室以及学生公寓，为学生提供了良好的学习生活环境。三、附属医院学校现拥有3所直属附属医院，其中第一附属医院（肇庆市第一人民医院）是一所集医疗、教学、科研、预防、保健和康复功能于一体的大型综合性“三级甲等”医院，1995年通过评审成为“爱婴医院”，1996年、1998年分别被省卫生厅评为“广东省高等医学院校教学医院”、省“百家文明医院”；第二附属医院（肇庆市第二人民医院）是集医疗教学科研预防保健康复为一体的三级综合医院和三级妇幼保健院；肇庆医专附属医院（肇庆市口腔医院）是一所集医疗、预防、保健、康复为一体的具有专科特色的“二级甲等”综合医院。是广东医学院、肇庆医学高等专科学校等医学院校的临床教学和实践基地之一。同时也是肇庆市全国医师资格实践技能考试基地。医院医疗教学仪器设备齐全，拥有口腔科、眼科、甲状腺专科等特色业。目前，学校正在加大非直属医院创建工作，到2015年末，将拥有包括高要市人民医院在内的非直属附属医院8所，学校临床教学实力将进一步增强。此外，学校与广东省人民医院、广东武警总队医院、中山大学第三附属医院等省内外130余所二甲以上优质医院共建校外实习基地。为学生提供了功能齐备，管理规范的校外实训基地。四、师资队伍学校现有专兼职教师700多人，教师队伍以中高级职称为主。学校遵循“立足培养，大力引进”的原则，采取一系列激励措施，加强高学历、高职称教师的引进；重视教学名师、教师骨干的培养；支持鼓励在职教师深造。选拔优秀教师赴境内外的一流院校如台湾中山医学大学、菲律宾马尼拉圣保罗大学、香港理工大学、中山大学等进行学习培训。坚持“医教结合”的发展道路，培养出一支“双师型”的师资队伍，在教学、医疗和科研上发挥了重要作用。通过院校（企）合作，构建动态的兼职教师资源库，完善兼职教师聘任制度，初步形成一支数量适宜、结构合理、专兼结合的师资队伍。拥有省市级教学名师、拔尖人才、专业带头人22人。143人次担任教育部高职高专医学类、相关医学类教学指导委员会、全国卫生职业教育教学指导委员会、省、市各学会委员及行业专家。学校教师认真投身于科教研工作，积极参与教材编写及论文发表，教科研项目屡屡在各级成果评比中获奖。五、专业教学学校设有临床医学系、医技系、药学系、护理系、中医系、口腔系、医学基础部、公共基础部、思想政治理论课教学部。学校现开设临床医学、口腔医学、中医学、护理、涉外护理、助产、药学、中药、药品经营与管理、医学影像技术、医学检验技术、卫生检验与检疫技术、卫生财会统计等13个专业；设有康复类学科，开设针灸推拿、康复治疗技术、中医康复技术、健康管理等4个专业，形成了应用医学类和健康管理类学科专业体系。专业设置以市场经济为导向，紧盯社会经济的发展需求，省重点专业有护理专业、临床医学专业、助产专业，其中护理专业是省示范性专业、临床医学和助产专业也是中央财政支持的重点专业；口腔医学专业、中医学专业、药学专业、医学检验技术专业为省“十二五”重点建设专业。康复治疗技术专业、医学影像技术专业为校级重点建设专业。学校是教育部、卫生部等六部委发文确定的《我国护理紧缺人才培养培训基地》。护理和临床医学专业的实训基地得到中央和省级财政的重点扶持。学校口腔医学是与中山大学光华口腔医学院联合办学的重点专业。学校附属医院（肇庆市口腔医院）也得到中山医光华口腔医学院的大力扶持。学校的医学影像、康复治疗技术、社区护理是香港华夏基金会项目资助的项目，具有较强的办学实力。六、办学特色学校人才培养坚持以职业能力为核心，以知识、能力、素质为培养内涵，构建人文素质、理论与实践一体教学体系。一是以德育为载体，注重医学生“做人”教育。依托现代人文，实施素质教育贯穿人才培养全过程。重视学生“学会做人”的道德修养教育，使学生懂得“敬畏生命、关爱病人”，建立社会责任意识和服务意识，乐于为社会为他人奉献。二是以就业为导向，强化技能培养。依托学校与医院行业的紧密合作，做到“三早三突出”，即“早接触社会、早接触专业、早接触临床和突出实验、实训、实习三个关键环节”，帮助学生尽早了解和树立起职业思想。三是以能力为中心，鼓励特长发展。在提高学生专业技能的基础上，创造各种条件培养学生的特长和爱好，进一步提高了学生的综合素质和就业竞争力，为学生走向社会、更好地生活奠定基础。学校个人、团体在省市的艺术文化比赛中屡获殊荣。七、对外交流学校积极开展多种形式的对外交流与合作，逐步树立与国际教育接轨的教育意识，发展特色优势专业教育、拓宽教学思路，提高师生的国际交往能力。与菲律宾马尼拉圣堡罗大学，圣虔诚大学签订交流协议，每年互派师生进行文化交流。与香港理工大学护理学院合作，引进先进的护理教育改革思路；香港理工大学派遣师生到学校进行交流，并共同深入到农村，为少年儿童进行健康知识教育与指导。与台湾中山医学大学合作，邀请台湾的专家学者来校讲学，同时我校输送教师赴台进修学习。与澳门镜湖护理学院合作，选拔优秀应届毕业生赴澳门的医院进行临床实习。学校还与美国、加拿大、日本等国外多家院校和教育机构进行教育、学术、培训合作与交流。八、“十三五”规划发展目标：按照构建职业教育体系要求，引领职业教育科学发展，通过深化改革，以内涵建设为着力点，不断提高办学质量、办学水平、彰显办学特色，实现提升办学层次的目标。将学校创建成省内有地位、国内有影响，特色鲜明，集学历教育、短期培训和社会服务为一体的应用型医学本科院校。</t>
  </si>
  <si>
    <t>http://www.zqmc.net/</t>
  </si>
  <si>
    <t>http://zhaosheng.zqmc.edu.cn/</t>
  </si>
  <si>
    <t>0758/2857067</t>
  </si>
  <si>
    <t>校本部：广东省肇庆市端州区西江南路6号；鼎湖校区：广东省肇庆市鼎湖区新城北18区团结路1号；新区校区：广东省肇庆市新区丰乐路12号；</t>
  </si>
  <si>
    <t>https://baike.baidu.com/item/%E8%82%87%E5%BA%86%E5%8C%BB%E5%AD%A6%E9%99%A2</t>
  </si>
  <si>
    <t>https://gaokao.chsi.com.cn/zsgs/zhangcheng/listZszc//schId/2049.dhtml</t>
  </si>
  <si>
    <t>广州职业技术大学</t>
  </si>
  <si>
    <t>双高计划/高水平学校建设单位/国家级示范/现代学徒制试点学院</t>
  </si>
  <si>
    <t>广州番禺职业技术学院(原名番禺理工学院、番禺职业技术学院)1993年筹建,1997年9月教育部正式批准备案,是全国首批、广州市属第一所公办全日制普通高等职业院校。2003年被广州市政府确定为市属高等职业教育龙头院校。2005年4月以“优秀”成绩通过教育部人才培养工作水平评估。2006年12月被教育部、财政部确定为“国家示范性高等职业院校建设计划”首批28所立项建设院校之一。2009年12月通过教育部、财政部的验收,被正式批准为首批国家示范性高等职业院校。2010年11月被广东省人民政府授予“广东省职业技术教育工作先进集体”称号。2014年5月荣获我国职业教育界的最高奖项——第四届黄炎培职业教育奖“优秀学校奖”。2014年7月被教育部评为“全国毕业生就业典型经验高校50强”。2016年11月成为广东省一流高职院校建设计划立项建设单位。2017年7月荣登“全国高职院校国际影响力50强”和“全国高职院校服务贡献50强”榜单。学校地处珠江三角洲腹地的广州市番禺区,占地2067亩,校舍建筑面积32.98万平方米,固定资产总值超过10.06亿元,其中教学科研仪器设备总值超过2.98亿元,图书馆面积3.07万平方米,馆内阅览座位4300多个,馆藏纸质图书123余万册、电子图书约2900GB、纸质期刊近880种、电子期刊8360余种,建有41个校内实训基地和176个校外实训基地,现有全日制在校生11769人,生源地分布于全国13个省(区)。校园峰峦起伏,碧波粼粼,繁花似锦,绿草如茵,是广州市花园式单位,2012年获评“全国职业院校魅力校园”,被誉为国内最美丽的大学之一。学校以高等职业技术教育为主,设有财经学院、管理学院、机电工程学院、建筑工程学院、人文社科学院、外语外贸学院、信息工程学院、艺术设计学院、珠宝学院、马克思主义学院、继续教育学院等十一个学院,开设44个紧贴珠三角地区产业结构和社会发展需求的专业。目前,学校拥有玩具设计与制造、计算机网络技术、金融管理、视觉传播设计与制作、酒店管理、珠宝首饰工艺及鉴定等6个国家示范性高职院校重点建设专业、1个全国职业院校国家级示范专业点、2个中央财政支持提升专业服务产业发展能力专业、2个省级协同育人平台、9个省级示范性专业、8个省级重点建设专业、12个省级品牌建设专业、8个市级特色专业学院、2个市级校企合作示范学院、2个产业学院、6个市级示范性专业、6个市级重点建设专业;15门国家级精品课程、25门省级精品课程和40门市级精品课程;14门国家级精品资源共享课程、31门省级精品开放(建设)课程和5门省级精品在线开放(建设)课程;1门国家精品视频公开课程、2门省级精品视频公开课;1个国家级校内实训基地、7个省级校内实训基地、9个市级校内实训基地和2个省级大学生校外实践教学基地、10个省级大学生校外实践教学基地(建设)项目、2个市级校外示范性实训基地。学校积极与企业、科研院所开展产学研合作,搭建应用技术研发平台,建有包括广东高校珠宝首饰工程技术开发中心、广东省珠宝首饰工程技术研究中心、广东省智慧职业教育大数据工程技术研究中心、广东省皮革智能产品3D打印应用工程技术研究中心、广东省绿色建造和检测工程技术研究中心等工程中心，以及广州市人文社科研究基地、广州市技术转移示范机构（中心）在内的39个科学研究机构（应用技术协同创新中心、研究基地等）。产出了一批以专利为代表的科技创新成果,专利申请、专利授权、有效专利、专利竞争力全部进入2017年中国大学专利排行榜500强,获2013年广州市专利创造贡献奖。承担了国家自然科学基金项目、国家社会科学基金项目(教育学)、全国教育规划项目、教育部人文社科项目等一批高层级的科研项目,公开发表一批有影响的科研教研论文,论文最高他引次数达604次。学校面向全国公开招聘优秀教师,拥有一支人员精干、结构合理、水平较高的师资队伍。现有教职工934人,专任教师545人,专任教师中具有高级职称者占30.09%,具有研究生学位者占70.46%,“双师”素质专任教师比例达70.28%。现有全国教育系统先进集体1个、全国职业教育先进单位1个,国家级教学团队2个、省级教学团队6个,有享受国务院政府特殊津贴专家3人、国家级教学名师5人、省级教学名师12人、市级教学名师6人。学校坚持走质量、规模、效益协调发展的内涵式发展之路,强化质量意识,以教师为主导,以学生为主体,以培养学生创新精神和职业能力为目标,积极探索教学改革,2001年以来,共有66项教学成果获得国家、省、市教学成果奖,其中,国家级教学成果一等奖1项、二等奖10项,广东省教学成果特等奖1项、一等奖11项、二等奖15项,广州市教学成果特等奖4项、一等奖12项。学校坚持以服务为宗旨,是国家计算机应用与软件技术专业领域技能型紧缺人才培养培训基地,中国玩具行业人才培训基地,广东省首批省级示范性软件学院建设学校,广东省高职高专师资培训基地、广东省中等职业学校师资培训基地、广州市专业技术人员继续教育基地、广州市中等职业学校教师(校长)培训中心,已成立国家职业技能鉴定所,可以开展19个工种的职业资格鉴定。学校广泛开展对外交流与合作,加强与海内外知名大学、同类职业技术学院及培训机构的联系,已与英国、美国、加拿大、芬兰、荷兰、意大利、新加坡、日本等国外高等教育机构和港澳台地区的教育机构及科技大学建立了教育交流与合作关系，同时积极拓展与“一带一路”沿线国家的教育交流合作。在设立海外研习基地、联合培养、专业及课程共建、学分互认、中外合作办学、质量管理体系建设、师资培训等方面开展了富有成效的交流与合作,促进了人才培养质量和国际化程度的提升。同时,学校发挥品牌专业和特色课程优势,吸引国际学生来校短期交换和修读课程,形成了较高的知名度和美誉度。2018年我校与新加坡南洋理工学院学生海外研习基地合作项目入选全国首批20个“中国—东盟高职院校特色合作项目”。学校围绕培养“一技之长+综合素质”的高素质、创新性技术技能人才的目标,实行以素质为基础,以能力为核心,以就业为导向,产学研结合的人才培养模式,积极实施“双证书”制度,大力培养学生的职业技能,毕业生以其适应性强、动手能力强、综合素质高而受到用人单位普遍欢迎。自2001年广东省首次公布高校毕业生就业率以来,学校毕业生就业率一直稳居全省高校前列,2004年、2005年和2008年三年位居全省所有本专科院校第一位。2010年,学校模具设计与制造专业2001届毕业生黄德智喜获“全国劳动模范”崇高荣誉,在北京人民大会堂受到党中央和国务院的隆重表彰。2018年，学校涉外文秘专业2002届毕业生王俊文荣获广东省五一劳动奖章。2018年,毕业生就业率达98.79%。番禺籍的原全国政协副主席霍英东,全国政协副主席、澳门特别行政区首任行政长官何厚铧,全国政协委员陈瑞球,以及何添、何善衡等港澳同胞和社会各界有识之士对学校的建设给予极大的关注和有力的资助,捐资兴建了霍英东学术交流中心、何厚铧大楼等一批教学、实训用房和学生宿舍,极大地促进了学校的发展。功崇惟志,天道酬勤。学校以习近平新时代中国特色社会义思想为指导，积极对接国家“一带一路”和粤港澳大湾区发展战略，坚持走以质量为核心的内涵式发展道路，以建设“中国特色、国际水准”的高职院校为目标，不断深化校企合作、产教融合体制机制改革，致力于为大湾区经济社会发展培养具有“一技之长+综合素质”的高素质、创新型技术技能人才。</t>
  </si>
  <si>
    <t>学校的前身是1996年4月经广东省人民政府批准成立的番禺理工学院，于1993年筹建；1997年6月更名为番禺职业技术学院；1997年9月经国家教育委员会正式备案，由广州市和番禺市人民政府共同领导、番禺市直接管理；2006年起实行“市区共建，以区为主”的管理体制；2008年7月更名为广州番禺职业技术学院；2010年起实行“市区共建，以市为主”的管理体制；2006年12月被教育部、财政部确定为“国家示范性高等职业院校建设计划”首批立项建设院校，2009年12月通过验收，成为国家示范性高等职业院校；2019年12月入选中国特色高水平高职学校和专业建设单位。2025年6月中华人民共和国教育部同意以广州番禺职业技术学院为基础设立广州职业技术大学。</t>
  </si>
  <si>
    <t>http://www.gzpyp.edu.cn/</t>
  </si>
  <si>
    <t>http://zs.gzpyp.edu.cn/</t>
  </si>
  <si>
    <t>020/34874086、84731206</t>
  </si>
  <si>
    <t>广东省广州市番禺区市良路1342号</t>
  </si>
  <si>
    <t>https://www.720yun.com/t/f10jz0yavf3</t>
  </si>
  <si>
    <t>https://baike.baidu.com/item/%E5%B9%BF%E5%B7%9E%E7%95%AA%E7%A6%BA%E8%81%8C%E4%B8%9A%E6%8A%80%E6%9C%AF%E5%AD%A6%E9%99%A2</t>
  </si>
  <si>
    <t>https://gaokao.chsi.com.cn/zsgs/zhangcheng/listZszc//schId/954.dhtml</t>
  </si>
  <si>
    <t>顺德职业技术大学</t>
  </si>
  <si>
    <t>佛山市</t>
  </si>
  <si>
    <t>新一线城市</t>
  </si>
  <si>
    <t>顺德职业技术学院成立于1999年3月，是经国家教育部批准成立、广东省人民政府领导管理、省市共建、顺德区政府投资兴建的地方高职院校。经过多年的建设发展，学校已成为国家示范（骨干）高等职业院校、广东省示范性高等职业院校、广东省一流高职院校建设单位。学校环境优美、设施良好、制度健全、管理科学，是莘莘学子求学成才的理想之地。先后获得“全国职业教育先进单位”、“全国绿化模范单位”、“全国节能型公共机构示范单位”、“广东省安全文明校园”、“广东省依法治校示范学校”等荣誉称号或奖励，为区域经济社会发展培养一大批高素质技术技能人才做出了积极贡献。//学校的前身是1994年12月成立的顺德永强成人学院。2002年7月，顺德师范学校（1924年成立）和顺德成人卫生中等专业学校（1958年成立）合并到顺德职业技术学院。2002年，学校迁入位于德胜东路的新校园。//2005年12月，学校以优秀成绩通过国家教育部高职高专人才培养工作水平评估。2008年7月，学校被教育部财政部确定为国家重点培育高等职业院校立项进行建设，并于2010年通过验收。2009年9月，学校被广东省教育厅财政厅确定为广东省示范性高等职业院校建设项目立项建设单位。2010年12月学校被教育部财政部确定为“国家示范性高等职业院校建设计划”骨干高职院校第一批立项建设单位，并于2013年11月以优秀成绩通过验收。2016年，学校被广东省教育厅确定为广东省一流高职院校建设单位。//学校现设有10个二级学院（机电工程学院、电子与信息工程学院、应用化工技术学院、医药卫生学院、设计学院、经济管理学院、酒店与旅游管理学院、人文社科学院、外语学院、马克思主义学院）。学校共有专业49个，其中国家教育改革试点专业2个（制冷与空调技术、家具艺术设计）、中央财政支持重点专业2个（工业设计、烹饪工艺与营养）、广东省示范性专业8个（数控技术、汽车检测与维修技术、制冷与空调技术、电子信息工程技术、应用化工技术、家具艺术设计、会计、工商企业管理）、广东省重点专业3个（物流管理、酒店管理、应用英语）、广东省重点建设专业3个（园林技术、工业分析技术、机电一体化技术）、第一批省级一类品牌建设专业2个（制冷与空调技术、家具艺术设计）、第二批省级二类品牌建设专业5个（计算机应用技术、药学、金融管理、展示艺术设计、数字媒体艺术设计）。//学校获国家高等教育教学成果奖4项，广东省高等教育教学成果奖23项。共建有国家级精品课程12门，国家精品资源共享课立项建设项目9门；省级精品课程22门，广东省高职教育精品开放课程5门，广东省高职教育精品在线开放课程4门，广东省精品视频公开课1门，广东省精品资源共享课19门。//学校办学条件良好，教学环境优良。学校建筑面积超过57万平方米，固定资产总额超过12.36亿元人民币，/教学、科研仪器设备总值3.12亿元。拥有校内实训基地19个，实验实训室197个，其中中央财政支持实训基地1个，省级重点实训基地9个。学校有校外实训基地541个，其中省级大学生校外实践教学基地13个。学生文化体育设施齐全，建有高标准的田径场、篮球场等各类场馆。//学校共有21个科研平台，4个技术服务平台。科研平台中以学校为第一申报的平台有16个，其中省部级6个，市厅级12个。获国家自然科研基金项目11项（含主持7项）、主持获得教育部人文社科项目9项、省自然科学基金项目12项，省哲学社会科学项目20项。横向项目累计到账经费达到了4475.32万元。省部级及以上的科研奖7项。获专利授权388件，其中发明专利授权85件，实用新型专利247件，累计有34项发明专利实现了转化。//全校教职工总数924人，其中高级职称263人。现有专任教师730人。有国家级教学团队1个、省级教学团队6个，国家级教学名师2人、省级教学名师5人、广东省“特支计划”教学名师4人，南粤优秀教师6人，广东省“千百十工程”省级培养对象7人，广东省高等学校优秀青年教师培养计划培养对象6人，广东省高等职业教育专业领军人才培养对象5人。//学校全日制在校生15703人，成人教育在读学员2915人。获国际奖项德国红点奖1项；国家级教学成果奖4项，省级教学成果奖23项；全国性职业技能竞赛一等奖120个、二等奖198个，位居全国全省前列。2016年，获评全国高职院校创新创业示范校50强。2017年高考招生，我校在顺德区以外录取的新生，高考成绩100%高于全省二本分数线，顺德区内考生分数线也接近全省二本分数线。学校每年毕业生供不应求，初次就业率连续多年高于98%。2014年，获评全国职业院校就业竞争力示范校。//学校国际化发展坚持“引进来”与“走出去”相结合，与英国、美国、澳大利亚、德国、台湾、香港等国家和地区的40多所高校和机构保持了友好合作关系。与马来西亚UCSI大学合作共建的马来西亚UCSI大学顺峰烹饪学院，是中国高等教育在海外建立的第一个烹饪学院，开创了中国烹饪高等教育走向世界的先河。与世界酒店管理知名学府——香港理工大学酒店及旅游业管理学院合作，联合培养高水平酒店管理专业人才。2017年，国务院侨办批准在我校设立“海外惠侨工程—中餐繁荣基地”（国内仅有3家），这是对我校近年来餐饮教学及面向国内外的餐饮文化交流活动成效和影响的充分肯定，为我校烹饪专业教学及中国烹饪学院建设赢来了更大国际化发展空间和机遇。与德国亚琛工业大学达成合作协议，共建广东—亚琛工业4.0应用研究中心。中心建成后，将以德国工业4.0技术与理念为指引，通过工业4.0示范工厂和示范线建设、展览展示、技术实施与服务等开展高端技术研究、技术推广与服务等活动，以高水平的国际合作带动人才培养、校企合作的良性发展，形成示范引领带动作用；推动顺德以及珠三角地区装备制造产业、智能制造与工业机器人产业、工厂自动化与智慧工厂等产业优化升级。//上级领导高度肯定学校办学成果。2011年7月14日，时任中共中央政治局委员、广东省委书记汪洋，省委常委、副省长肖志恒，省委常委、秘书长徐少华，佛山市委书记陈云贤，广东省教育厅厅长罗伟其等领导到学校进行专题调研，汪洋书记充分肯定我校为区域经济转型升级提供的人力支持。2009年11月18日，国家教育部副部长鲁昕率领职成司司长葛道凯、原高教司高职高专处处长范唯等到我校调研，鲁副部长认为我校走出了一条能引领全国职业教育改革的新路子。//在新的发展时期，学校瞄准“国内一流、国际有影响”的一流高职建设目标，坚持“以贡献求支持，以服务求发展”，以智慧化、国际化、法治化、市场化为重点全面推进内涵建设，争取成为第一批中国特色高水平高职院校。</t>
  </si>
  <si>
    <t>学校前身是成立于1994年的顺德永强成人学院；1999年，教育部批准成立顺德职业技术学院。2002年，顺德师范学校和顺德成人卫生中等专业学校并入学校，同年，学校迁至佛山市顺德区德胜东路现址。2019年，学校入选中国特色高水平高职学校和专业建设计划建设单位。2025年6月，经教育部批准，以顺德职业技术学院为基础设立顺德职业技术大学。</t>
  </si>
  <si>
    <t>http://www.sdpt.com.cn/</t>
  </si>
  <si>
    <t>http://zs.sdpt.edu.cn</t>
  </si>
  <si>
    <t>0757/22327131、22327132、22323732、22327270</t>
  </si>
  <si>
    <t>校本部：广东省佛山市顺德区大良街道德胜东路；</t>
  </si>
  <si>
    <t>https://www.720yun.com/t/a4c2ejrkxer</t>
  </si>
  <si>
    <t>https://baike.baidu.com/item/%E9%A1%BA%E5%BE%B7%E8%81%8C%E4%B8%9A%E6%8A%80%E6%9C%AF%E5%AD%A6%E9%99%A2</t>
  </si>
  <si>
    <t>https://gaokao.chsi.com.cn/zsgs/zhangcheng/listZszc//schId/618.dhtml</t>
  </si>
  <si>
    <t>广州民航职业技术学院</t>
  </si>
  <si>
    <t>交通运输部（中国民用航空局）</t>
  </si>
  <si>
    <t>部委院校/省部共建/双高计划/高水平专业群建设单位/国家级示范/现代学徒制试点学院</t>
  </si>
  <si>
    <t>示范高职/第四类高水平专业群C档</t>
  </si>
  <si>
    <t>广州民航职业技术学院直属中国民用航空局，是民航内最早一所独立设置实施高等职业教育的全日制公办普通高校。学校1994年被国家教育部确定为全国首批十所试办五年制高职教育的学校之一；1999年经教育部、民航局批准成立；2010年被教育部、财政部确定为国家示范性高等职业院校，是全国百所、广东省四所之一，民航唯一一所国家示范性高等职业院校；2013年正式成为民航局与广东省“省部共建”院校；2016年被广东省教育厅、财政厅确定为“广东省一流高职院校建设计划立项建设单位”。//学校“立足民航，服务地方，面向世界”，坚持职业教育类型的办学定位，在全国率先提出并实施了基于行业标准的技术技能人才培养模式，形成了“依托行业、产学合作、双师双证、国际通用”的办学特色。//学校现有机场路校区、白云机场校区、花都赤坭校区三个校区，共占地1112亩。现有固定资产总值约10.05亿元，其中，教学、科研仪器设备资产值约2.39亿元，33架大中小型教学用飞机，140台飞机发动机，5万多台（件）飞机零部件和一大批专业设备。//学校教职工规模689人，其中，专任教师549人，具有硕士以上学位的教师425人，占专任教师比例为77%；具有双师素质的专业教师224人，占专业课教师数的比例为64%；具有行业企业一线工作经历的教师比例为44.8%；具有民航行业特有工种职业资格证书、职业技能鉴定考评员及教员证书、其他工种职业资格证书的教师比例为41%。//学校下设飞机维修工程学院、航空港管理学院、民航经营管理学院、人文社科学院、继续教育学院五个二级学院。面向31个省、市、自治区招生，现有21个专业26个专业方向，覆盖了民航维修和服务的关键岗位，在校生1.2余万人。新生报到率、毕业生就业率、专业对口率等方面均走在同类院校前列，其中，飞机机电设备维修、飞机结构修理、航空电子设备维修、航空地面设备维修、通用航空器维修等民航特有专业对口率均超过90%，优秀毕业生已成为技术骨干与管理人才。//学校以现代民用航空体系和航空产业链建设需求为导向，以飞机维修、民航运输等民航特有专业岗位（群）核心能力培养为主线，创新了“课证一体、中外融通、校企融合”的民航特有专业人才培养模式。制定了基于行业标准的民航特有专业课程教学标准，做到“行业标准入体系、职业标准入课程”，与民航行业企业合作共建民航飞机维修工程、航空港安全检查、航空服务、通用航空等民航特有专业的校企共享型“公共实训平台”，为全国其他院校的民航专业教学起到引领作用。//学校不断加强与美国、英国、加拿大、新加坡、香港等境外院校和航空企业合作，提升办学国际化水平；与斯里兰卡等“一带一路”沿线国家开展民航职业教育合作，实现教育资源对外输出；先后与美国西敏学院、马来西亚建设大学、台湾中华科技大学开展本科层次职业教育合作，搭建人才成长“立交桥”，实现民航职业教育体系中外衔接；通过国际合作与对外交流，促进了人才培养标准、师资、教材和管理国际化，实现了学校教育与国际接轨，提升了民航职业教育软实力。</t>
  </si>
  <si>
    <t>学校源自1980年由原中国民航广州管理局举办的技工学校。1984年在此基础上成立“中国民航广州中等专业学校”，由民航广州地区管理局领导管理。1999年经教育部批准成立“广州民航职业技术学院”。2013年成为民航局与广东省“省部共建”院校，2019年被列入第四类高水平专业群建设单位（C档）。  2021年现代学徒制第三批试点验收暂缓通过。</t>
  </si>
  <si>
    <t>http://www.caac.net/</t>
  </si>
  <si>
    <t>https://www.gcac.edu.cn/sites/zsb/index.html</t>
  </si>
  <si>
    <t>020/86123135、86121941</t>
  </si>
  <si>
    <t>机场路校区：广东省广州市白云区机场路向云西街10号,白云机场校区：广州市白云国际机场空港北横六路</t>
  </si>
  <si>
    <t>https://baike.baidu.com/item/%E5%B9%BF%E5%B7%9E%E6%B0%91%E8%88%AA%E8%81%8C%E4%B8%9A%E6%8A%80%E6%9C%AF%E5%AD%A6%E9%99%A2</t>
  </si>
  <si>
    <t>https://gaokao.chsi.com.cn/zsgs/zhangcheng/listZszc//schId/952.dhtml</t>
  </si>
  <si>
    <t>广东科学技术职业学院</t>
  </si>
  <si>
    <t>省属/双高计划/高水平专业群建设单位/国家级骨干/现代学徒制试点学院</t>
  </si>
  <si>
    <t>第三类高水平专业群B档骨干高职现代学徒</t>
  </si>
  <si>
    <t>学院是广东省人民政府1985年批准设立、教育部备案的一所全日制公办普通高等学院，正厅级建制。建院之初，学院名广东省科技干部进修学院，主要承担广东省科技管理干部的继续教育培训任务，被国家科技部称誉为“地方继续教育的一颗明珠”。1989年更名为广东省科技干部学院，1996年成为广东省首批举办普通高职教育的院校之一。2001年与珠海市政府合作共建珠海校区。2003年经教育部批准由成人高校改制为普通高等学院，并继续承担科技干部培训的任务。2008年5月，学院由广东省科技厅整建制划转广东省教育厅管理。学院于2008年12月以“优秀”成绩通过教育部高职高专人才培养工作评估。2010年被广东省政府授予“广东省职业技术教育工作先进集体”光荣称号。2010年被教育部、财政部确定为国家示范性骨干高职院校立项建设单位。2016年3月以“良好”成绩通过验收，成为国家示范性骨干高职院校。2016年7月被广东省科学技术厅确定为省“互联网+”创新创业示范校。2016年11月被广东省教育厅确定为一流高职院校立项建设单位。2019年7月被教育部确定为“国家优质专科高等职业院校”。2016、2017、2018连续三年入选全国高等职业院校服务贡献50强。2018年入选全国高等职业院校教学资源50强。2019年入选全国高等职业院校育人成效50强。2016年被国际创新创业博览会组委会授予“全国高职院校创新创业示范校”荣誉称号。学院现有珠海和广州两个校区，校园面积2012亩，建筑面积53.06万㎡（含在建工程：4.28万㎡）（其中：教室3.09万㎡，图书馆3.05万㎡，体育场馆0.98万㎡，实习实训场所15.55万㎡）。教学仪器设备2.16万台（套），教学科研仪器设备值25543.34万元。馆藏图书155.92万册、电子图书数字资源量7866GB。学院现有教职员工1320余人，其中专任教师1050人。专任教师中，正高职称70余人，副高职称270余人，拥有博士学位70余人，硕士学位660余人，双师素质教师950余人，专任教师“双师”素质比例达90%。全国教育系统先进集体1个，省级教学名师1人，南粤优秀教师9人，“千百十工程”省级培养对象5人，省高职教育专业领军人才培养对象3人，省优秀青年教师培养对象7人，珠海市特聘学者1人。学院全日制在校生23000多名，是在校生规模最大的省属高职院校。现设有计算机工程技术学院（软件学院）、大数据与人工智能学院、商学院、应用外语学院、旅游学院、文化与传媒学院、机器人学院、机械与汽车学院、建筑工程学院、艺术设计学院、财会与金融学院、体育健康学院、广州学院、马克思主义学院、国际合作学院、创新创业学院、继续教育学院等17个二级学院；设有广东省人才研究所、高职教育研究所、电子与信息技术研究所、软科学研究所等4个科研机构。学院现有招生专业48个，其中国家骨干高职院校重点建设专业5个，央财支持建设专业2个，省级示范专业5个，省级重点专业6个，广东省一类品牌专业1个、二类品牌专业12个。国家级精品资源共享课4门、国家精品课程5门、省级精品课程5门、省级精品资源共享课程22门，省精品在线开放课程3门，国家级备选专业教学资源库1个。获国家级、省级教学成果奖11项。学院加强校企合作办学，积极构建“校企精准对接、精准育人”人才培养模式，按照“一院一品”“一专业一特色一名企”的整体部署，将产业学院、项目班、订单班、现代学徒制等作为推进产教融合、“双精准”育人的重要举措，与微软中国、苹果、思科、华为、联想、金山软件、蓝盾股份、小米、一汽大众、横琴长隆、三一海洋重工等知名企业建立长期合作关系，大力加强学生技术技能培养。学院重视产学研合作、应用开发与成果转化，鼓励教师参与企业技术研发、提供技术服务，努力服务地方经济社会发展。仅2017、2018两年，学校各类科研与社会服务到款额达3942万元，首次获得国家社科基金项目1项,认定1/个国家级众创空间、1/个国家工作室、1/个省级中小企业服务示范平台；建成1个省级专业众创空间、31个协同创新和协同育人平台（其中省级及以上5个），培育10个高水平技术服务团队，社会培训58400余人日，对广东省创新创业示范市（区、县）的建设提供有效支撑。学院建有校内实训基地70多个、实训室240多个，校外实习实训基地800多个；建成中央财政支持实训基地4个，省级高职教育实训基地6个，省级大学生校外实践教学基地6个，省级公共实训中心2个，珠海市重点实验室1个，珠海市公共实验室1个。是国家科技部、省科技厅、教育厅、人事厅认定的“国家级星火培训基地”“广东科技人才基地”“广东省中职学院教师继续教育基地”“广东省专业技术人员继续教育基地”。学院积极构建对外开放新格局，稳步实施“走出去”战略，主动服务国家“一带一路”和粤港澳大湾区建设，加强与德国、法国、美国等职业教育发达国家和港澳台地区的交流与合作，先后与法国克莱蒙商学院、德国德累斯顿工业大学、美国北密歇根大学等签订了合作协议。2017年学校取得招收国际学生和港澳台学生资质，并启动招生工作。2018年获“广东省高等院校对外交流与合作先进集体”。学院学生在省级以上技能竞赛中屡获佳绩，尽显广科学子风采。近五年，学生获省级以上技能竞赛奖项600余项，其中在全国职业院校技能大赛（天津国赛）获奖30余项。如2018年全国职业院校技能大赛高职组导游服务一等奖，2017年全国职业院校技能大赛高职组建筑工程识图团体一等奖、英语口语一等奖，2017年全国大学生数学建模竞赛3项一等奖，2016年全国大学生数学建模竞赛3项一等奖，2015年全国职业院校技能大赛高职组计算机网络应用一等奖，第24届FIRA机器人世界杯大赛1项冠军，2017、2018、2019年连续三年获得中国机器人及人工智能大赛9项全国冠军。机械与汽车学院2016级胡智文同学作为广东省唯一代表荣获2017年度“劲牌阳光奖学金”特别奖暨“践行工匠精神先进个人”，成为全国获此殊荣的十名代表之一，在校期间先后获得国际级、国家级、省级、校级等各类奖项共20余项。一大批优秀毕业生脱颖而出，在各行各业做出突出成绩，得到社会广泛好评。如2006届毕业生谭倩茹同学，获“红棉杯”中国原创产品设计大赛金奖，其工业设计作品得到原广东省委书记张德江，省长黄华华同志的亲笔题词；研发95款手游APP的移动应用开发中心学生团队，被媒体誉为“最牛高职生”；2013届毕业生孙志斌，是国内首个获得思科网络学院全额奖学金赴美实习的高职生；2011届毕业生黄胜，受邀参加央视《奋斗》访谈栏目；2011届毕业生聂云宸创办喜茶品牌，进入福布斯2018年中国30岁以下精英榜单等。学院招生“进口”旺，现每年面向全国18个省（直辖市、自治区）招收全日制在校生8000人左右，广东省录取的新生均为第一志愿报考我院的考生。学院积极开展中高职衔接、三二分段、现代学徒制等多形式自主招生，以及本专科协同育人试点招生工作。毕业生就业“出口”畅，总体就业率均达98%以上。学院秉承“厚德、高能、求实、创新”的校训，坚持“质量立校、特色兴校、创新强校”的办学思路，积极构建“双精准”育人模式，着力打造“互联网+”科技特色，大力实施国际化发展战略，努力培养创新型技能人才，正为创建全国一流、国际知名高职院校而不懈努力。（2019年10月20日更新）</t>
  </si>
  <si>
    <t xml:space="preserve">学校成立于1985年，前身是广东省科技干部学院，2003年改制为普通高等学校，2004年被教育部、建设部确认为建设行业技能型紧缺人才培养培训工程试点高校，2010年被教育部、财政部确定为“国家示范性高职院校建设计划”骨干高职院校立项建设单位。2015年入选国家首批现代学徒制试点单位。2019年12月，被教育部、财政部列入第三类高水平专业群建设单位（B档）。 </t>
  </si>
  <si>
    <t>http://www.gdit.edu.cn/</t>
  </si>
  <si>
    <t>https://www.gdit.edu.cn/zsb/main.htm</t>
  </si>
  <si>
    <t>0756/7796101,020/85297313</t>
  </si>
  <si>
    <t>广州校区：广州市天河区科华街351号,珠海校区：珠海市金湾区珠海大道南侧</t>
  </si>
  <si>
    <t>https://www.720yun.com/t/096jupwvef3</t>
  </si>
  <si>
    <t>https://baike.baidu.com/item/%E5%B9%BF%E4%B8%9C%E7%A7%91%E5%AD%A6%E6%8A%80%E6%9C%AF%E8%81%8C%E4%B8%9A%E5%AD%A6%E9%99%A2</t>
  </si>
  <si>
    <t>https://gaokao.chsi.com.cn/zsgs/zhangcheng/listZszc//schId/1104.dhtml</t>
  </si>
  <si>
    <t>佛山职业技术学院</t>
  </si>
  <si>
    <t>佛山职业技术学院于2000年6月正式挂牌成立，是一所全日制公办普通高等职业技术院校，经过多年的建设发展，学校已成广东省示范性高等职业院校建设单位、广东省一流高职院校建设单位。学校现为佛山市职业技术教育基地总部单位，佛山市职业教育校企合作联盟、园区校企协同合作育人联盟理事长单位，佛山市职业教育学会牵头单位。现有全日制在校生近万人。学校设有6个二级学院（机电工程学院、电子信息学院、汽车工程学院、工商管理学院、财经管理学院、马克思主义学院），35个专业，2个优势专业群（智能制造、光电技术），2个特色专业群（汽车技术、信息技术），5个省级重点专业（机械设计与制造、光伏工程技术、汽车检测与维修技术、物流管理、数控技术）/，7个省级品牌专业（电气自动化技术、工业机器人技术、物联网应用技术、电子信息工程技术、汽车车身维修技术专业、金融管理专业、国际贸易（跨境电商）），主持国家级专业教学资源库项目2项（新能源类国家级专业教学资源库、智能控制技术专业教学资源库）。专业布局重点面向智能制造、先进制造业、战略性新兴产业、高新技术产业、现代服务业。现有智能制造、光电技术、汽车技术、信息技术、金融服务等九大专业群，形成了以工为主，文、管、经、艺术协调发展的专业布局。学校坐落于三水国家级工业园区腹地，校园总占地面积962亩，建筑面积23.5万平方米，政府总投资11.8亿元，生均教学设备值达到2万元。现有3个中央财政支持实训基地、6个省级实训基地、2个省级公共实训中心、9个省级校外实践教学基地，24个校内实训基地（实训中心），235个校外实习实训基地。学生文化体育设施齐全，建设了学生活动中心、田径场、篮球场、网球场等各类场馆。学校秉承“修身/笃学/长技/创新”的校训精神，坚持“以德治校、人才强校、质量立校、特色兴校”的发展策略，围绕“立足地方、服务企业、质量为本、校企联动”的办学理念，主动适应佛山市和珠三角经济产业发展需求，按照“新产业引领新专业、强专业支撑强产业”的专业建设原则，全面实施“校企双元、工学结合”的人才培养模式改革，大力建设园区校企协同育人联盟、佛山市职业教育校企合作联盟，广东省协同育人平台—佛山市机械装备业政校企行协同育人基地，基本形成了依托一汽大众、青岛海尔、长安福特等龙头企业协同培养学生、依托佛山科勒、三水合成等骨干企业协同开展培训、科技服务等，依托诺尔贝机器人、南海增材制造加速器等中小微企业协同创新研发新产品的产教融合、校企合作模式。学校重视面向企业、社会大力开展继续教育和培训工作，年社会培训等指标大幅度增长，社会培训达116130人天，2018年比2016年增长57.67%。学校承担了建设省科技厅对口科教援疆项目，组建伽师校企合作共同体，与黑龙江能源职业技术学院共建“双佛绿色食品研发中心暨博士工作站”；在云浮建城镇东坑村建屋顶太阳能光伏发电站，帮扶脱贫攻坚；承接英德市新型职业农民培训项目/物流与电子商务培训，助力乡村振兴；职教帮扶广西贺州职业学院、罗定职业技术学院和揭阳职业技术学院；教师走进马来西亚等“一带一路”沿线国家开展技术服务，通过科技帮扶，促进区域协调发展，发挥学校的示范引领、辐射带动作用。学校在中外合作办学、师生交流、国际课程与标准引进等领域开展了广泛、深入的国际交流与合作。学校拓展对外合作网络，与多所高水平国境外院校建立合作关系；积极引进国境外优质教育资源，加强师资队伍国际化建设；成功引入德国职业教育的先进理念，与佛山市中德工业服务区合作，成立了佛山职业技术学院中德职业技术培训学院，成为广东省重点建设的6大品牌之一，并率先与全球知名企业——德国KUKA集团联合建立机器人应用技术与培训中心。学校与澳大利亚斯威本科技大学签署中澳会计专业本科2+2项目，与法国克莱蒙商学院签署中法国际管理本科2+2项目，实现国际班项目的学分互认。学校在提高人才培养质量方面取得较好成效。学生参加全国职业院校技能大赛获国家级奖项22项、省级奖项196项；国（境）外技能大赛获奖4项；科技学术类大赛省级获奖46项；以学生为第一发明人的专利授权3项。全国大学生数学建模竞赛专科组一等奖1项；2016届毕业生张展耀荣获团中央学校部、全国学联秘书处颁发的“2017年大学生创业英雄十强”。2017年、2018年我校在全国职业院校技能大赛高职组比赛中获奖总数分别位列全国第29、30位。学校毕业生广受社会欢迎，2018年招生工作中，普通高考文、理科第一志愿投档率均达到100%。毕业生就业率态势喜人，据省教育厅统计，2018年我校毕业生初次就业率为97.54%，高于全省高职高专院校平均水平，毕业生最终就业率99.89%，专业对口率为90.76%。“十三五”期间，学校将继续坚持以“合作办学、合作育人、合作就业、合作发展”为主线，按照培育工匠精神的要求，培养一大批深受社会好评的高素质技术技能人才，努力建成特色鲜明、国内一流、国际知名的高等职业技术学院。</t>
  </si>
  <si>
    <t>2000年6月，经广东省人民政府批准、中华人民共和国教育部备案，佛山煤田职工地质学院与佛山市机电学校、佛山职工大学合并组建佛山职业技术学院。</t>
  </si>
  <si>
    <t>http://www.fspt.net/</t>
  </si>
  <si>
    <t>https://zs.fspt.edu.cn/</t>
  </si>
  <si>
    <t>0757/87263121</t>
  </si>
  <si>
    <t>佛山市三水区乐平镇职教路3号</t>
  </si>
  <si>
    <t>https://baike.baidu.com/item/%E4%BD%9B%E5%B1%B1%E8%81%8C%E4%B8%9A%E6%8A%80%E6%9C%AF%E5%AD%A6%E9%99%A2</t>
  </si>
  <si>
    <t>https://gaokao.chsi.com.cn/zsgs/zhangcheng/listZszc//schId/1018.dhtml</t>
  </si>
  <si>
    <t>广州铁路职业技术学院</t>
  </si>
  <si>
    <t>双高计划/高水平专业群建设单位/国家级骨干/现代学徒制试点学院</t>
  </si>
  <si>
    <t>学校前身为成立于1975年的原铁道部部属学校广州铁路机械学校，2000年成立广州铁路职业技术学院，2004年9月由广州铁路（集团）公司（现名中国铁路广州局集团有限公司，简称广铁集团）移交广州市政府举办，是广东省唯一一所以培养轨道交通特有专业人才为主的全日制普通高等职业院校，是华南地区轨道交通行业企业员工培训的重要基地。现为国家骨干高等职业院校、国家优质专科高等职业院校、教育部首批现代学徒制试点院校、广东省一流高职院校建设单位，获“全国职业院校就业竞争力示范校”、“中国职业教育就业百强”/、“全国高等职业院校创新发明教育基地”、“广东省依法治校示范校”等荣誉称号。学院现有石门、凰岗、执信南校区和朝阳实训中心、花都工学结合示范园等多个校区，学院开设了铁道供电技术、机械制造与自动化、城市轨道交通运营管理、铁道信号与自动控制、城市轨道交通车辆技术、商务英语等34个专业，全日制在校学生近8000人，设有电气工程学院、机电工程学院、运输物流学院、信息工程学院、外语商贸学院、机车车辆学院、基础课部、马克思主义学院等8个教学院（部）。学院办学条件优良，师资力量雄厚。教学科研仪器设备总值2.5亿元；纸质藏书58万册、电子图书98万种；专任教师具有研究生学位教师占专任教师70.5%，高级职称教师占33.2%，专业教师“双师”素质教师达93.7%。现有省高等学校教学名师1人、“广东特支计划”教学名师2人、省职业教育“双师型”名教师工作室主持人1人、省级优秀教学团队6支、市科技创新团队6个。学院面向广东、湖南、江西、四川、河南、内蒙古等19省（区）招生；毕业生出口畅、就业质量高，毕业生初次就业率平均达98.47%，就业对口率平均达86.41%，平均薪酬达3752元/月，区域龙头企业“订单”比例达60%以上，毕业生专业对口率和薪酬水平位列广东省同类专科院校前茅。深圳市地铁集团有限公司2012年“全国五一劳动奖章”获得者谢东田、2014年广铁集团“火车头奖章”获得者吴华创、2014年广铁集团“全国铁路劳动模范”获得者赖泽团、广州地铁集团公司2014年“全国五一劳动奖章”获得者徐志标、党的十九大福建省党代表、“全国劳动模范”获得者陈承仪均为我院毕业生。学院加强内涵建设，硕果累累。现有国家级标志性成果109项，其中教学成果奖3项，学生技能竞赛奖19项，教师教学能力大赛奖3项，专业资源库1项，教学标准3项，发明专利13项，软件著作权16项，实用新型专利22项，外观专利5项。省级标志性成果221项，其中教学成果奖5项，学生技能竞赛奖53项，教师教学能力大赛奖24项，专业资源库3项，承办技能竞赛6项。2017年学院被中国高等院校知识产权研究会评为“全国高等职业院校创新发明教育基地”。产教深度融合，协同创新平台实，服务成效明显。学院充分发挥行业办学背景和政府大力支持的双重优势，成立了广东省示范职业教育集团——广州工业交通职教集团；牵头组建了华南“一带一路”轨道交通产教融合联盟（简称产教融合联盟），主动对接国家“一带一路”倡议和“中国高铁走出去”战略联合培养培训本土化人才，输出轨道交通职业教育教学与培训标准。对接产业链，与广铁集团、广州地铁、深圳地铁、东莞地铁、佛山地铁、港铁（深圳）公司等知名企业共同制定人才培养方案，率先成规模地开展“订单”培养，形成学校与企业、专业与职业、学生与岗位对接的人才培养机制。对接国家战略，加强国际合作，提升合作深度。学院全力服务国家“一带一路”倡议和高铁“走出去”战略，依托产教融合联盟，对接独联体、东南亚、非洲和粤港澳大湾区4个区域，拓展国际合作平台。经广东省教育厅批准，与白俄罗斯国立交通大学正式签署了联合培养铁道交通运营专业（高等专科学历教育全日制）中外合作办学项目协议。来自老挝4所高职院校的17名学历留学生，正式开启在学院的留学生活，他们是广州市属高职院校首批全日制学历教育留学生。学院正以习近平新时代中国特色社会主义思想为指导，牢固树立新发展理念，以立德树人为根本，坚持“依托行业，立足广州，辐射全国，面向世界”的办学定位，围绕办好新时代职业教育的新要求，聚焦国家轨道交通产业升级和粤港澳大湾区建设，构建学历教育与培训并重的现代职业教育体系，完善学院内部治理体系，产教融合深化复合型技术技能人才培养培训模式改革，打造“特色引领、骨干支撑、协同发展”的专业群，形成工学结合、知行合一的高素质技术技能人才培养体系，为创建中国特色、具有一定国际影响力的高水平职业院校而努力奋斗！</t>
  </si>
  <si>
    <t>学校前身为成立于1975年的原铁道部部委属院校广州铁路机械学校，2000年6月由广州铁路机械学校、广州铁路运输职工大学与广州铁路成人中等专业学校合并组建广州铁路职业技术学院学校。</t>
  </si>
  <si>
    <t>http://www.gtxy.cn/</t>
  </si>
  <si>
    <t>https://www.gtxy.cn/zsxxw</t>
  </si>
  <si>
    <t>020/36004159、020/37431459、18211478104</t>
  </si>
  <si>
    <t>广东省广州市白云区石井街庆隆中路100号</t>
  </si>
  <si>
    <t>https://www.720yun.com/t/86dj5ztvrk6</t>
  </si>
  <si>
    <t>https://baike.baidu.com/item/%E5%B9%BF%E5%B7%9E%E9%93%81%E8%B7%AF%E8%81%8C%E4%B8%9A%E6%8A%80%E6%9C%AF%E5%AD%A6%E9%99%A2</t>
  </si>
  <si>
    <t>https://gaokao.chsi.com.cn/zsgs/zhangcheng/listZszc//schId/6196002.dhtml</t>
  </si>
  <si>
    <t>中山职业技术学院</t>
  </si>
  <si>
    <t>中山市</t>
  </si>
  <si>
    <t>现代学徒制试点学院</t>
  </si>
  <si>
    <t>现代学徒</t>
  </si>
  <si>
    <t>中山职业技术学院位于我国伟大民主革命先行者孙中山先生的故乡—广东省中山市，是市政府投资兴办的全日制普通高等学校。成立于2006年6月，是“广东省示范性高等职业院校”和“广东省一流高职院校建设单位”，入榜“全国高职院校服务贡献50强”，先后荣获“黄炎培职业教育优秀学校奖”“全国高职院校创新创业教育工作先进单位”“广东省知识产权示范事业单位”“广东省首批大学生创新创业教育示范学校”“广东省安全文明校园”等荣誉称号。历年学生参加全国职业院校技能大赛总分保持全省高职院校前五名，用人单位满意度排名全省高职院校第二名，学校整体办学实力位居全省高职院校前列。学校设有素质教育中心、思想政治理论课教学部、经济管理学院、电子信息工程学院、机电工程学院、艺术设计学院和创业教育学院，现有全日制学生7300余人，成人教育在籍学生8000余人。学校大力实施教育教学改革，紧贴中山产业结构特点实施“一镇一品一专业”专业布局，建成与珠三角区域专业镇先进制造业、现代服务业、战略性新兴产业等高度对接的35个专业和5大专业群，实现“专业/产业”“人才/市场”无缝对接。拥有一批紧贴国家重点产业和中山支柱产业的骨干专业，省级一类品牌建设专业1个，省级二类品牌建设专业5个，省级重点建设专业16个，电梯维护与管理、灯具设计与工艺、创业管理是全国高职高专首开专业。现有省级质量工程项目34项、中央财政支持实训基地3个、省级重点实训基地8个，教学设备总值达1.6亿元。学校发扬“敢为天下先”的创新精神，“政校企”合作办学体制机制改革示范全国。学校与专业镇深度产教融合，校企合作专业覆盖面超过90%，在古镇镇“国家火炬计划照明器材生产基地”成立“古镇灯饰学院”，在南区“国家火炬计划电梯特色产业基地”成立“南区电梯学院”，在“中国休闲服装生产基地”沙溪镇成立“沙溪纺织服装学院”，在小榄镇商贸物流园区成立“小榄学院”，在“中国红木产业之都”大涌镇成立“红木家居学院”。将办学边界从中等城市向下延伸至乡镇，使教育科研资源辐射到镇区企业、社区，有效促进当地产业发展和城镇化进程。率先探索混合所有制办学体制，目前，5个产业学院均形成镇校二元或多元投资结构，构建了董（理）事会领导下的院长负责制，其中小榄学院的工商管理专业和南区电梯学院的电梯工程技术专业还率先试行了现代学徒制。学校积极服务区域创新驱动发展战略，致力于服务专业镇产业转型升级和中小微企业技术创新，以学校“总部”为主体，与多个专业镇合作联盟式协同发展，形成“总部+基地”的产学研协同创新格局。近百名教师作为省部产学研科技特派员分别派驻农村、镇区，协助企业开展科技攻关，派驻人数和科技服务项目数位列全省高校前茅。办学以来，学校承担教科研立项课题540余项，其中国家火炬计划项目1项，国家级、省级课题56项，70多项科技成果逐步实现技术转移，并形成产业化生产。学校产学研园入围国家发改委“十三五”产教融合发展工程项目（全国百强，全省仅5所高职院校立项），产学研综合服务成果得到国家教育体制改革领导小组的高度肯定。学校是国内最早探索创新创业教育的高职院校之一，探索构建了普及化、融合化、专业化“三化并进”创新创业教育路径体系，形成了“分层施教、系统推进、全面覆盖”的创新创业教育工作特色。连续两年获评全国高职院校创新创业教育工作先进单位，是广东省高职院校创业教育教学指导委员会主任委员单位和广东省大学生创新创业教育首批示范校。学校运营管理的中山市大学生创业孵化基地荣获“全国创业孵化示范基地”称号，成为广东省唯一一个国家级创业孵化基地和国家级众创空间。创新创业蔚然成风，涌现出大批投身新产业、新业态、新模式的师生创客。学校搭建面向专业镇人口素质提升的继续教育服务平台，累计承接各类培训20余万人次。贯彻服务“一带一路”建设，积极开展对外交流与国际化办学，先后和香港、澳门、台湾、新加坡、马来西亚、韩国、英国、美国、澳大利亚、德国、老挝、瑞士等多个国家和地区知名大学建立合作关系。学校大力实施能工巧匠落户工程、教学名师培养工程、专业骨干培优工程、教师转型提升工程和高级人才引进工程，打破人事政策壁垒，大量引进职教专家、企业技术骨干、能工巧匠等，构建了一支专兼结合、素质优良、结构合理的“双师型”教学团队。目前教职员工603人，其中专任教师441人，双师素质教师占比80%，具有企业工作经历占比85%，拥有一批全国技术能手、中国工艺美术大师、广东省技术能手、广东省工艺美术大师、广东特支计划教学名师、省级教学名师、千百十工程培养对象、中山市优秀专家、拔尖人才等，以明阳风电集团董事长张传卫等为代表的一大批企业家、技术能手受聘学校客座教授、兼职教师。学校以创建“特色鲜明、国内一流、世界有影响”的现代化高职院校为目标，秉承“修德、砺能、笃行、创新”校训精神，坚持“育人为本、工学结合、创新发展、服务社会”办学理念，全面加强内涵建设，不断提升办学水平，努力为广东实现“四个走在全国前列”作出新贡献。</t>
  </si>
  <si>
    <t>2004年12月，中山职业技术学院（筹）开始筹备 。于2006年6月20日挂牌成立 。2013年11月，被确定为广东省示范性职业院校。2016年9月7日，学校获广东省一流高职院校建设单位 。2020年9月23日，学校获“中国创新创业成果交易会成果转化基地”授牌 。2022年1月，学校获批为国家自然科学基金依托单位 。2023年1月5日，中山职业技术学院广东省省级大学科技园揭牌 。12月，中山职业技术学院成立中山市首个高校妇女联合会 。</t>
  </si>
  <si>
    <t>http://www.zspt.cn/</t>
  </si>
  <si>
    <t>http://zs.zspt.cn</t>
  </si>
  <si>
    <t>0760/88269288</t>
  </si>
  <si>
    <t>广东省中山市东区博爱七路25号</t>
  </si>
  <si>
    <t>https://www.720yun.com/t/6a52b9z5uti</t>
  </si>
  <si>
    <t>https://baike.baidu.com/item/%E4%B8%AD%E5%B1%B1%E8%81%8C%E4%B8%9A%E6%8A%80%E6%9C%AF%E5%AD%A6%E9%99%A2</t>
  </si>
  <si>
    <t>https://gaokao.chsi.com.cn/zsgs/zhangcheng/listZszc//schId/5163160.dhtml</t>
  </si>
  <si>
    <t>江门职业技术学院</t>
  </si>
  <si>
    <t>江门市</t>
  </si>
  <si>
    <t>江门职业技术学院于2004年7月正式挂牌成立，是一所全日制公办普通高等职业院校，由原江门教育学院、江门市工业中等专业学校和江门财贸学校组建而成。学校2009年通过教育部高职院校人才培养工作评估验收，2010年启动创建省级示范校和“创新强校工程”建设，2012年成为省级示范性高等职业院校培育单位，2013年成为建设单位，2018年通过验收。现为江门市职业教育联合会牵头单位，广东省“一带一路”职业教育联盟、学前教育教师发展联盟副理事长单位。//学校主校区坐落于风景优美的西江之滨，规划用地1080亩，校舍建筑面积29.25万平方米。设有材料技术、电子与信息技术、经济管理、机电技术、教育与教育技术、外语、艺术设计和思想政治理论课教学部等8个教学系部，开设新材料与化工、先进装备制造、智能制造和现代服务类等专业49个。全日制在校生13000余人。全校教职员工731人，专任教师601人，专任教师中高级职称教师130人，具有硕士及以上学位教师344人。//学校秉承“技术立校、文化育人、开放办学、服务侨乡”的办学理念，坚持走“校企合作”、“工学结合”的发展之路，主动适应江门五邑地区产业发展需求，重点建设智能产品开发、模具设计与制造、机电一体化技术、应用电子技术、物流管理、会计等专业及专业群，建成省级重点专业、品牌专业8个。//学校着力推进产教融合、校企合作“精准对接、精准育人”。与翠山湖工业园区、高新技术开发区、蓬江区“人才岛”、德昌电机等产业园区、重大项目、重点企业对接。与古兜温泉公司、中石化等大型企业合作共建现代学徒制试点；与古兜温泉公司合作成立温泉学院。与台山市校地合作，共建江门职院新宁学院，开设旅游管理、模具制造、机电一体化等专业。与澳门旅游学院签署合作协议，探索共建粤港澳大湾区旅游行业资格标准，积极推动成立大湾区旅游职业教育联盟，共同促进旅游人才培养。//学校办学成果丰硕。学校获得省级精品开放课程14门，教学改革等项目16项；教学成果奖2项；拥有省级高等职业教育专业领军人才、高等学校教学名师，优秀教学团队3个，高校“千百十工程”省级培养对象2人，市级高层次人才80多人。中央财政支持实训基地3个，省级实训基地7个，省级公共实训中心3个，省高职教育专项扶持资金支持实训基地3个，大学生校外实践教学基地6个。//学校充分发挥服务社会的功能。2017年为行业、企业提供技术服务42项，获得国家专利97项，专利授权64项。公益性培训服务从5495人日提高到9888人日。//学生在各项竞赛中屡获佳绩，获得国家级奖项近20项、省级400多项。在“挑战杯”广东大学生课外学术科技作品竞赛中，获得多项特等奖、一等奖，连续五届捧得“团体优胜杯”。2018年，在“挑战杯/彩虹人生”全国职业学校创新创效创业大赛中，勇夺全国一等奖，实现新突破；在全省大学生电子设计大赛上，与900多支参赛队伍同场竞技，获得一等奖2个，二等奖2个，三等奖6个。//学校广受社会欢迎，2018年新生报到率达90.05%。毕业生就业质量和满意度进一步提高。2017年毕业生总体就业率首次达到100%，连续5年保持增长势头，对口率达87.11%，就业现状满意度持续提升。2018年毕业生初次就业率达97.54%。//学校重视文化校园建设，把传统文化与时代精神有机结合起来，融中华文化、侨乡文化、科技文化、企业文化于一体，教风、学风和校风建设成效显著，初步构筑了“三年四季一校园”侨乡传统文化育人体系。学校先后获得“广东省文明单位”“广东省安全文明校园”“江门市文明单位”“江门市先进集体”“广东省红旗团委”“广东省普通高校毕业生就业工作先进集体”“广东省语言文字规范化示范校”“广东省践行社会主义核心价值观示范点”“广东省首批法治文化建设示范点”和“全国职业院校魅力校园”“广东高校校园文化建设优秀成果特等奖”等荣誉。</t>
  </si>
  <si>
    <t>2004年7月，江门教育学院、江门市工业中专学校、江门财贸学校等三校整合，挂牌成立全日制公办普通高等职业院校——江门职业技术学院；2009年，其通过教育部高职院校人才培养工作评估验收，2012年成为省级示范性高等职业院校培育单位，2018年成为广东省示范性高职院校  ，2020年跻身中国高职高专排行榜150强 ，2022年入选省域高水平高职院校 ，2023年“创新强校工程”考核跃升至全省高职院校A类第15位 ，7个专业上榜GDI智库高职专科A档专业（列全国第199位、全省第13位）</t>
  </si>
  <si>
    <t>http://www.jmpt.cn/</t>
  </si>
  <si>
    <t>http://zsxx.jmpt.edu.cn/</t>
  </si>
  <si>
    <t>0750/3725289</t>
  </si>
  <si>
    <t>校本部：江门市潮连大道6号,新宁学院校区：台山市台城南区沙岗湖科教文化区</t>
  </si>
  <si>
    <t>https://baike.baidu.com/item/%E6%B1%9F%E9%97%A8%E8%81%8C%E4%B8%9A%E6%8A%80%E6%9C%AF%E5%AD%A6%E9%99%A2</t>
  </si>
  <si>
    <t>https://gaokao.chsi.com.cn/zsgs/zhangcheng/listZszc//schId/1950.dhtml</t>
  </si>
  <si>
    <t>广州卫生职业技术学院</t>
  </si>
  <si>
    <t>广州卫生职业技术学院是广州市人民政府举办的公办卫生类高等职业院校，其办学历史最早可追溯至1902年，是百年历史名校和现代医护摇篮。在长期的办学历程中，学院以立德树人为根本任务，为社会培养培训了数以万计的高素质卫生技术人才，为医疗卫生事业发展作出了重要贡献。//学院占地面积664.6亩，分白云、从化、天河、越秀四个校区。学院师资力量雄厚，现有各类在校生7000余人。开设有护理、助产、老年服务与管理、临床医学、药学、口腔医学、口腔医学技术、医学检验技术、医学影像技术、康复治疗技术、针灸推拿、中医康复技术和医学美容技术等13个专业。学院拥有1家附属医院，建有护理、老年、药学、医学检验技术、口腔医学、临床医学、医学影像技术、康复治疗技术、基础医学、公共基础等十大实训（实验）中心。学生技能水平高，在国家和省、市等各级各类竞赛中屡获佳绩，各类执业资格考试通过率和毕业生就业率位居国内同类院校前列。//学院与美国、新加坡、芬兰、日本、新西兰、澳大利亚、马来西亚以及港澳台等境外机构建立了良好的合作关系，搭建了境外实习、升学和就业平台，为学生的发展提供了广阔空间。//学院是教育部首批“1+X”老年照护证书制度试点项目院校、国际护士执业水平考试(ISPN)考点、国家职业资格中医药行业特有工种职业技能鉴定基地、国家卫健委卫生行业国家职业资格培训鉴定试点院校、广州市第111职业技能鉴定所、广州市卫生护理专业继续教育基地、教育部全国医护英语等级水平考试(METS)培训点及定点考场、广东省高考“3+X”职业技术教育专业技能《生物技术基础》、《护理技能》考点等；开展了育婴员、妇婴护理专项能力等鉴定及居家养老照护技能等考证工作,为地方经济和社会发展提供了应有的服务。//面对新的历史发展机遇，学院以习近平新时代中国特色社会主义思想为指导，坚持党建引领，实施“质量建校、人才兴校、创新强校、管理治校、文化立校”五大战略，实现规模、结构、质量、效益协调发展，建设高水平卫生职业技术学院。</t>
  </si>
  <si>
    <t>http://www.gzws.edu.cn/</t>
  </si>
  <si>
    <t>http://www.gzws.edu.cn</t>
  </si>
  <si>
    <t>020/36081207</t>
  </si>
  <si>
    <t>白云校区地址：广州市白云区广花二路802号,从化校区地址：广州市从化区大江路18号</t>
  </si>
  <si>
    <t>https://baike.baidu.com/item/%E5%B9%BF%E5%B7%9E%E5%8D%AB%E7%94%9F%E8%81%8C%E4%B8%9A%E6%8A%80%E6%9C%AF%E5%AD%A6%E9%99%A2</t>
  </si>
  <si>
    <t>https://gaokao.chsi.com.cn/zsgs/zhangcheng/listZszc//schId/1670685409.dhtml</t>
  </si>
  <si>
    <t>东莞职业技术学院</t>
  </si>
  <si>
    <t>东莞市</t>
  </si>
  <si>
    <t>双高计划/高水平专业群建设单位/现代学徒制试点学院</t>
  </si>
  <si>
    <t>第四类高水平专业群C档现代学徒</t>
  </si>
  <si>
    <t>东莞职业技术学院于2009年成立，是东莞市唯一一所公立高等职业院校。建校以来，学校依托地方经济社会发展，以“办成具有东莞特色的全国一流职业技术学院”为发展目标，凝练了“政校行企协同，学产服用一体”的办学模式，确立了“服务学生成长，支撑东莞制造”的办学理念，实现了快速发展：建校三年成为万人大学，四年成为省第三批示范性高等职业院校立项建设单位，六年位居全省83所高职高专院校第18位、全国1335所高职高专第286位，七年成为省一流高职院校立项建设单位，八年迈入高职高专院校全省13位、全国166位，成为全省高职第一梯队院校。先后荣获“全国大中城市社科先进工作单位”、“全国教育改革创新示范院校”、“广东省安全文明校园”、“广东省教育后勤工作先进集体”、“广东高校优秀后勤服务实体”、“世界莞商大会志愿者服务工作先进集体”、“东莞市社科先进工作单位”、“东莞市园林式单位”等荣誉称号。2017年，学校召开第一次党代会，明确提出要将学校打造成为东莞现代产业技术技能人才培养中心、东莞企业综合服务基地、东莞市民终身教育基地的“一个中心、两个基地”战略目标，并提出“三步走”发展战略。2019年，学校深入学习贯彻《国家职业教育改革实施方案》《广东省职业教育“扩容、提质、强服务”三年行动计划（2019/2021年）》等文件精神，积极融入粤港澳大湾区和“湾区都市、品质东莞”建设，大力实施办学规模与水平“双提升”行动计划，力争到2022年，主要办学指标达到国家优质校标准，全日制在校生规模达到2万人左右。学校位于松山湖国家级高新技术产业开发区，校园总面积62万平方米，校舍建筑面积33.95万平方米。现有固定资产13.37亿，其中教学、科研仪器设备总值1.93亿元。图书馆藏有纸质图书87万余册，中文报纸59种，中文期刊1247种，拥有20余个中外文数据库，中外文电子期刊达3万余种，电子图书160余万种，建成校园网万兆主干、千兆接入、百兆到桌面。学校现有全日制在校生9700余人，各类成人学历教育在校生9000余名。教职工681人，其中专任教师485人。专任教师中，有双师素质教师390人，高级职称162人，中级职称277人，博士41人。现有全国高校思想政治理论课教学能手1人、南粤优秀教师4人、省技术能手2人、省专业领军人才培养对象2人、省优秀青年教师培养对象4人，东莞市优秀教师7人、市特色人才（四类）7人。学校教师荣获国家级教学成果奖1项、省级教学成果奖3项，在省级以上信息化教学大赛中获奖30多项。在2018年广东省职业院校信息化教学大赛中，学校总成绩位居全省第一。学校主动融入“东莞制造2025”战略，对接东莞五大支柱产业、四大特色产业和战略性新兴产业，完成机械制造、电子电气、交通运输等十个专业大类的专业群布局，开设了工业机器人技术等41个专业。现有中央财政支持高职建设专业2个、省重点（品牌）专业6个、高水平建设专业6个、省高职教改项目23个、国际工程认证专业1个。学校根据东莞经济社会发展特点和高职教育办学规律，创新实践“政校行企协同，学产服用一体”的办学模式。先后与400多家企业建立合作关系，探索形成9种校企合作模式；牵头成立东莞市职业教育“政校行企”协同育人指导委员会，积极拓展校内外实践教学空间，建有6个省级大学生校外实践教学基地、468个校外实训基地、172个校内实训室和41个校内实训基地。按照混合所有制模式共建东莞职业技术学院建筑学院、岭南园林学院。与华为、恩智浦等企业开展现代学徒制人才培养合作，与万科集团、东莞国旅等企业开展订单人才培养。先后开办3个国家级现代学徒制试点专业、7个省级现代学徒制试点专业和29个订单班。2012年以来，学校实现普通高考省内3A批次招生，连续3年第一志愿上线率超过115%，连续5年新生报到率位居广东省高职院校前列，毕业生就业率始终保持在98%以上。2018届毕业生的本土就业率约为75%，用人单位对学校毕业生满意度达95.7%。学校是省教育厅批准的自主招生、三二分段试点、“3+2”专升本应用型人才培养试点院校，成功开办专本协同育人专业，为学生搭建起了成长成才“立交桥”。近年来，我校师生在各级各类竞赛中累计获奖近500项，其中国家级奖项70多项，学生参加职业技能竞赛总成绩进入全省前十，并获得广东省技能大赛特殊贡献奖。学校充分发挥人才资源和技术优势，不断增强社会培训和科技服务能力。在市内外设立了15个成人高等教育校外教学点、35个职业培训基地、6个技能鉴定机构，年均培训近万人次。建有1个省级技能大师工作室、2个省级应用技术协同创新中心、3个省级工程技术研究中心、6个市级工程技术研究中心，鼓励8个科研创新团队充分发挥在技术创新、技术改造、决策咨询、政府智库等方面的积极作用。近年来，学校主持和参与制订国家行业标准7项，获市级以上项目立项300余项、省科学技术奖1项、省农业技术推广奖1项、东莞市科技进步奖1项；获得发明专利授权32项、实用新型专利300余项；获教育部人文社会科学研究规划基金项目2个、广东省哲学社会科学“十三五”规划学科共建项目4个。学校积极响应和服务“一带一路”倡议，国际化办学彰显活力。与美、英、加等20多个国家及港澳台地区30多所高校机构合作，开设中外合作办学、学分互认、学生交流、师资培训等多种项目，在英国设立拉夫堡学院教学基地，与海外建立了持续而稳定的合作关系。2013年，国家教育部原副部长鲁昕莅临学院，考察学校校企合作情况；2014年，学校及校企合作单位应教育部邀请,出席“职业院校和企业学习贯彻落实全国职教会精神座谈会”，向与会者分享学校的经验做法。2015年，我校在全省83所高职高专院校中排名18，在全国1335所高职高专中排名286。2016年，中国工程院院长、原教育部部长周济院士莅临学院参观考察。</t>
  </si>
  <si>
    <t>学校于2009年4月经广东省人民政府批准成立。2016年，学校成为广东省一流高职院校立项建设单位。2020年6月，学校成为广东省示范性高等职业院校。2020年，学校被广东省教育厅确立为广东省职业院校“双师型”教师培训基地。2021年9月30日，通过教育部职业教育与成人教育司组织的现代学徒制第三批试点验收。</t>
  </si>
  <si>
    <t>http://www.dgpt.edu.cn/</t>
  </si>
  <si>
    <t>http://zsxx.dgpt.edu.cn/zszc/</t>
  </si>
  <si>
    <t>0769/23306889</t>
  </si>
  <si>
    <t>东莞市松山湖科技产业园区大学路3号</t>
  </si>
  <si>
    <t>https://www.720yun.com/t/162jOzuOzO5</t>
  </si>
  <si>
    <t>https://baike.baidu.com/item/%E4%B8%9C%E8%8E%9E%E8%81%8C%E4%B8%9A%E6%8A%80%E6%9C%AF%E5%AD%A6%E9%99%A2</t>
  </si>
  <si>
    <t>https://gaokao.chsi.com.cn/zsgs/zhangcheng/listZszc//schId/57303954.dhtml</t>
  </si>
  <si>
    <t>广东工贸职业技术学院</t>
  </si>
  <si>
    <t>省属/双高计划/高水平专业群建设单位/现代学徒制试点学院</t>
  </si>
  <si>
    <t>广东工贸职业技术学院是省政府直属的全日制普通高等职业院校，广东省示范性高等职业院校，广东省18所全国一流高职院校建设单位之一，广东省安全文明校园。学校地处广州市，现有天河和白云两个校区，占地面积1038亩，全日制在校生规模达15000人，成人学历教育规模达9000人。//学校创办于1957年，前身为广州有色金属工业学校，1999年开始承担高等职业教育，2002年升格为高职院校。学校秉承“寻真求是，格物致知”的校训精神，以办人民满意的教育为己任，按照“从严治学，特色兴校，培养社会需要的高素质高技能人才”的质量方针，实行学历证书和职业技能证书相结合的“双证书”制度，紧跟区域经济发展需求，为制造、商贸、服务行业输送大批知识扎实、技术全面的高素质技术技能人才。//学校教育教学场所宽广，教学仪器设备先进，管理运行机制良好。建有23个校内实训基地（其中有4个中央财政支持高职教育实训基地、7个省级高职高专教育实训基地、1个省级高技能人才实训基地）。1个省级公共实训中心、9个省级高职教育大学生校外实践教学基地、1个省级协同育人中心，170个实训实验室，787个校外实践教学基地。馆藏纸质图书达67.25万册，电子图书40.2万册。//学校目前设有机电工程学院、汽车工程学院、计算机与信息工程学院、测绘遥感信息学院、工商管理学院、经济贸易学院、应用外语学院、马克思主义学院、继续教育与培训学院、创新创业学院、体育艺术教学部共11教学机构。开设35个专业，现有1个省级一类品牌建设专业，3个省级二类品牌建设专业，2个中央财政支持的重点专业，4个省级高职教育示范性专业，9个省级高职教育重点专业，3个省级现代学徒制人才培养试点专业，9个省一流高职院校高水平专业建设项目，2个高职本科协同育人专业。省级精品课程5门，省级精品开放课程16门，优质教学资源库12个。//学校拥有一支师德高尚、结构合理、素质优良的教师队伍。现有专任教师665人，其中具有高级职称教师195人，具有博士、硕士以上学位教师480人，由企业技术骨干、企业行业专家担任的兼职教师609人；广东省高职教育优秀教学团队建设项目5个，青年珠江学者1人、广东省高等职业教育专业领军人才4人、广东省高层次技能型兼职教师32人、广东省高等职业青年优秀教师培养对象2人、南粤优秀教师7人、南粤优秀教育工作者2人。学校教师承担国家、省、市等各类科研及教改项目640项，主编、主审、参编全国、全省公开出版的高职高专教材284部，公开发表论文2428篇。//学校深度探索校企合作体制机制创新，全力推进公办高职院校牵头的集团化办学，以校企合作产业园为纽带，创建广东工贸职业教育集团，现有理事单位120多家，涵括企业、行业协会、职业院校多层次多类型单位。开展多元化校企协作育人模式，成立蓝盾软件学院、五洲龙汽车学院，校企合作共育人才。//学校积极构建现代职业教育体系，与多所院校开展“三二分段”中高职衔接人才培养，探索高职与本科衔接发展途径，搭建人才培养立交桥，打通学生学习上升通道。贯彻终身教育理念，依托继续教育与培训学院，学历教育与职业培训并举，全日制与非全日制并重，培训课程与成教学分互认，积极开展技能培训、职业鉴定、自学考试等工作，现有1个鉴定机构，可实施的鉴定工种3个，有1个考试站，可开考的高新技术考试33项，年培训鉴定约1.5万人次。//学校创新创业教育蓬勃发展。打造创新创业孵化中心“广东工贸·万讯创客城”，成立广东工贸·万讯创新创业学院，设立“万讯创业投资基金”，为大学生提供创新创业实践平台。积极建设广东省首批协同育人平台建设项目——测绘地理信息协同育人中心，团省委高校共青团“青创空间”孵化中心示范点—大学生创业孵化基地。创新创业贯穿人才培养全过程，设立创新创业课程和学分，开设创新班，实行导师制，有效培养学生的创新精神、创业意识和实践能力。//学校积极推进学生综合素质教育工程。实施“一个战略、四大体系、两个载体”的142育人工程。突出“金牌战略”，激发学生发挥潜能，追求卓越；实施“工贸职业技师”等四大体系奖学制度，不断提高学生的技术技能能力、实践能力和创新能力。把“金牌战略”和“四大体系”奖学制度的实施寓于日常工作中去，以“八个一”系列教育活动和“百个学生社团”两类载体，营造大学生健康成长成才的优良氛围。人才培养质量不断提升，学生在国内外屡获大奖，毕业生深得用人单位好评，就业率连年保持在99%以上，就业质量不断提高。社会影响力不断提升，成为众多考生竞相报读的热门院校之一。//学校坚持走国际化办学道路，积极开展中外交流与合作，努力探索学历教育、学生互换、教师交流、学分互认、海外实习和国际认证等多种形式的国际交流与合作，与台湾龙华科技大学、新加坡创新计算机学院、澳大利亚维多利亚大学和南澳职业技术学院、德国F+U教育集团和韩国东国大学等境外教育机构进行了交流合作，拓展了学校的办学渠道。//学校大力发展信息化建设。利用信息技术与ISO9001质量管理体系有机融合，建成基于ISO9000质量管理体系的数字化知识管理与服务平台，形成自身的教育教学管理特色，应用于教育教学管理工作的全过程，促进了各项管理工作的规范化和制度化，推动学校人才培养工作向标准化、信息化、知识化迈进。//学校党委高度重视党建与思想政治工作。充分发挥党组织战斗堡垒作用和党员先锋模范作用，广泛调动师生员工在办学中的积极性；坚持“立德树人”，着力建设高素质的师资队伍及管理队伍；强化学生思想政治工作，践行社会主义核心价值观，促进学风校风建设，培养中国特色社会主义建设合格的接班人。//学校将继续坚持“外延发展与内涵提升并举，党建工作和中心工作相结合”的办学思路，以创新强校为引领，以“十三五”规划为抓手，以习近平新时代中国特色社会主义思想为指引，以十九大精神为鼓舞，/坚持教育教学改革，提升人才培养质量，锐意创新，开拓进取，认真写好广东工贸“奋进之笔”。</t>
  </si>
  <si>
    <t>广东工贸职业技术学院的前身是冶金工业部于1957年创办的广东省冶金工业学校，1984年9月21日划转给中国有色金属工业总公司并更名为广州有色金属工业学校，1999年3月31日划归广东省人民政府管理，1999年10月7日与民办南华工商学院合并办学，2002年5月14日经广东省人民政府批准，设立广东工贸职业技术学院。 2019年12月，被教育部、财政部列入第四类高水平专业群建设单位（C档）。</t>
  </si>
  <si>
    <t>http://www.gdgm.cn/</t>
  </si>
  <si>
    <t>http://dept.gdgm.cn/zsw/</t>
  </si>
  <si>
    <t>020/87745757</t>
  </si>
  <si>
    <t>天河校区：广州市天河区广州大道北963号,白云校区：广州市白云区钟落潭镇广从九路980号</t>
  </si>
  <si>
    <t>https://www.720yun.com/t/53djzOmauw5</t>
  </si>
  <si>
    <t>https://baike.baidu.com/item/%E5%B9%BF%E4%B8%9C%E5%B7%A5%E8%B4%B8%E8%81%8C%E4%B8%9A%E6%8A%80%E6%9C%AF%E5%AD%A6%E9%99%A2</t>
  </si>
  <si>
    <t>https://gaokao.chsi.com.cn/zsgs/zhangcheng/listZszc//schId/1431.dhtml</t>
  </si>
  <si>
    <t>广东水利电力职业技术学院</t>
  </si>
  <si>
    <t>广东水利电力职业技术学院创建于1952年，是广东省唯一以水利电力类专业为主的公办全日制高等职业院校。2015年，学校被中央文明委评为第四届全国文明单位。//学校是国家（示范）骨干高职院校、广东省一流高职院校立项建设单位、水利部首批全国水利职业教育示范院校、广东省创新创业教育示范校、全国高校就业工作50强示范单位、教育部“高职高专院校人才培养工作优秀单位”，中国水利职业教育集团第二届理事会副理事长单位，多次被广东省授予“职业教育先进单位”称号。//学校由广州天河校区、广州从化校区、飞来峡教学实训基地、江湾实习电站等组成，占地面积约1100亩，总建筑面积34万平方米，校内实验实训基地160个、校外实验实训基地268个。教学、科研仪器设备总值1.07亿元。现有全日制在校生14000余人，教职工790人，其中高级职称教师258人，国务院津贴专家1人，二级教授1人，教授32人，博士59人，硕士422人，“双师素质”教师占专任专业教师比例88.72%。设有水利工程学院、电力工程学院、土木工程系、建筑与环境工程系、市政工程系、自动化工程系、计算机信息工程系、机械工程系、经济管理学院、应用外语系等十个二级学校（系）和马克思主义学院、数学、体育三个教学部，开设水利水电建筑工程、电厂设备运行与维护等全日制高职专业46个，与广东嘉应学院、广东石油化工学院合作开设土木工程（基础工程技术方向）、数控设备应用与维护等2个本科专业，新增与东莞理工学校院开展“4+0”协同育人试点；与澳大利亚合作培养建筑工程技术、建筑设计技术专业、应用英语（酒店与会展）的双文凭专科生和本科生。学校与国内357家企业签订了校企合作协议；与美国、加拿大、德国、新加坡、台湾等国家和地区开展了广泛的交流与合作。近三年毕业生就业率均超过99%。//学校设有水利部“全国水利行业定点培训机构”、劳动与社会保障部“水利行业特有工种职业技能鉴定站”、“全国计算机信息高新技术考试站”，是承担教育部、住建部实施“建设行业技能型紧缺人才培养培训工程”的院校之一，也是广东省“高技能人才实训基地”和“广东省特种作业人员安全技术培训机构”；2006年经广东省劳动与社会保障厅批准成立了“职业技能鉴定所”。2014年教育厅、水利厅批准成立“广东省水利人才教育基地”。//凭借60余年的办学底蕴，学校在办学实力、人才培养、社会服务等方面跻身全省高职前列，先后为行业和社会输送了4万余名技术技能人才，成为助推行业发展和区域经济转型升级的重要人才培养基地。“潮平两岸阔，风正一帆悬”。而今，学校正站在新的起点上，以教育教学改革为动力，以“创新强校”工程、省一流高职院校项目建设为抓手，沿着办人民满意教育的道路行稳致远！</t>
  </si>
  <si>
    <t>学校始建于1952年的广州土木水利工程学校；1953年5月更名为珠江水利学校；1954年1月合并到武汉水利学校；1956年4月成立广州水利学校；1958年8月成立广东水利学院，同年9月更名为广东水利电力学院；1965年8月更名为广东省水利电力厅干部学校；1973年5月学校复办更名为广东省水利电力技术学校；1979年更名为广东省水利电力学校；1999年7月经教育部批准升格为广东水利电力职业技术学院。 2008年，学校入选广东省省级示范性高等职业院校建设项目。2011年，学校被国家水利部确认为“全国水利职业教育示范院校”。2025年，广东水利电力职业技术学院与津巴布韦穆塔雷理工学院签约共建“广东水电—穆塔雷工程技术学院”。 学校先后荣获“2015年度广东省高等院校对外交流与合作先进集体”，2018-2020年蝉联“亚太职业院校影响力50强”等 。</t>
  </si>
  <si>
    <t>http://www.gdsdxy.cn/</t>
  </si>
  <si>
    <t>https://zs.gdsdxy.edu.cn/</t>
  </si>
  <si>
    <t>020/38490923、38490704、87993480</t>
  </si>
  <si>
    <t>天河校区：广州市天河区天寿路122号,从化校区：广州市从化区环市东路767号</t>
  </si>
  <si>
    <t>https://www.720yun.com/t/38d2cwa69yw</t>
  </si>
  <si>
    <t>https://baike.baidu.com/item/%E5%B9%BF%E4%B8%9C%E6%B0%B4%E5%88%A9%E7%94%B5%E5%8A%9B%E8%81%8C%E4%B8%9A%E6%8A%80%E6%9C%AF%E5%AD%A6%E9%99%A2</t>
  </si>
  <si>
    <t>https://gaokao.chsi.com.cn/zsgs/zhangcheng/listZszc//schId/645.dhtml</t>
  </si>
  <si>
    <t>珠海城市职业技术学院</t>
  </si>
  <si>
    <t>珠海市</t>
  </si>
  <si>
    <t>二线城市</t>
  </si>
  <si>
    <t>珠海城市职业技术学院是由珠海市人民政府举办的全日制普通高等院校，2004年4月经广东省人民政府核准成立，并报教育部备案，是由原珠海教育学院、珠海广播电视大学、原珠海市工业技工学校、原珠海市财贸学校合并组建而成。珠海教育学院的前身是创建于1970年3月的珠海师范学校，1983年7月升格为专科层次院校。学校举办高等教育已逾30年，积累了丰富的职业教育办学经验。//学校于2013年11月被广东省教育厅、省财政厅确定为第三批广东省示范性高职院校立项建设单位。现任党委书记为钟以俊，校长为刘华强。//学校现占地面积约361400平方米，基础设施完善，建有条件良好、设施先进的各类实验实训室、功能室，教学科研仪器设备总价值8049余万；图书资料约42.7万册。设有10个院部（含正在筹建的海洋工程学院），开设了与珠海社会经济发展密切相关的35个专业。目前，各类在校生14000余人，其中，全日制高职高专学生6200余人，各类非全日制成人学历教育在校生约8000人。//学校致力于打造“双师素质”和“双师结构”的教学团队，学院现有专任教师343人，硕士及以上学位占比77%，其中博士（含在读）87人。高级职称占比28.3%。教师队伍中3人入选教育部高职教学指导委员会、15人入选广东省高职教学指导委员会。拥有省级教学团队4个、省教学名师/1人、省级专业领军人才培养对象1人、省高等院校优秀青年教师培养对象1人、省高等职业院校高层次技能型兼职教师6人、1名珠海特聘学者、5名珠海市高层次人才。实施“双带头人”计划、“双向兼职”计划、“双师素质”提升计划、“双师结构”优化计划，打造了一支“四双”师资队伍。校内重点专业均已实行“双带头人”制度，兼职教师达211人，双师素质教师280人，占比81.6%。//学校主动适应珠海经济社会发展，明确提出了“爱生崇教、德技并修、产教融合、服务珠海”的办学理念。学校的产学研合作创新工作得到肯定，2016年荣获“中国产学研合作创新奖”；学校紧贴珠海高端产业优化专业布局，与武汉船舶职业技术学院合作开办船机专业，服务海洋工程装备产业；与五洲树人公司合作开办空中乘务专业，服务航空产业，与上海海事大学等成立了西江航运研究中心。学院与格力电器、微软、三一重工、珠海港控股集团、华发集团、长隆等193家企业开展不同形式的合作，与澳门城市大学携手建立珠澳国际教育创新园。//学校对接珠海产业布局，建立了电子信息、机电工程、旅游管理、物流管理、社会工作和艺术设计等六大专业群。机电一体化技术和酒店管理专业入选第二批教育部现代学徒制试点单位。汽车营销与服务专业入选教育部第二批“中德诺浩高技能汽车人才培养助推计划”。现有央财重点支持建设专业两个、省级重点专业1个、重点建设专业3个、省级（二类）品牌建设专业两个。主持和参与建设国家高等职业教育专业教学资源库项目两个。物流管理专业入选2017年中国职业院校物流专业竞争力排行榜50强。电子信息工程技术专业作为广东省高职院校首批试点单位，率先通过IEET国际工程教育专业认证。智慧旅游实训基地入选国家旅游局旅游职业教育校企合作示范基地。//学校进一步加强与美国、德国、法国、英国、新加坡、澳大利亚、韩国、台湾等职教先进国家与地区的交流合作，深化职教先进理念和方法。粤德职业教育合作珠海基地被确定为省级基地，成为广东省首批德国AHK合作“中德合作学校”。学校与英国朴茨茅斯大学推进（3+1）专升本项目，与马来西亚拉曼大学学院合作成立国际教育合作与研究中心。//学校重视培养和提高学生职业竞争能力、知识运用能力和可持续发展能力。2013/2018年，学院在全国全省职业技能大赛上共获得国赛奖项13项，其中一等奖两项；获得省赛奖项140项，其中一等奖17项。学院获得2016/2017年度广东省职业院校技能大赛特殊贡献奖。在中国高等教育学会高校竞赛评估与管理体系研究专家工作组发布的2012/2016全国普通高校竞赛评估结果（高职）TOP300中，学院名列广东第14位、全国第281位。在2017/2018年广东省职业院校技能大赛中，学院在全省95所参赛高校中并列第6位。2016/2018年在省级挑战杯和互联网+创新创业大赛中获奖42项，其中特等奖一项、一等奖三项。学院入选由中国青年报社组织评选的2016年全国高职院校创新创业示范校50强。//各级领导十分重视学校的发展和建设，省、市多位领导莅临我校检查指导工作，充分肯定我校为广东，尤其是服务珠海经济社会发展作出的贡献。我校将继续以深化产教融合、促进校企合作为主线，以强化内涵建设、提升办学水平为核心，努力建设广东一流全国知名高职院校。</t>
  </si>
  <si>
    <t>珠海城市职业技术学院于2004年4月经广东省人民政府批准，由珠海教育学院、珠海市工业技工学校、珠海市财贸学校、珠海广播电视大学合并组建成立 ，同时保留珠海广播电视大学建制，为独立法人机构。 2018年1月，珠海市广播电视大学（珠海城市职业技术学院成人教育学院、珠海社区大学）更名为珠海开放大学（珠海城市职业技术学院继续教育学院、珠海社区大学）。</t>
  </si>
  <si>
    <t>http://www.zhcpt.edu.cn/</t>
  </si>
  <si>
    <t>https://zs.zhcpt.edu.cn/</t>
  </si>
  <si>
    <t>0756/7253616、7253066</t>
  </si>
  <si>
    <t>珠海市金湾区西湖城区金二路</t>
  </si>
  <si>
    <t>https://www.720yun.com/t/4842cxavxyv</t>
  </si>
  <si>
    <t>https://baike.baidu.com/item/%E7%8F%A0%E6%B5%B7%E5%9F%8E%E5%B8%82%E8%81%8C%E4%B8%9A%E6%8A%80%E6%9C%AF%E5%AD%A6%E9%99%A2</t>
  </si>
  <si>
    <t>https://gaokao.chsi.com.cn/zsgs/zhangcheng/listZszc//schId/1952.dhtml</t>
  </si>
  <si>
    <t>广东机电职业技术学院</t>
  </si>
  <si>
    <t>广东机电职业技术学院坐落在广州市白云区，是一所隶属于广东省教育厅的公办全日制工科类普通高等职业院校、广东省一流高职院校建设单位、广东省示范性高职院校。学院办学历史悠久，前身为创建于1963年的广东省农业机械化技工学校，历经“广东省农业机械技术学校”、“广东省农业机电学校”、“广东省机电学校”等发展阶段。2001年，经广东省人民政府批准，学校升格为高等职业院校，翻开了快速发展的崭新篇章。//学院现有全日制在校生15000多人，成人高等学历教育在校生4700多人；两个校区，南校区坐落于风景秀丽的白云山畔，交通便利；北校区位于职业教育气息浓厚的广州钟落潭高职园区；校园总面积约800亩，校舍建筑面积25万平方米，教学仪器设备总值超过1亿元。//学院设有先进制造技术学院，电气技术学院、汽车学院、计算机与设计学院、电子与通信学院、经济贸易学院、物流学院、外语商务学院、马克思主义学院、继续教育学院和体育部等十院一部，主动适应地方经济社会发展需要，开设专业44个，形成了以先进制造业专业群为主体，以电子信息业产业和现代服务业产业相关专业群为两翼的专业格局。学院建有国家级示范专业1个，中央财政支持专业2个、实训基地4个，省级示范专业3个、一类品牌专业2个、二类品牌专业9个，重点专业8个；拥有国家级精品在线开放课程1门、省级精品在线开放课程22门。//学院在职教职工900余人，师资队伍结构合理，其中专任教师760余人，34%以上具有副高或以上职称，77%以上具有硕士及以上学位。学院拥有全国先进工作者1人，全国优秀教师1人，广东省“五一劳模”1人，省级特支计划教学名师4人，南粤优秀教师6人，南粤优秀教育工作者2人，省级教学名师2人，省级专业领军人才1人，省级优秀青年教师4人，“千百十人才培养工程”省级培养对象6人，国内访问学者10人，省级优秀教学团队6个，省级高层次技能型兼职教师59人。//学院坚持走质量、规模、效益协调发展之路，以教师为主导，以学生为主体，积极探索教学改革，着力提高教育教学质量和办学综合效益。学生在全国和省市各级各类职业技能大赛上共获取奖项407项，其中2017年全国职业院校技能大赛获奖排名全省第1、全国第13，在2012/2016年全国普通高校竞赛评估结果（高职）中排名全省第3、全国第56，进入全国先进行列。学院获得国家级教学成果2项，省级教学成果8项；在2015、2017年“创新强校”工程建设中期考核中排名分列全省第3和第1。2017年，学院还被评为“全国高等职业院校服务贡献50强”单位。//学院以素质教育为核心，坚持培养具有自我管理、自主学习、自励成长能力的生产、建设、管理、服务第一线需要的高素质技术技能人才，大批“实践能力强、行业品质优、岗位适应快”的优秀毕业生被国内知名企业录用，就业网络主要辐射珠三角，毕业生初次就业率始终稳定在98%以上，基本实现学生有尊严更体面高质量就业。//学院坚持以服务为宗旨，服务广东经济社会发展，被教育部、财政部评选为“优质省级职教师资培养培训基地”,是国家“数控技术应用”、“汽车运用与维修”专业领域技能型紧缺人才示范性培养培训基地，广东省中职、高职院校骨干教师培训基地；拥有国家职业技能鉴定所、全国计算机高新技术考试站、广东省特种作业人员安全技术培训单位等3个培训及鉴定资质，可开展81个工种的职业资格鉴定，其中铣工、数控铣工、维修电工、汽车修理工等具有高级技师培训和鉴定资格。//学院实施“开放办学、协同创新”的发展战略，广泛开展国内国际间的交流与合作。一方面深耕产教融合、校企合作，与“一汽大众”、“捷豹路虎”、“美的”等知名企业实现了深度校企合作，建立校外实训基地358个，获首批省级协同创新中心1个，首批省级协同育人平台1个，成为国家首批100个现代学徒制试点单位之一。2011年9月牵头组建了广东机电职业教育集团，2018年入选省示范职业教育集团建设储备入库项目建设牵头单位，目前有成员单位180家，下设5个委员会，形成了“政行企校研”多方参与的合作办学体制机制。另一方面开展留学生培养，目前在读学历留学生28人。//学院通过加强党的建设，充分发挥党委的领导作用，开展党建“1234工程”，通过建立课程育人、管理育人、服务育人、文化育人、科研育人、心理育人、组织育人、资助育人、网络育人、实践育人等十大育人体系，夯实意识形态教育，把握住“一个正确的办学方向”；通过加强纪律教育，强化纪律执行，督促问题整改，落实党风廉政“两个责任”；通过团结协作，作风建设，管好用好校领导班子、中层干部、党务干部“三支队伍”；通过完善制度、细化流程，实现党建工作规范化、专业化、标准化、流程化的“四化要求”。党建工作的有力推动，为学校的中心工作的推进提供了坚强的组织保障、力量保证。//半个世纪的薪火相传，学院坚持发扬“修德强能，崇实鼎新”精神，与时俱进，开拓进取，实现了自身的快速发展和办学水平的不断提高。进入新的历史时期，学院用雄鹰般锐利的改革目光，果断有力地抡起了新一轮改革发展的大斧，凝心聚力，锐意创新，为实现“基本办学条件建设、办学规模建设、办学内涵建设”三大跨越而大步迈进，并努力把学院建成为一所特色鲜明、质量优异、结构合理、社会服务能力强的一流高职院校，力争在人才培养、科学研究、社会服务、文化传承与创新等方面作出更大的贡献！</t>
  </si>
  <si>
    <t>学校前身是创建于1963年的广东省农业机械化技工学校；历经“广东省农业机械技术学校”、“广东省农业机电学校”、“广东省机电学校”发展阶段；2001年5月，经广东省人民政府批准升格为高等职业院校。</t>
  </si>
  <si>
    <t>http://www.gdmec.cn/</t>
  </si>
  <si>
    <t>http://zs.xg.gdmec.cn/</t>
  </si>
  <si>
    <t>020/61362195</t>
  </si>
  <si>
    <t>南校区：广州市白云区同和街道蟾蜍石东路2号,北校区：广州市白云区钟落潭高职园区马沥路</t>
  </si>
  <si>
    <t>https://www.720yun.com/t/1fa2cwsdybf</t>
  </si>
  <si>
    <t>https://baike.baidu.com/item/%E5%B9%BF%E4%B8%9C%E6%9C%BA%E7%94%B5%E8%81%8C%E4%B8%9A%E6%8A%80%E6%9C%AF%E5%AD%A6%E9%99%A2</t>
  </si>
  <si>
    <t>https://gaokao.chsi.com.cn/zsgs/zhangcheng/listZszc//schId/1225.dhtml</t>
  </si>
  <si>
    <t>广州科技贸易职业学院</t>
  </si>
  <si>
    <t>广州科技贸易职业学院由广州市科学技术协会于1984年创办，是经广东省人民政府批准、教育部备案的广州市属公办全日制普通高等职业院校。著名科学家、中国工程院院士、广州市科学技术协会名誉主席钟南山担任名誉院长。学院现有番禺校区（毗邻广州大学城、思科智慧城、华南理工大学国际学院、暨南大学南校区）、越秀花果山校区，地理位置优越，校园环境优美。学院秉承“质量立校、人才强校、特色兴校、服务荣校”的办学理念，遵循“厚德、励学、修技、至善”的校训，以立德树人为根本，以服务发展为宗旨，注重技术技能人才培养，大力弘扬工匠精神，遵循创新发展、质量发展、内涵发展、特色发展、协调发展五大发展理念，坚持走“科技助推产业，商贸服务经济”的发展路子，深化产教融合、校企合作，加快建设发展，为区域发展现代服务业、先进制造业、战略性新兴产业培养技术技能人才已达六万多人。学院现为国家教育部现代学徒制试点单位。设有7个二级学院和2个教学部，开设27个专业。其中中央财政支持重点专业2个，省级重点专业5个，省级品牌（重点）建设专业3个，市级重点（示范性）专业7个，市级特色(示范、产业)学院4个。学院在校全日制学生6016人，成人学历教育在读生5300人，在岗教职工429人，其中专任教师283人，高级职称专任教师76人，硕士以上学位的专任教师227人，高级职称和具有硕士以上学位的专任教师比例均位于省内高职院校前列。学院大力实施创新强校工程，推进“政校行企”协同创新，深化校企合作、产教融合的现代高职人才培养模式改革，建设了设备先进、特色鲜明的校内实践基地139个，校外实习实训基地66个。获省级实训基地4个，省级大学生校外实训基地3个，省级教学团队2个，省级精品资源共享课程7门，省级教育教学改革项目60余项，省级教学成果奖2项。近三年参加技能竞赛获省级以上奖项400余项，其中学生获全国职业院校技能竞赛高职组市场营销专业一等奖1项，教师获全国职业院校技能大赛职业院校教学能力比赛二、三等奖各1项，2018年获广东省职业院校信息化教学大赛及广东省第四届高校青年教师教学大赛一等奖8项。学院努力创建省内一流、国内知名、特色鲜明的现代高职院校，不断提升办学质量，打造特色品牌专业，得到社会广泛认同。学院招生就业连续多年保持两旺，近三年毕业生初次就业率均超过98%，企业满意度超过95%，为培养区域经济发展和产业结构调整迫切需要的高素质技术技能型人才做出了积极的贡献。我院有普通高考招生、学考招生、自主招生、中高职贯通三二分段招生等四种招生类型，其中普高录取批次为第三批专科，面向理科、文科、美术类、音乐类、3+证书招生，欢迎广大高中、中职应往届毕业生踊跃报读!</t>
  </si>
  <si>
    <t>学校于1984年创办，初名广州市科技进修学院，先后更名为广州市科技干部学院、广州大学科技干部学院、广州大学科技贸易技术学院，2006年4月经广东省人民政府批准设立为广州科技贸易职业学院。 2018年，学校建立广州市动漫游戏产业学院。2021年9月，学校通过教育部职业教育与成人教育司组织的现代学徒制第三批试点验收； 2022年9月，学校入选为教育部信息化支撑职业院校校企合作专业共建项目首批共同体成员</t>
  </si>
  <si>
    <t>http://www.gzkmu.edu.cn/</t>
  </si>
  <si>
    <t>http://www.gzkmu.edu.cn/zsw</t>
  </si>
  <si>
    <t>020/84560798、84560708、84567663</t>
  </si>
  <si>
    <t>广东省广州市番禺区南村镇市新路北段669号,花果山校区：广州市越秀区童心路西胜街42号科协大院5号楼</t>
  </si>
  <si>
    <t>https://baike.baidu.com/item/%E5%B9%BF%E5%B7%9E%E7%A7%91%E6%8A%80%E8%B4%B8%E6%98%93%E8%81%8C%E4%B8%9A%E5%AD%A6%E9%99%A2</t>
  </si>
  <si>
    <t>https://gaokao.chsi.com.cn/zsgs/zhangcheng/listZszc//schId/5131503.dhtml</t>
  </si>
  <si>
    <t>广东茂名健康职业学院</t>
  </si>
  <si>
    <t>茂名市</t>
  </si>
  <si>
    <t>广东茂名健康职业学院创办于2015年，是广东省人民政府批准设立的公办全日制普通高等学校。学院位于茂名市电白区电海街道安乐东路，北靠沈海高速，南濒水东湾，西邻包茂高速，东接325国道，交通便利，环境宜人。////校园规划占地506亩，建筑面积290000平方米，总投资约12亿元。首期建设用地356亩，校舍85000平方米，室外运动场地面积31200平方米。学院实验实训设备总值3000多万元，图书馆藏书22万册。学院现有教职工204人，其中专任教师157人。专任教师中，博士2人，硕士研究生27人；高级职称42人（其中副教授21人）。////学院现开设助产、中药学、医学营养、健康管理、护理、药学、医学检验技术、康复治疗技术、中医养生保健、医学美容技术等10个专业，高职学生4700人。另有中职学生1766人，学生总人数6466人。////学院是教育部批准的紧缺人才培养基地，广东养老产业与教育联盟单位，茂名市全科医生培养培训基地。学院将立足茂名，服务广东，辐射全国，以立德树人为根本，以服务发展为宗旨，以促进就业为导向，把握机遇，打造精品，办出特色，建成高等职业教育及卫生技术人才培训并存的多层次、高规格的现代新型职业院校，为区域经济和健康服务领域培养具有创新精神的高素质劳动者和技术技能人才。</t>
  </si>
  <si>
    <t>http://www.gdmmhvc.cn/</t>
  </si>
  <si>
    <t>http://www.gdhvc.edu.cn/html/jgsz/dzgljg/zsysxzdczs/</t>
  </si>
  <si>
    <t>0668/2902527、0668/2904228</t>
  </si>
  <si>
    <t>广东省茂名市电白区水东镇安乐东路1号</t>
  </si>
  <si>
    <t>https://baike.baidu.com/item/%E5%B9%BF%E4%B8%9C%E8%8C%82%E5%90%8D%E5%81%A5%E5%BA%B7%E8%81%8C%E4%B8%9A%E5%AD%A6%E9%99%A2</t>
  </si>
  <si>
    <t>https://gaokao.chsi.com.cn/zsgs/zhangcheng/listZszc//schId/1450498923.dhtml</t>
  </si>
  <si>
    <t>惠州卫生职业技术学院</t>
  </si>
  <si>
    <t>惠州市</t>
  </si>
  <si>
    <t>惠州卫生职业技术学院是2012年3月经广东省人民政府批准、教育部备案设立的惠州市第一所公办全日制高等职业院校。学校前身是始建于1958年的国家重点中专学校——惠州卫生学校。60年以来，学校为惠州及周边地区培养和输送了一大批医疗卫生人才，被誉为白衣天使的摇篮。//校园占地413亩，建筑面积12.04万平方米。学校设有直属附属医院一所，占地30多亩，建筑面积1.69万平方米。学校校园环境优雅，生活设施完善，教学、实训设备齐全，建有多功能图书馆，教育教学资源丰富。//学校现有教师总数234人，其中校内专任教师208人，其中具有硕士以上学历或学位的教师107人，其中具有副高以上职称的教师44人。学校还从医院、医药卫生类企业，引进实践经验丰富、工作业绩突出、在本行业具有一定影响力的兼职教师。学校有国家级或省级教学名师6人，惠州市十佳校长、明星校长1人，惠州市人民教育家培养对象1人，惠州市“首席教师”9人。//学校坚持“四个对接”（人才培养对接用人需求、专业设置对接行业企业、课程内容对接岗位标准、教学过程对接工作流程）的原则，创新人才培养模式，着力打造护理人才培养协同创新平台、鲲鹏精密义齿研制协同创新中心、科方临床检验技术协同创新中心、雷诺视光技术协同创新中心和大学生创新创业孵化中心，专业建设水平和人才培养质量大幅提升。//学校设有护理、助产、药学、医学检验技术、康复治疗技术、中药、食品营养与检测、口腔医学技术、眼视光技术、药品生产技术、药品服务与管理、健康管理、医学美容技术等13个高职专业；中职部设护理、助产、药剂、口腔修复工艺、农村医学、中医康复保健（中医美容）等6个中职专业。目前全日制在校生数7094人，其中高职生4802人，中职生2292人。//学校与南方医科大学、广东医科大学、汕头大学等高校密切合作，共享师资、品牌等优质教育资源，开展临床医学、护理、药学等专业成人学历教育；与省内100多家医疗机构和企业合作，共建校外实训基地；以资源共享、专业共建、人才共育为原则，与省内和港澳知名企业、机构联合办学。//学校遵循“厚朴远志”之校训，以“医德为先，技能为本，服务师生成长，服务人民健康”为办学理念，培养适应健康产业需求的“德技双馨”高素质技术技能人才，着力打造南粤医药卫生职业教育高地，努力建设特色鲜明、省内一流、国内外知名的高水平高等职业学校。</t>
  </si>
  <si>
    <t>http://www.hzhsp.edu.cn/</t>
  </si>
  <si>
    <t>http://zsw.hzhsp.edu.cn</t>
  </si>
  <si>
    <t>0752/2366800</t>
  </si>
  <si>
    <t>广东省惠州市惠城区惠南大道（三栋段）69号</t>
  </si>
  <si>
    <t>https://www.720yun.com/t/80f2ejp5y4g</t>
  </si>
  <si>
    <t>https://baike.baidu.com/item/%E6%83%A0%E5%B7%9E%E5%8D%AB%E7%94%9F%E8%81%8C%E4%B8%9A%E6%8A%80%E6%9C%AF%E5%AD%A6%E9%99%A2</t>
  </si>
  <si>
    <t>https://gaokao.chsi.com.cn/zsgs/zhangcheng/listZszc//schId/374778933.dhtml</t>
  </si>
  <si>
    <t>广州城市职业学院</t>
  </si>
  <si>
    <t>广州城市职业学院是2005年3月经广东省人民政府批准、国家教育部备案，由广州市人民政府举办的高等职业院校。学院于2005年9月揭牌成立。2009年5月，广州市政府批准学院加挂“广州社区学院”牌子，成为广州首家社区学院。//学院的办学理念是：“质量立校、人才强校、文化塑校、特色兴校”。办学定位是：立足广州，服务城市发展；以高等职业教育为主，积极拓展社区教育；坚持职业教育规律，坚持文化塑校，坚持内涵发展，努力把学院建设成为以岭南文化与时代精神相互交融为特征的高级技术技能人才培养基地、应用技术转化平台、社区教育与服务示范中心和市民终身学习园地。学院发展的四大办学优势是：北上广一线城市的中心区、国家重要中心城市的风景区、文理工艺专业兼有的综合区、毕业生高就业率的示范区。//学院办学历史最早可以追溯至1962年，50多年来为社会各界培养了30多万人才，受到社会的广泛好评。2009年12月，学院以优异的成绩通过教育部人才培养工作评估。2013年11月，被广东省教育厅确立为广东省示范性建设高职院校。到2020年，争取建设成为广东省一流水平的高职院校。//学院位于国家重要中心城市广州，现有5个校区。广园南校区、广园北校区坐落在风景秀丽的白云山下、麓湖之畔，海珠、滨江及越秀3个校区分布在广州中心市区。学院建有多功能的现代化图书馆，教学大楼、实训大楼、宿舍楼、学生活动中心、室内外体育场馆等设施一应俱全。数字化校园整体建设和应用水平在全省高职院校中位居前列。//目前，学院面向广东、安徽、福建、江西、湖南、四川、广西、山西、内蒙古、河南、贵州、云南、甘肃、河北等14个省、自治区招生，第一志愿上线率和新生报到率连年保持较高水平。学院围绕服务广州城市建设与城市服务二大板块开设了10个专业群，设有信息技术系、机电工程系、商贸系、财会金融系、旅游系、公共管理系、艺术设计系、城市建设工程系、食品系、应用外语系、社科部、国学院、继续教育中心等13个教学单位，高职教育研究所和社区教育研究中心等科研机构。//学院拥有一支结构合理的专兼结合高素质教师队伍。现有教职工630人，其中专任教师418人，具有高级职称的133人，双师素质教师340人。//学院不断创新办学体制机制，改革人才培养模式，加强内涵建设，不断提高人才培养质量。建有省市级示范专业29个，省市级精品课程37门，获得一大批省、市级教学成果奖和教学科研课题；实施专业与课程体系改革，建立基于职业岗位工作过程的职业课程体系，全面强化学生职业能力培养。着力推动创新创业教育与专业教育深度融合，实施面向全体学生的创新创业教育。学生在国家、省级和市级技能竞赛屡获优异成绩。毕业生双证书获取率达到97%，毕业生就业率连年超过98%，位居全省普通高校前列，毕业生社会评价满意率超过95%。//学院坚持产教融合、校企合作、协同育人。学院与韶关学院等本科院校合作开展“2+2”、“3+2”协同育人，与知名企业开展现代学徒制人才培养。目前，学院拥有萝岗食品学院、远望谷物联网等省级协同育人平台，食品工程特色学院、广州城市建设特色学院等广州市特色专业学院，食品工程产业学院、物联网产业学院等广州市产教融合专业学院。学院形成了完备的校内外实训实习基地体系，拥有中央财政支持实训基地2个、省级重点实训基地8个、市级示范性实训基地9个，与企业合作共建广州城市职业学院萝岗食品学院、广州城市职业学院远望谷物联网技术学院、金衡会计学院和广州城市建设职业教育集团等办学实体。//学院注重培育校本文化根基，形成了“思诚贵和”的校风和“乐学善用”的学风。创建了国内高职院校中首个国学院，将社会主义核心价值观融入人才培养全过程，将中华优秀传统文化精髓与职业道德、职业能力和职业精神培育有机结合，全面提升学生人文素质，造就既具有娴熟的职业技能，又拥有良好品德与和谐人格的高素质技术技能人才。//学院发扬社区教育优良传统，构建以政府为主导、学院为主体、社区为中心、企业参与的社区教育与服务网络和工作体系，增强学院的社区教育与服务能力。目前，广州市依托我院成立了“广州社区教育与服务指导中心”，彰显广州社区学院的功能。//学院坚持开放办学，加强国内外合作与交流，提升办学的国际化水平。目前已与德国、英国、日本、马来西亚、台湾等多个国（境）外、地区文化教育机构建立校际合作关系、开展合作办学，其中与马来西亚城市大学合作共建广州城市职业学院吉隆坡本科校区、广州城市职业学院“中马国际学院”暨马来西亚城市大学广州校区。选派大批骨干教师赴国（境）外培训学习，提高教师职业教育能力。遴选学生赴德国F+U萨克森培训中心、马来西亚北方大学、沙巴大学进修和交流，为学生提供了更高层次的国际教育交流与出国深造平台，目前已有11批学生学成归来。//今天，学院正全面贯彻党的十九大精神，以习近平新时代中国特色社会主义思想为指导，深入贯彻习近平总书记对广东重要指示批示精神，服务“五位一体”总体布局和“四个全面”战略布局，贯彻落实新发展理念，坚持“立人立业，立德立志；教师为根，学生为本”的治校理念，深入实施“特色学院战略”，优化整合资源，深化体制机制改革，强化内涵建设，打造专业品牌，提升学院竞争力，创建一流水平的高职院校。</t>
  </si>
  <si>
    <t>1962年至1985年间，原广州城市职业学院前身广州业余大学、广州市财贸管理干部学院、广州市经济管理干部学院、广州市乡镇企业管理干部学院先后成立；2005年3月，原广州城市职业学院组建成立；2009年5月，广州市政府批准学校加挂“广州社区学院”牌子；2020年，原广州城市职业学院、广州市市政职业学校、广州大学市政技术学院共同组成新广州城市职业学院；2022年9月，学校被确定为广东省域高水平高等职业院校建设单位；2024年3月，广州城市职业学院花都校区整体搬迁至科教城校区。</t>
  </si>
  <si>
    <t>http://www.gcp.edu.cn/</t>
  </si>
  <si>
    <t>http://zs.gcp.edu.cn/</t>
  </si>
  <si>
    <t>020/86375471、86375473</t>
  </si>
  <si>
    <t>广州市白云区广园中路248号,广园校区南校区：广州市广园中路248号</t>
  </si>
  <si>
    <t>https://www.720yun.com/t/06a29qavqlg</t>
  </si>
  <si>
    <t>https://baike.baidu.com/item/%E5%B9%BF%E5%B7%9E%E5%9F%8E%E5%B8%82%E8%81%8C%E4%B8%9A%E5%AD%A6%E9%99%A2</t>
  </si>
  <si>
    <t>https://gaokao.chsi.com.cn/zsgs/zhangcheng/listZszc//schId/5292585.dhtml</t>
  </si>
  <si>
    <t>广东理工职业学院</t>
  </si>
  <si>
    <t>省属/现代学徒制试点学院</t>
  </si>
  <si>
    <t>广东理工职业学院成立于2005年，是省教育厅直属的一所以工科为主的公办高等职业院校，与广东开放大学实行“一套班子，两块牌子”的管理体制，资源共享，优势互补。学校设有中山和南海两个校区。主校区坐落于伟人孙中山故里中山市风景如画的五桂山风景区，占地1000余亩。校园青山环抱，绿荫掩映，优雅静谧，是环境优美的绿色学校，广东省依法治校示范校。学校设有人工智能学院、工程技术学院（物联网学院）、机电工程学院（标准化学院）、机器人学院、经济管理学院、法律与行政学院（健康产业学院）、文化传播与设计学院、应用外国语学院、乡村振兴学院、汽车工程学院、马克思主义学院、公共教学部等教学单位。全日制在校生约1.2万人。学校秉承“自强立德、经世致用”的校训，坚持“一体两翼三化”的发展战略和“开放办校、技术立校、创新强校、人才兴校、质量荣校”的发展思路，以体制机制创新为抓手，构建开放共享的制度体系，实现与行业企业协同发展、职业教育与开放教育协调发展，积极开展现代学徒制人才培养，建立中高职融通、专本衔接的示范性人才培养基地，全面提高人才培养质量，为建设高水平高职院校而坚实迈进。专业建设学校主动适应珠三角先进制造业、现代服务业等产业发展需求，以行业和职业需求为导向，开设专业42个，涵盖电子信息、制造、土建、财经、旅游、公共事业、文化教育、艺术设计传媒、法律等9个大类，初步形成了以电子信息工程技术、物联网应用技术、计算机网络技术、工业机器人技术等工科专业为重点，投资与理财、老年服务与管理等专业为支撑的专业布局。师资队伍学校师资力量雄厚，拥有一支结构合理、水平较高的师资队伍，现有正高职称40人、副高职称121人、博/硕士生导师4人、博士60人、硕士403人、“双师素质”教师366人。现有全国优秀教师和全国模范教师5人、广东省高校教学名师2人、“广东特支计划”教学名师1人、广东省优秀教师19人、广东省高校“千、百、十”工程校级培养对象18人，6名教师被聘为广东省高职高专教育专业教学指导委员会委员，12名教师入选广东省高校优秀青年教师培养计划和广东省高等职业院校高层次技能型人才吸引计划。人才培养学校坚持培养“责任意识强、技术技能强、拓展能力强”的高素质技术技能人才。办学多年来，学校累积为地方输送毕业生超过3万人。学校生源质量高，第一志愿上线率100%；毕业生总体就业率平均达到99%/以上，用人单位满意度90%/以上，就业呈现“五高一强一低”的态势（就业率高、就业质量高、就业满意度高、专业对口率高、职业期待吻合度高、可持续发展能力强、离职率低）。学校被评为广东省普通高校毕业生就业工作督查优秀等次院校。近年来，学校获得全国职业技能大赛一等奖1项、二等奖4项，“挑战杯”广东大学生课外学术科技作品竞赛特等奖2项，广东省职业院校技能大赛一等奖25项。教学科研近年来，学校获省级教学成果奖一等奖1项、二等奖4项，为教育部第二批现代学徒制试点单位。承担省厅级及以上项目约130项，其中国家社科基金项目3项、全国教育规划项目2项、教育部人文社科项目3项、广东省重大科技项目2项（资助经费600万元）、广东省哲学社会科学规划项目7项；承担各类横向项目约50项，到账经费总计约260万元。获得专利51项，发表论文856篇。创新创业学校将创新创业教育融入人才培养全过程，构建创新创业教育普及化、融合化、专业化并行发展的“三化并进”教育体系；推动创新创业教育与专业课程教学融合，建设基础启蒙类、兴趣引导类、知识技能类、实践实训类梯级课程体系。学校与中山市人民政府共建教育物联网创新创业孵化基地，与广州市茂名商会、广东万讯网农业股份有限公司共建“三合一”大学生创业孵化基地。大学生创业大街建成投入使用。办学成绩学校拥有国家职业技能鉴定所1个，全国职业院校养老服务类示范专业1个，中央财政支持建设专业2个，省级重点专业1个，省级重点专业建设项目1个，省品牌专业建设项目2个，职业教育国家规划教材3部，省级高职教育优秀教学团队1个，省级精品课程1门，省级精品（在线）开放课程建设项目5项，省级精品资源共享课建设项目1项，省级精品视频公开课建设项目1项，广东省高等学校思想政治理论课优质课程2门，省级教改项目14项，省级教学标准1项。学校建有各类实训基地34个，其中省级实训基地3个、省级公共实训中心2个和省级大学生校外实践教学基地7个。学校与120余家企业单位签订合作协议，建有校外实习实训基地140个。</t>
  </si>
  <si>
    <t>学院成立于2005年， 2007年建设广东理工职业学院中山校区 ，2017年入选第二批现代学徒制试点单位， 2019年10月通过现代学徒制第二批试点单位验收。</t>
  </si>
  <si>
    <t>http://www.gdpi.edu.cn/</t>
  </si>
  <si>
    <t>http://www.gdpi.edu.cn/zjb/ZSWeb/</t>
  </si>
  <si>
    <t>020/83505073</t>
  </si>
  <si>
    <t>校本部：广东省广州市越秀区下塘西路1号,中山校区：广东省中山市五桂山区丹桂路3号</t>
  </si>
  <si>
    <t>https://www.720yun.com/t/31e22u8gwbg</t>
  </si>
  <si>
    <t>https://baike.baidu.com/item/%E5%B9%BF%E4%B8%9C%E7%90%86%E5%B7%A5%E8%81%8C%E4%B8%9A%E5%AD%A6%E9%99%A2</t>
  </si>
  <si>
    <t>https://gaokao.chsi.com.cn/zsgs/zhangcheng/listZszc//schId/1251766.dhtml</t>
  </si>
  <si>
    <t>广东交通职业技术学院</t>
  </si>
  <si>
    <t>国家级骨干</t>
  </si>
  <si>
    <t>骨干高职</t>
  </si>
  <si>
    <t>广东交通职业技术学院创办于1959年，1999年经教育部批准，由广东交通学校、广东省航运学校合并组建而成，是一所省教育厅主管、行业特色鲜明、工科为主的综合性高等职业院校，迄今已有60年办学历史。学院坚持立足交通、服务粤港澳经济与社会发展，注重培养具有创新精神的技术技能人才。学院荣获国家教学成果一等奖1项，二等奖2项；2004年，以“优秀”等级通过教育部高职高专人才培养水平评估；2013年，以“优秀”等级通过首批国家骨干高职院校建设项目验收；/2016年，获入选广东省一流高职院校建设计划立项建设单位、广东省大学生创新创业教育示范学校；2016/2018年，连续三年荣获“全国高等职业院校服务贡献50强院校”、2018年获全国高等职业院校“教学资源50强院校”；先后荣获全国职业教育先进单位、全国交通系统先进集体、广东省文明示范单位、广东交通教育科技先进单位、优质省级职教师资培养基地等光荣称号。学院扎根南粤大地，服务“一带一路”，目前有三个校区，占地面积1000余亩，学院全日制在校生14000余人，现有39个专业，涵盖土木工程、汽车机械、船舶驾驶、轨道交通、智能交通、运输管理、机电设备、电子信息、商贸等领域。拥有国家级教改试点专业2个、国家骨干高职院校重点建设专业6个、中央财政支持高等职业学校提升专业服务能力建设专业2个、全国职业院校示范专业2个、省级示范性高职院校重点建设专业9个、省级重点专业18个、省级示范性专业6个、省级高职教育一类品牌专业2个、二类品牌专业12个，国家精品课程2门、国家级精品资源共享课程1门、省级（国家教指委）精品课程17门、省级精品资源共享课17门、省级精品在线开放课程7门；拥有145个设备先进的一体化多功能校内实训教学场所，43个政校企共建校内实训基地和培训基地，532家紧密型校外顶岗实习基地，其中中央财政支持职业教育基地1个、省级公共实训中心2个，省级高等职业教育实训基地10个，省级大学生校外实践基地12个，为学生专业技能培养提供了良好的实训条件，毕业生获取中级以上技能证书或职业资格证书年均超99%；拥有一支高素质“双师结构”师资队伍，教授、副教授、高级工程师比例达33%，具有硕士、博士学历的专任教师比例约占62%，专任教师双师比例达85%。拥有广东省危化品运输车辆安全监控工程技术研究中心、广东省船舶自动化工程技术研究中心和广东省既有桥梁检测与维修加固工程技术研究中心，近三年，学院共承担各类教学、科学研究及技术服务项目500余项，先后有3个项目研究成果达到国内先进水平、3项成果达到国内领先水平、1项成果达到国际先进水平，，新增专利168项、计算机软件著作权83项，主编或参编专业标准、行业规范3部；学生参加技能竞赛获国家级奖项149项，省级奖项264项。优质的教育资源、教学质量以及交通行业的深厚渊源吸引了广大考生,成为众多考生首选报考的高职高专院校，毕业生就业前景广阔、就业通道顺畅，就业率连续多年保持在99%以上。学院始终面向区域经济与社会发展，积极拓展社会服务功能。设有交通运输行业职业技能鉴定站、省属职业技能鉴定所等9个鉴定机构，具有75项专业技能鉴定资格，可开展11个工种的培训鉴定；是交通运输部公路水运试验检测专业技术人员职业资格考试广东省考区承办单位；拥有中国企业联合会主办的“653工程教学基地”、城市轨道交通“双师型”教师培养培训基地、广东省职业教育师资培训基地、广东省专业技术人员继续教育基地等。近三年，学院面向行业和社会共培训和鉴定各类人员10万多人次，组织职业（执业）资格考试9万多人次。学院秉承“求是、笃实、创新、立业”的校训精神，坚持“内涵发展、质量立校，开放融合、服务兴校”的办学理念，主动服务“交通强国”和粤港澳大湾区建设新需求。全力推进体制机制改革创新，加快现代职业教育体系建设，解放思想、凝心聚力、锐意进取，努力把学校建设成为行业领先、国内一流、有一定国际影响的技术应用型高等职业院校。</t>
  </si>
  <si>
    <t>广东交通职业技术学院于1999年经教育部批准，由创建于1959年的广东交通学校、创建于1960年的广东省航运学校合并组建成立。2008年7月，经广东省人民政府批准同意，学校由广东省交通运输厅移交广东省教育厅管理。2011年8月，学院被确认为广东省交通运输行业专业技术人员继续教育培训基地。 2013年4月，广东交通职业技术学院国家骨干高职院校建设项目和广东省示范性高职院校建设项目通过省级验收。11月，以“优秀”等级顺利通过国家教育部、财政部组织的国家骨干高职院校建设项目验收。 2016年，学校荣获全国高等职业院校服务贡献50强院校，并入选广东省一流高职院校建设计划立项建设单位。 2019年7月，被教育部认定为国家优质专科高等职业院校。 2025年3月20日，广东交通职业技术学院与华南理工大学出版社正式签署战略合作协议。</t>
  </si>
  <si>
    <t>http://a1.gdcp.cn/index.shtml</t>
  </si>
  <si>
    <t>http:zs.gdcp.cn</t>
  </si>
  <si>
    <t>020/37236028</t>
  </si>
  <si>
    <t>天河校区：广州市天河区天源路789号,花都校区：广州市花都区工业大道11号</t>
  </si>
  <si>
    <t>https://www.720yun.com/t/2bc22jpOc1a</t>
  </si>
  <si>
    <t>https://baike.baidu.com/item/%E5%B9%BF%E4%B8%9C%E4%BA%A4%E9%80%9A%E8%81%8C%E4%B8%9A%E6%8A%80%E6%9C%AF%E5%AD%A6%E9%99%A2</t>
  </si>
  <si>
    <t>https://gaokao.chsi.com.cn/zsgs/zhangcheng/listZszc//schId/644.dhtml</t>
  </si>
  <si>
    <t>广东食品药品职业学院</t>
  </si>
  <si>
    <t>广东食品药品职业学院是经广东省人民政府批准、教育部备案的公办全日制普通高等职业院校，是国家优质专科高等职业院校，广东省示范性高职院校，广东省大学生创新创业教育示范学校，广东省五一劳动奖状获得单位，广东省文明校园，广东省一流高职院校立项建设单位。学校由广东省人民政府主办，隶属广东省教育厅管理，下辖广东省中药研究所、广东省食品药品职业技术学校、广东食品药品职业学院附属幼儿园和广东食品药品职业学院技能鉴定所四家直属单位。学校以专科层次教育为主，专业涵盖工、理、医、管、文等门类，人才培养纳入广东省卫生和健康委员会、广东省药品监督管理局和广东省中医药局的人才管理范畴，同时承担了三个系统教育培训的具体组织实施工作，是培养药品、食品、化妆品、医疗器械、医疗卫生等健康行业高素质技术技能人才的摇篮。【历史回顾】学校前身是创建于1965年6月16日的广东省中药材学校，校址在广州市塞坝口；1974年3月迁址至浆栏路并更名为广东省商业技校第一分校；1979年9月改为广东省医药技工学校；1983年成立广东省医药职工中专学校，与广东省医药技工学校一起办学；1984年迁址至广州市天河区龙洞，1986年3月成立广东省医药学校。学校1999年开始承担高等教育，2002年经广东省人民政府批准，升格为高等职业院校；2003年5月经教育部备案，正式升格为广东化工制药职业技术学院；2007年5月经教育部备案更名为广东食品药品职业学院。2008年7月，学校以优秀成绩通过教育部高等职业院校人才培养工作评估；2008年11月被评为广东省依法治校示范校；获得“广东省高校心理健康教育与咨询工作先进集体”称号；2016年11月经省教育厅、省财政厅确定成为广东省一流高职院校建设计划立项建设单位；2018年12月，学校通过评审成为广东省示范性高等职业院校。近年来，学校以深化创新创业教育改革为统领，推动教育供给侧改革，优化结构，主动适应新常态，全面提升人才培养质量，取得了显著成效。2015年，学校获得“广东省创新创业教育示范校”；学校创新创业孵化基地先后获得“广州市创业带动就业（孵化）示范基地”，广州市天河区创业带动就业基地认定，成为天河区科技孵化器；“广药职院众创空间”被广东省科技厅认定为“广东省众创空间试点单位”，2016年2月被国家科技部列入国家级“众创空间”。【发展现状】经过半个多世纪的职业教育历程，学校不断发展壮大，现已初步形成了以龙洞校区为主体的办学格局，设有制药工程学院、药学院、中药学院、生物技术学院、食品学院、管理学院、医疗器械学院、化妆品与艺术设计学院、国际交流学院、中医保健学院、护理学院、软件学院、马克思主义学院、继续教育学院（食品医药卫生培训中心）等14个教学单位。学校招生以广东省为主，面向全国，目前高职全日制在校生14048人，成教函授生7385人；校园总面积1233亩，其中龙洞校区455亩，钟落潭校区778亩；校舍建筑面积达到/53.75万平方米，教学科研仪器设备总值达10428万元，拥有实验实训场地面积80001.16平方米，63个校内实训基地，1210个校外实习基地。【办学特色】在五十多年的办学实践中，学校秉承“明德精业、惟民其康”的校训，坚持“为人类健康事业培养高素质技术技能人才”的办学宗旨，根据“大卫生”产业转型升级和建设“健康广东”的社会发展目标，围绕健康相关产业链的生产、经营、服务各个环节，进一步加快专业结构调整升级，不断优化专业结构，逐渐形成以药品专业群为龙头，食品、化妆品、医疗器械、经管、卫生类协调发展的六大健康专业群（共43个专业），并为今后5/10年构建卫生信息类、包装设计类等专业群创造了基本条件。学校根据专业特点构建“以工作过程为导向”的有利于培养学生专业核心能力和提高职业素质的课程体系，形成了相对完整又相互联系的，包括公共基础平台课程、专业群基础平台课程、专业核心课程在内的课程体系；采取项目驱动方式实施梯度课程建设，打造了一批高水平的精品课程。学校持续深入推进内涵建设，建设国家骨干专业5个、中央财政支持重点专业2个、首批全国职业院校健康服务类示范专业点1个、省级示范性专业和重点专业11个，立项建设广东省一流高职院校高水平专业7个、广东省高等职业教育一类品牌专业1个、广东省高等职业教育二类品牌专业6个，三二分段中高职衔接专业9个，主持及参与制定了教育部高职高专3个专业教学标准；建设国家精品资源共享课程7门、省级精品资源共享课程17门、省级精品开放课程5门，省级精品在线开放课程1门；建设国家级协同创新中心1个、国家级生产性实训基地2个、省级实训基地6个、省级公共实训基地2个、省级高技能人才培养基地1个，省级大学生校外实践教学基地10个；立项省级教学研究与改革项目25项，省级大学生创新创业项目46项。2014年，学校申报的“基于医药产业转型升级的制药类职业人才培养模式创新”荣获第七届国家级教学成果奖二等奖、第七届广东省高等教育教学成果奖一等奖；“对接医疗器械产业的专业群构建及校所深度合作人才培养模式的研究与实践”荣获广东省第七届教学成果奖二等奖；“高职食品专业群建设研究与实践”荣获广东省第七届教学成果奖二等奖。2017年，学校申报的“基于ＶＲ技术开发‘虚拟工厂’,推进食品药品类职业人才培养的实践教学创新”荣获第八届国家级教学成果奖二等奖、广东省第八届教学成果奖一等奖；/“‘全局式’推进‘健康类’专业创新创业教育的改革与实践”荣获广东省第八届教学成果奖一等奖；学校积极倡导“教参式”的教材观，建立校级和二级学院两级教材建设立项机制，逐步形成以国家级、省级精品教材为导向的教材建设体系，近年来主、参编各类教材167部，其中：主编“十二五”国家级规划教材16本，全国高职高专卫生部“十一五”、“十二五”规划教材39部，获中国石油和化学工业优秀教材奖一等奖1项、二等奖4项，首届“广东省科普作品创作大赛”二等奖1项。学校积极开展人才培养改革创新，2015年调整了教学计划，增加创新创业课程，2016年增加美育教育；学校十分注重学生人文素质的培养，实施了博雅教育计划，开设公共艺术必修课；在校期间，学生至少修习一项艺术技能。艺术的火种，点亮了学生的健康生命，其所成就的，不是没有灵魂的专业人士，而是一个有文化的完整人格的人。【师资队伍】学校拥有一支结构合理、学历层次高，素质好，业务精，具有丰富企业经验和行业背景的师资队伍。现有专任教师639人（含东校区三二分段专业教师70人）。教授等正高级职称45人，副教授等高级职称187人，博士、博士后104人，近77%的专任教师具有硕士及以上学位，70%教师具有“双师素质”。学校根据工学结合人才培养的需要，从行业企业聘请了一批能工巧匠作为兼职专业教师，更好地满足了目前人才培养的需要。近三年来，共有236人次受到了院级及以上各类表彰，其中享受国务院特殊津贴专家3人，全国中药特色技术传承人才培训项目培养对象1人、珠江学者特聘教授2名、青年珠江学者1人、全国优秀教师1人，全国化工职业教育教学名师2人/，广东特支计划教学名师1人，省级教学名师3人，省级高职专业领军人才4人，省级“千百十工程”培养对象5人，省高校优秀青年教师5人，南粤优秀教师4人，南粤优秀教育工作者5人，省五一劳动奖章获得者1人，广东五四青年奖章获得者1人。我校珠江学者苏新国教授主持的“凤凰单丛乌龙茶资源利用和品质提升关键技术及产业化”项目荣获2015年广东省科学技术奖一等奖，这一成果是广东省高职院校首次获得广东省科学技术奖一等奖。2017年，苏新国教授荣获第十四届广东省丁颖科技奖和2016/2017年度中国轻工业职业教育教学名师奖。【职教集团】2008年11月，经省教育厅批准，学校牵头组建了“广东食品药品职业教育集团”。目前拥有成员单位711家，包括学校22所（中职11所，高职6所，本科5所），事业单位11个、行业18个，科研机构9个，企业651家。集团特色鲜明，成为省教育厅向教育部推荐的唯一一个集团化办学典型案例；在国家职教体制改革试点工作会议上作为省唯一代表作报告；作为省惟一代表对口支援西双版纳州；连续三年入编《全国职教集团化办学案例汇编》。经过十年的探索，集团内部的管理体制、机制完善，外部监控制度、运作方式健全；创建了融合行业办学/、融合企业育人、融合生产教学的/“产教三重融合”的集团化办学模式，构建“中/高/本”衔接职教体系；开展“校政行企”的“四层次紧密合作”,服务社会产业发展，取得显著的成效。2018年3月，经省教育厅资格审查、专家评审等环节，集团以全省排名第一的好成绩纳入2018年广东省示范职业教育集团建设储备入库项目名单。【科技创新】学校坚持走产、学、研结合发展的道路，积极与行业企业建立密切的合作关系，共同研发课题，联合培养人才，逐步形成科研、教学、实践三者良性互动、协调发展、共同提高的局面。2011年以来，学校主持国家自然科学基金、广东省科技计划项目、广东省自然科学基金等纵向课题达341项，其中国家自然科学基金项目10项，广东省自然科学基金项目24项，其他省部级科研项目42项，立项经费1845万元；与企业合作开展各类技术服务项目87项，横向课题合作经费1135万元；科研总经费达2980万元，名列广东省高职院校前茅。获得广东省科学技术奖一等奖1项，获得授权专利24项，教职工发表论文1920篇，其中被中文核心期刊收录515篇，SCI收录51篇，EI收录12篇。【社会服务】学校是国家南药基地、执业药师培训基地、高技能人才实训基地、食品药品监管系统人才培训基地，拥有广东食品药品职业学院职业技能鉴定所和广东省医药行业特有工种技能鉴定站，承担着行业培训、技能鉴定、科研成果应用转化和科学普及等重要社会服务工作。目前，学院籍成人函授在校生7385人，中国药科大学成人在校生1012人，自考相沟通在校生1386人,/远程教育在校生368人,/2017年开展培训21114人次。学校还是全国高等学校高职高专药品类专业教材建设指导委员会主任委员单位、中国医药教育协会常务理事单位、中国职业教育学会医药专业副主任委员单位、全国食品药品职业教育教学指导委员会委员单位、粤港澳医药产业协同创新联盟理事单位、广东省高职高专食品药品类专业教学指导委员会主任委员和秘书长单位以及教育部高职高专药品类、食品类、轻化类、化工类教学指导委员会委员单位、广东省药学会药用包装材料专业委员会主任委员单位、广东省卫生职业教育协会副会长单位、广东省医药企业管理协会专家学术委员会副主任委员单位、广东职业教育信息化研究会会员单位，主办和承办了全国医药职业院校高职高专组技能大赛、全国高职高专药品（药学）类专业人才培养工作改革研讨会暨建设成果展等技能大赛、学术会议、业务年会、博士论坛多项活动，在省内外的兄弟院校和企业中产生广泛影响。【国际视野】学校积极投身“一带一路”建设，不断开拓教育国际交流与合作的新领域。学校与澳大利亚博士山学院合作举办中澳合作办学项目，其人才培养质量、师资队伍国际化建设水平已经获得国内高职教育界的积极肯定和广泛认可，截止到2018年，中澳合作办学项目已经为国家培养和输送了2000余名具有国际视野和高水平技能的优秀人才，毕业生数量居广东省内高职院校中外合作办学项目前茅。2018年，经国家教育部备案、广东省教育厅批准，学校与英国伯明翰城市大学联合举办健康管理和医疗设备应用技术中外合作办学项目，学校“创新强校”工程和“广东省全国一流高职院校”国际化建设取得重要成果。学校与美国纽约州立大学、英国伯明翰城市大学、英国索尔福徳大学、英国利物浦大学、澳大利亚埃迪斯科文大学、澳大利亚联邦大学、新西兰奥克兰大学、新西兰商学院、马来西亚城市大学、泰国西那瓦大学、韩国圆光大学等国外高水平院校建立了良好合作关系，在学分互认、科学研究、教学改革、师资培训、短期双向交流、社会服务等领域开展了卓有成效的合作。近年来，学校师资队伍国际化建设成效明显，学生跨国（境）流动规模不断扩大。近5年来，学校共计派出教学、管理人员赴境外参加师资培训300余人次，引进外教130余人次，派出123人次学生赴澳大利亚、新西兰、台湾、香港等国家和地区研修交流；已经聘请美国、英国、加拿大、澳大利亚、新西兰、德国、新加坡、香港、澳门和台湾等国家和地区的63名专家学者作为客座教授，定期来校讲学授课。2016年9月至2018年8月，学校接收来自欧洲、亚洲和非洲国家的308名国际学生参加中医药文化传承及养生保健涉外培训，实现了优质职业教育资源的对外输出。学校非常重视跨国（境）产学研一体化领域的研究工作。2016年，学校在新西兰成立海外教育研习基地，成为广东省第一所在海上丝绸之路沿线国家新西兰设立教育培训基地的高等职业院校。2017年，我校与新西兰商学院联合申报的《大健康产业跨境电子商务产学研一体化研究》项目获得广州市科技创新委员会的重大科研创新立项，获得政府资助200万，是唯一获准立项的高职院校申报项目。学校郑彦云校长与新西兰商学院黄伟雄校长联合主编的《“一带一路”中国/新西兰大学生创新创业指南》教材填补了国内高职院校创新创业教育专项教材的空白。2017年，成功举办“一带一路”大健康产业发展与教育国际高峰论坛。依托美国G2生物医药集团，在美国成立了广东食品药品职业学院“海外职业技术教育基地（美国）”、“境外高水平人才培养基地（美国）”和“国际健康产业工程中心（美国）”。学校积极开展在港澳台地区的交流与合作项目，与香港职业训练局、香港医护学会、澳门科技大学、澳门生产力暨科技转移中心、台湾嘉南药理大学、台湾辅英科技大学、台湾弘光科技大学等政府机构、高等院校、行业团体建立了友好紧密合作关系，每年都开展师生互访交流及学术科研合作。【社会声誉】学校坚持以就业为导向，以服务为宗旨，以质量求生存、以管理求效益、以特色求发展，大力推进工学结合人才培养模式的教育教学改革，走校企合作办学的发展之路。学校自创办以来，已为国家和社会输送了数万名毕业生，五十多年办学的执着探索和成果积淀，也得到了社会和行业的充分肯定。毕业生就业率连续多年保持广东省前列，是广东省普通高校毕业生就业工作先进集体。2018年学校毕业生初次就业率达98.68%，在全省152所本专科普通高校中综合排名第一，全省79所高职院校中排名第一。高素质毕业生遍布广东乃至全国的食品、药品、化妆品、医疗器械等人类健康相关行业，不少成为行业中的科技精英和领导骨干，深受各界好评，为学校赢得了良好的社会声誉。</t>
  </si>
  <si>
    <t xml:space="preserve">学校前身是创建于1965年6月16日的广东省中药材学校，校址在广州市塞坝口；1974年3月迁址至浆栏路并更名为广东省商业技校第一分校；1979年9月改为广东省医药技工学校；1983年成立广东省医药职工中专学校，与广东省医药技工学校一起办学；1984年迁址至广州市天河区龙洞，1986年3月成立广东省医药学校。1999年学校开始承担高等教育，2002年经广东省人民政府批准，升格为高等职业院校；2003年5月经教育部备案，正式升格为广东化工制药职业技术学院；2007年5月经教育部备案更名为广东食品药品职业学院。 </t>
  </si>
  <si>
    <t>http://www.gdyzy.edu.cn/index.do</t>
  </si>
  <si>
    <t>http://www.gdyzy.edu.cn</t>
  </si>
  <si>
    <t>020/28854882、28854365</t>
  </si>
  <si>
    <t>广州市天河区龙洞北路321号</t>
  </si>
  <si>
    <t>https://www.720yun.com/t/24fjegmkru1</t>
  </si>
  <si>
    <t>https://baike.baidu.com/item/%E5%B9%BF%E4%B8%9C%E9%A3%9F%E5%93%81%E8%8D%AF%E5%93%81%E8%81%8C%E4%B8%9A%E5%AD%A6%E9%99%A2</t>
  </si>
  <si>
    <t>https://gaokao.chsi.com.cn/zsgs/zhangcheng/listZszc//schId/1105.dhtml</t>
  </si>
  <si>
    <t>广东司法警官职业学院</t>
  </si>
  <si>
    <t>省属</t>
  </si>
  <si>
    <t>广东司法警官职业学院是经广东省人民政府批准设置、具有高等学历招生资格的省属公办全日制普通高等院校，是广东省唯一一所培养司法警官人才的高等职业院校，是广东司法行政工作专门人才培养基地、干警素质提升基地、司法行政工作应用性理论研究基地和法治文化传承创新基地。学院为副厅级建制，归属省司法厅管理，业务受省教育厅指导。学院现有龙洞和石井两个校区，龙洞校区坐落于广州市天河区龙洞街龙腾路，毗邻华南植物园和龙眼洞森林公园，环境优雅，交通便利，周边高校众多。石井校区坐落于广州市白云区石井街石潭西路，交通和生活也很便利。学院占地面积13.2万平方米，现有专任教师189人，教授16人，硕士研究生导师1人，副高级职称74人，校内兼职教师51人，校外兼职教师136人。具有硕士以上学位教师120人，具有双师资格教师114人，有省级优秀教学团队1个，校级优秀团队11个，“千百十人才培养工程”省级培养对象2人，校级培养对象8人，2人入选省级“优秀青年教师培养计划”，省级专业领军人才培养对象1人”，珠江青年学者1人，校级教学名师2人。近年来，获得省级以上教学成果奖3项，有省部级精品课程11门、校级精品课程64门，出版“基于工作过程导向”的高职教材或参考书62部，获得国家“十二五”规划教材立项3部。学生在国家级、省级各项比赛和行业技能竞赛中荣获一、二、三等奖多项。在校大专学生4300余人。学院建有充足的多媒体课室，并建有设施完备的司法鉴定中心、模拟监禁中心、心理矫治实训中心、刑事侦查技术实训中心、模拟法庭、亚伟速录实训室、司法鉴定系列实验室、安全防范技术实训室、网络信息安全协同创新实训中心和监狱特警防暴训练协同创新基地等校内实验实训基地。有省级大学生创新创业训练计划项目7个、省级大学生实习实训基地3个、省级校内生产性实训基地1个。此外与司法行政系统各单位合作建立了57个校外实训基地，形成了完善的实践教学体系。建筑面积1.4万平方米的警体馆为学生警体训练和技能实训提供了充足的场地和器材。学院图书馆共有纸质图书34.42万册、电子图书25万余册，另外还有中国知网和超星移动图书馆等学术资源数据库，能满足师生学习、资料查询、专业研究等方面的需求。学院设公共基础部、警体技能部、思想政治理论课教学部、警察系、信息管理系、法律系、司法鉴定系、安全保卫系、继续教育部等9个教学机构，开设刑事执行等14个专业，其中刑事执行专业和司法警务专业分别为中央财政支持的重点专业和广东省重点专业，刑事侦查技术专业为省级品牌建设专业。刑事执行、刑事侦查技术、行政执行、罪犯心理测量与矫正技术、司法警务、司法信息技术、司法信息安全7个专业为国控专业。学院与华南师范大学开放学院合作办学，设有法律专业（本科段）自考班，结合我院专科课程学习进行本科助考辅导（学习周期2年）。本科考试科目全部合格的，华南师范大学和广东省自学考试委员会联合颁发本科毕业证书，实现专本套读。学院服从、服务于法治广东、平安广东以及政法系统队伍建设需要，遵循“警魂塑校、质量立校、人才强校、特色兴校”的办学理念，秉承“忠诚、明法、勤学、强警”校训，以创建高水平司法警察职业院校为目标，以塑造刚毅、责任、奉献的警察职业品质为核心，着力培养富于法律智慧、正义良知，拥有创新精神和实践能力的高素质技术技能型人才。近十年来，我院学警积极参与铁路春运、广州亚（残）运会、深圳大运会等重大安保活动，获得社会的好评。建校以来，我院毕业生在社会各界特别是在政法战线上忠诚奉献、建功立业，以良好的法律专业素养和能打硬仗的工作作风，赢得了用人单位的普遍欢迎和社会各界的一致赞誉。</t>
  </si>
  <si>
    <t>广东司法警官职业学院的前身是当时广东省劳改工作警察学校和广东省司法学校。广东省司法警察学校始建于1982年4月。广东省劳改工作警察学校始建于1982年11月。 1995年，广东省劳改工作警察学校更名为广东省司法警察学校。 2002年4月19日，广东司法学校和广东省司法警察学校合并，得到了广东省人民政府的批准，正式组建成为广东司法警官职业学院。</t>
  </si>
  <si>
    <t>http://www.gdsfjy.cn/</t>
  </si>
  <si>
    <t>http://www.gdjpvc.edu.cn/zhaosheng/</t>
  </si>
  <si>
    <t>020/87083551、87083361</t>
  </si>
  <si>
    <t>龙洞校区：广州市天河区龙洞龙腾路245号,石井校区：广州市白云区石井石潭西路30号</t>
  </si>
  <si>
    <t>https://baike.baidu.com/item/%E5%B9%BF%E4%B8%9C%E5%8F%B8%E6%B3%95%E8%AD%A6%E5%AE%98%E8%81%8C%E4%B8%9A%E5%AD%A6%E9%99%A2</t>
  </si>
  <si>
    <t>https://gaokao.chsi.com.cn/zsgs/zhangcheng/listZszc//schId/1432.dhtml</t>
  </si>
  <si>
    <t>广东行政职业学院</t>
  </si>
  <si>
    <t>省重点/公立/高等专科学校</t>
  </si>
  <si>
    <t>广东行政职业学院是经广东省人民政府批准，于2003年5月，由广东省行政管理干部学院和南方成人经贸学院合并组建而成的公办省属全日制高职院校，归中共广东省委党校（广东行政学院）管理，主要承担国民教育系列高职教育任务，同时兼办成人高等教育。学院地处广州市花都区，毗邻圆玄道观、洪秀全故居等著名旅游景点，有广清高速路、机场高速路与广州市区相连，距广州市中心区仅需40分钟车程。学校占地面积200多亩，校园环境清新优美，教学条件完善，教学管理规范，师资力量雄厚，生活设施齐全，是青年学子求学成才的理想选择。//学院现设有公共管理系、经济贸易系、经济管理系、法律系、电子信息系、外语系、中文系、思想政治理论课教研部、公共课教研部等九个系（部）。开设有行政管理、人力资源管理、国际经济与贸易、会计、市场营销、法律事务、法律文秘、商务英语、电子商务、文秘等21个适应社会需求的专业。2017年学院成立了大数据学院，并申报了“大数据技术与应用”专业，2018年开始招生。学院拥有一支271人的专兼结合的高水平师资队伍。其中，毕德教授、尹继卫教授、刘绍春副教授等被中共广东省委党校聘任为硕士研究生导师。拥有4名“南粤优秀教师”，聘有外籍教师多人。//学院持之以恒不断加大内涵建设力度，实现高职教育内涵式发展。一是加强专业建设，创新具有鲜明特色的“1＋1＋X”（毕业证书+职业资格证书+管理能力）专业人才培养模式，重视学生职业岗位素养和专业应用能力的培养；行政管理专业、国际经济与贸易专业获得中央财政支持建设；电子商务专业获批广东省重点专业；法律事务专业（安保方向）获得中韩合作办学资质。二是加强课程建设，建设有院级精品课、精品资源共享课、精品视频公开课等27门；公开出版高职教育教材33本。三是强化实践教学，完善职业教育体系，深化产教融合、校企合作，不断提升校内外实习实训软硬件设施，“面向社会管理与公共服务专业大类公共实训中心”获得省教育厅立项；开拓校外实践教学基地120多家，其中4家获批省级大学生校外实践基地；创设省级职业资格鉴定点，考核职业技能30余种；推进校、政、行、企协同育人，建有9个协同创新中心、6个协同育人平台。四是大力推进教学改革，2010年以来，获得广东省各个高职专业教学指导委员会教改项目立项13项；广东省教育厅立项的省级教改项目12/项；省级教学成果奖培育项目7项。五是推动创新创业教育与实践，建设了“创业一条街”、“双创楼”等学生创新创业实践平台；获得省级“大学生创新创业训练计划”项目20多个。//学院重视科研工作。设有马克思主义研究院、行政职业教育研究所、国学研究所、广东非物质文化遗产研究所、澳门法研究所和安保（保全）法律研究中心等学术机构；2010年以来，学院承担各级各类纵向科研课题和横向委托课题100余项，公开出版著作10余部，发表学术论文700余篇，一批高质量研究成果获各级政府和学术团体优秀科研成果奖。//为使学生获得继续教育和提高学历层次的机会，我院已和广东财经大学、广东工业大学等知名高校合作，联合开办了高等教育自学考试本科沟通班（专升本），为学生开辟了进一步深造的途径。//为扎实推进我院毕业生就业工作，学院每年都举办大型供需见面会，并开展一系列就业推荐活动，为学生提供了大量的就业岗位信息。我院学生凭借良好的综合素质和专业技能，深受用人单位欢迎，2017届毕业生就业率达97.66％，实现招生就业“进出两旺”。//经过十多年的不懈努力，学院人才培养水平和综合竞争力不断提高，办学成绩突出，品牌效应凸显。学院是全国教育科学“十二五”规划“高职院校产学合作模式及支持政策研究”课题重点实验校，全国高职院校首批“数字校园建设实验校”，教育部委托的高职院校“行政管理专业简介”编制院校，教育部委托的全国高职院校人才培养工作状态数据平台2016版研发单位，全省高职院校首家“人文社会科学普及基地”，首批“广东省高职院校文化素质教育基地”，“马克思主义政治经济学仿真实验室”的首创者。是广东省“一带一路”职业教育联盟副理事长单位、中德职业教育联盟常务理事单位、广东工贸职业教育集团理事单位、广东女性职业教育集团成员单位、粤港澳大湾区职业教育产教联盟理事单位。在省教育厅组织的思想政治理论课评估、教学管理水平评估、校园综合治理评估等专项评估中均取得良好成绩。//展望未来，在中共广东省委党校和省教育厅的正确领导下，学院党委和行政领导班子将全面贯彻党的教育方针，落实立德树人根本任务，有决心、有信心，带领全院师生员工朝着创建省内一流、国内优质、具有鲜明“行政”特色的文科综合类高职院校的目标奋进！</t>
  </si>
  <si>
    <t>广东省行政管理干部学院成立于1985年，1990年更名为广东行政学院；1994年南方成人经贸学院成立。2003年广东行政学院与南方成人经贸学院合并组建广东行政职业学院。2020年6月由中共广东省委党校（广东行政学院）划转广东省教育厅管理。</t>
  </si>
  <si>
    <t>http://www.gdxzzy.cn/</t>
  </si>
  <si>
    <t>http://www.gdxzzy.cn/zs/index.htm</t>
  </si>
  <si>
    <t>020/86867108、37250936</t>
  </si>
  <si>
    <t>广州市花都区迎宾大道西28号</t>
  </si>
  <si>
    <t>https://www.720yun.com/t/cddj5pey5y3</t>
  </si>
  <si>
    <t>https://baike.baidu.com/item/%E5%B9%BF%E4%B8%9C%E8%A1%8C%E6%94%BF%E8%81%8C%E4%B8%9A%E5%AD%A6%E9%99%A2</t>
  </si>
  <si>
    <t>https://gaokao.chsi.com.cn/zsgs/zhangcheng/listZszc//schId/1109.dhtml</t>
  </si>
  <si>
    <t>广东文艺职业学院</t>
  </si>
  <si>
    <t>广东文艺职业学院是一所有着光荣历史传统和深厚文化积淀的艺术类高等职业院校，《广东建设文化大省规划纲要（2003—2010年）》中确定广东文艺职业学院为广东建设文化大省的九大工程之一。学校是由广东省教育厅主办、经广东省人民政府批准、国家教育部备案的公办综合性艺术类高等职业院校。学校前身是由叶剑英元帅1950年3月创办的“华南人民文学艺术学院”，校名由毛泽东主席题写。1985年，学校改称为“华南文艺业余大学”，校长由省委宣传部副部长、省文联党组书记杜埃兼任，刘田夫、欧阳山任名誉校长。1995年，经省人民政府批准，学校更名为“华南文艺成人学院”。由省委宣传部副部长、省文联主席刘斯奋兼任院长，著名文艺家林墉、郭绍纲、汤小铭、姚锡娟等任学校学术委员。2004年4月，学校由成人高校转制为全日制艺术类普通高职院校，更名为“广东文艺职业学院”。学校现有番禺主校区、广东文艺职业学院郭兰英艺术分院共两个校区，占地面积185.4亩。环境优雅，教学、生活、体育设施设备一应俱全，校区内艺术氛围浓厚。学校开设专业23个，有8个教学单位（音乐与舞蹈学院、艺术设计系、影视戏剧系、美术系、基础教育部、马克思主义学院、继续教育培训部、中等教育部），1个教科研机构（广东文艺研究所）。//学校秉承“砺志、创新、明德、尚美”的校训精神，坚持“培养德、智、体、美全面发展，专业知识扎实，技术技能过硬，综合素质优良，适应文化艺术行业需求的复合型和创新型高级技术技能人才”的人才培养目标定位。在招生与教学方面实行普高与成高双轨，以高职教育为主、集成人教育、中职教育和培训等多层次办学为一体。目前学校已形成以全日制高等学历教育为主，非全日制学历教育和职业培训、专业技术服务为辅的办学形式定位，形成多形式、开放式的办学格局。适应区域发展对文化艺术人才的需求，不断调整专业结构，深化教育教学改革，强化师资队伍建设，创新人才培养模式，使人才培养质量和水平稳步提升，为我省培养了一批适应文化艺术行业需求的复合型和创新型高级技术技能人才，为广东建设文化强省做出了应有的贡献。经过半个多世纪的建设和发展，广东文艺职业学院经风雨而茁壮，历沧桑而弥坚。进入新的发展时期，在党的十九大精神指引下，学校全体师生将不忘初心，牢记使命，以饱满的热情锐意进取、积极探索、努力实践，立足珠三角，面向广东，辐射全国，为把学校建成具有岭南文化特色和独特教育风格的高水平艺术类高职院校而努力奋斗。</t>
  </si>
  <si>
    <t>学校始建于1950年，前身是由毛泽东主席题写校名、叶剑英元帅亲自创办的“华南人民文学艺术学院”；1985年成立“华南文艺业余大学”；1995年更名为“华南文艺成人学院”；2003年被列为广东建设“文化大省”九大文化工程之一；2004年转制为全日制普通高职院校，更名为“广东文艺职业学院”，由广东省文学艺术界联合会主办；2019年成建制移交到广东省教育厅管理；2022年学校和广东省旅游职业技术学校正式开展集团办学。</t>
  </si>
  <si>
    <t>http://www.gdla.edu.cn/</t>
  </si>
  <si>
    <t>http://www.gdla.edu.cn/zsb/</t>
  </si>
  <si>
    <t>020/34810201、34810200、84878982</t>
  </si>
  <si>
    <t>广州市番禺区市广路242号</t>
  </si>
  <si>
    <t>https://baike.baidu.com/item/%E5%B9%BF%E4%B8%9C%E6%96%87%E8%89%BA%E8%81%8C%E4%B8%9A%E5%AD%A6%E9%99%A2</t>
  </si>
  <si>
    <t>https://gaokao.chsi.com.cn/zsgs/zhangcheng/listZszc//schId/1946.dhtml</t>
  </si>
  <si>
    <t>广州体育职业技术学院</t>
  </si>
  <si>
    <t>广州体育职业技术学院的前身为创办于1973年的广州市体育运动学校和创办于1976年广州市体工队，1996年更名为广州市伟伦体育运动学校。2004年3月，经国家教育部备案、广东省人民政府批准，升格为广州市政府举办的全国首家省会城市、全日制高等体育职业院校——广州体育职业技术学院。经过多年建设，已发展成为全国17所体育职业院校中2所省级示范性建设院校之一，广东省25所省级示范院校建设单位之一，也是全国15个“国家综合体育训练基地”之一，连续4个周期被国家体育总局评为“国家高水平体育后备人才基地”。/学院位于广州市东北面，毗邻天河高校区。目前占地面积约271亩，校舍总建筑面积17.9平方米，拥有全国一流、亚洲领先的训练实训场馆和设施，现代化的教学大楼、图书馆、校史馆、学生公寓、综合餐厅等，并设有科研、医务等配套机构和设施，全方位满足教学和训练的需要。学院拥有一支由专任教师与专项教练员组成的高水平师资队伍，师资力量雄厚。现有中高职专任教师120人、中小学教师51人、教练员85人；享受国务院特殊津贴1人，高级职称80人，占28.17%。现设9个管理机构、7个教学机构、7个教辅机构、1个附属机构以及14个项目运动队，在读高职、中职和运动员3000余人。学院在长期的办学过程中形成了“人才强校、金牌荣校、文化兴校”的办学理念，确立了/“崇德、善搏、求实、勤学”的校训，明确了“立足广州、面向全国、辐射海内外，打造拔尖运动员孵化哺育基地、优秀体育人才终身教育园区和体育多元文化交流平台”的办学定位，形成了“教体融合、学训一体”的办学特色，培养为国争光的高水平竞技体育人才和满足社会需要的高素质技术技能型体育人才。学院先后被授予“2008年北京奥运会突出贡献集体”、“2010年广州亚运会先进集体”、“2011年全国业余训练先进单位”、“2012年广州市集体二等功”、“2016年广州市集体二等功”、“2017全国体育事业突出贡献奖”等荣誉称号。/教体融合，培养拔尖竞技体育人才。学院竞技体育训练背景深厚，人才辈出。先后培养了杨维、张洁雯、杨景辉、杨伊琳、雷声、张雁全、陈艾森、刘诗雯等8名奥运冠军，谢杏芳、樊振东等34名世界冠军，夺取世界冠军126项/次，向上级运动队输送运动员1100多人。学院优化新周期项目布局和运动员梯队建设，优势优投，实施奥运争光工程，形成“科学选材、学训结合、综合保障、团队服务、重点保障”的体育后备人才培养体系。在2016年里约奥运会上，学院培养输送的运动员取得3金1铜，2人次第五的历史最好成绩，为广州建设国际体育名城做出了突出贡献。学院以“提升文化素质、增强专项技能、培养体育精神”为主线，通过对运动员运动训练、知识学习以及心理发展的阶段性整合，系统解决运动员培养过程中的文化教育与训练竞赛非均衡发展问题，形成了从初等、中等、高职、本科贯通的“十六年体育人才培养立交桥”。协同创新，加快职业教育内涵式发展。学院发挥“校队合一”的体制优势，深化产教融合，校企合作，成立广州体育职业教育联盟，构建纵向衔接、横向互通的体育职业教育体系。以“服务发展、精致育人、强化特色”为目标，优化专业布局，现设“三系四部”，共8个专业，分别为运动训练、社会体育、体育运营与管理、市场营销、酒店管理、高尔夫球运动与管理、体育保健与康复、社区康复等，分别形成“学训交替、技术引领”、“课堂+俱乐部”、/“系所一体，学工结合”、“校企联动、岗学结合”等人才培养模式。拓展“专升本”办学渠道，与广州体育学院合作开展运动训练专业“三二分段专升本应用型人才培养项目”。学院建立“学训研服”一体综合实训基地，实行“三证书”（毕业证书+职业资格证书+体育技能等级证书）教育，学生的职业能力和综合素质得以全面提升，人才培养质量不断提高，毕业生近三年平均初次就业率达96.89%，深受用人单位欢迎和赞誉。双向互动、拓宽国际合作办学与交流。学院以“一带一路”为契机，广聚国（境）内外优质体育教育资源，与芬兰哈格/赫利尔应用科学大学体育商学院开始合作办学，与美国春田大学健康体育娱乐学院共建体育保健专业实训基地，与韩国忠北体育高中建立运动员、教练员相互交流机制。通过引进海外高层次智力资源，输出本院优质教育资源，实现课程国际化，培养国际化体育人才。学院与20多个国家、地区的体育院校、培训机构建立合作交流关系，为国内外体育院校、体育机构、青少年运动员提供训练竞赛、医疗康复、餐饮住宿等一体化服务。为广东省加强粤港澳的深度合作、打造21世纪海上丝绸之路重要纽带发挥积极作用。弘扬冠军文化，培育职业精神。学院以“顽强拼搏、团结协作、超越自我、爱国奉献”为内核，培养师生“爱国、敬业、阳光、团结”的职业精神和职业道德。加强作风、教风、学风建设，打造“冠军讲坛”、“冠军林（桂园）”等体育文化品牌项目。将专业培养与企业文化、体育文化相融合，把丰富多彩的体育文化理念融入到人才培养全过程，推进体育文化传承与创新。今天，学院正在围绕建设新时代“教育强国”、“体育强国”，推进广州国家中心城市建设的决策部署，坚持走以质量提升为核心的内涵式发展道路，建立以职业需求为导向、以实践能力培养为重点、以产学研结构为途径、力促职业教育、竞技体育、社会服务协调发展，向着将学院建设成为“一流学校，冠军摇篮”的办学目标不断迈进！</t>
  </si>
  <si>
    <t>学院前身为创办于1973年的广州市体育运动学校；2004年3月，升格并更名为广州体育职业技术学院（挂广州市体工队牌子）。</t>
  </si>
  <si>
    <t>http://www.gztzy.edu.cn/</t>
  </si>
  <si>
    <t>http://zsb.gztzy.edu.cn</t>
  </si>
  <si>
    <t>020/85603035</t>
  </si>
  <si>
    <t>广州市天河区长兴路338号</t>
  </si>
  <si>
    <t>https://baike.baidu.com/item/%E5%B9%BF%E5%B7%9E%E4%BD%93%E8%82%B2%E8%81%8C%E4%B8%9A%E6%8A%80%E6%9C%AF%E5%AD%A6%E9%99%A2</t>
  </si>
  <si>
    <t>https://gaokao.chsi.com.cn/zsgs/zhangcheng/listZszc//schId/1947.dhtml</t>
  </si>
  <si>
    <t>广东邮电职业技术学院</t>
  </si>
  <si>
    <t>学校秉持国际化开发办学理念，积极开展国际交流和合作，主动服务共建“一带一路”建设和国际产能合作，不断提升国际化人才培养水平，持续提升国际影响力。与英国北爱尔兰东南学院合作办学，获授“中欧留学计划暨留学基地建设单位”“中塔技术技能提升建设联盟新增成员单位”“塔吉克斯坦留学培育基地建设单位”合作平台资质，为学生走向世界提供了更广阔的通道。</t>
  </si>
  <si>
    <t>广东邮电职业技术学院前身为1949年创办的广州市军事管制委员会电信人员训练班。1963年广东省邮电局创建广州邮电职业学校，1970年更名为广东省电信学校，1973年更名为广东省邮电学校，2002年经广东省人民政府批准在广东省邮电学校基础上设立广东邮电职业技术学院。</t>
  </si>
  <si>
    <t>http://www.gupt.net/</t>
  </si>
  <si>
    <t>https://www.gupt.edu.cn/</t>
  </si>
  <si>
    <t>020/38253329</t>
  </si>
  <si>
    <t>广州市天河区中山大道西191号</t>
  </si>
  <si>
    <t>https://baike.baidu.com/item/%E5%B9%BF%E4%B8%9C%E9%82%AE%E7%94%B5%E8%81%8C%E4%B8%9A%E6%8A%80%E6%9C%AF%E5%AD%A6%E9%99%A2</t>
  </si>
  <si>
    <t>https://gaokao.chsi.com.cn/zsgs/zhangcheng/listZszc//schId/1425.dhtml</t>
  </si>
  <si>
    <t>广州工程技术职业学院</t>
  </si>
  <si>
    <t>广州工程技术职业学院是经广东省人民政府批准、国家教育部备案的广州市属普通高校，创办于1964年。/学院以先进的教育理念、独特的办学思路、优秀的师资队伍、优雅的校园环境、鲜明的高职特色，致力于培养具有现代竞争意识和综合职业能力、素质全面，能适应二十一世纪经济发展需要的高素质的技术技能型人才。作为一所有着五十多年历史的公办高校，近年来，在不断的改革、超越和发展中打下了稳固的基础，积累了丰富的经验，逐步形成了知识、品格、才艺、技能四元并重的办学风格。以独特的思路和新颖的做法应对竞争，谋求突破，实现了跨越式发展，形成了/“万人学校，亿元资产/”/的强劲格局，取得了良好的经济效益和社会效益。学院现设有机电工程学院、信息工程学院、石油化工学院、财经管理学院、外语商贸学院、餐饮旅游学院、艺术设计学院、继续教育学院等8个二级学院，在校高职生人数近8000人。外加三所附属中职学校和一个培训中心，组建了以高职教育为主体、以中职教育为两翼、以技能培训为拓展平台，在校学历生规模超1.6万人，年培训超3万人次的职业教育集团。/学院办学紧贴广州及珠江三角洲地区经济社会发展的需要，实施专业错位发展和人才培养模式创新，培养“有教养、有本领”的高素质技术技能型人才。毕业生总体就业率连续六年位居全省本专科院校前三名，毕业生以良好的面貌、全面的素质和过硬的能力广受用人单位好评，用人单位的满意率达100%，其中优良率达96.67%。2017年初次就业率98.81%，高于全省高校毕业平均初次就业率3.71%，位居全省普通高等学校毕业生初次就业率第一位；2018年初次就业率97.62%，高于全省高校毕业平均初次就业率3.44%，位居全省前列。办学理念/坚持“立品、为学、禀艺、砺身”的院训，以“有教养、有本领”成全学生的职业发展与幸福人生；以公平教育、尊重主体的原则指导人才培养工作，以学生为本，注重差异教育和个性化培养，把教育公平落实到每一位学生。培养目标/立足广州、面向广东、辐射全国，直接服务于珠江三角洲区域经济社会建设，培养生产、建设、服务和管理第一线需要的高素质技术技能型人才。课程体系/学院以学生就业和职业发展为导向，按照基本素质与能力课程、专业素质与能力课程、专业技术核心课程（专门化课程）、专业延伸与拓展课程的纵向逻辑构建课程体系，必修与选修、第一课堂与第二课堂、实体课堂与空中课堂相结合，为学生提供宽口径、厚基础、精专业的学习框架。教学方式/学院实施融“教、学、做、养”一体的教学方法和手段，全面推行由毕业证书、职业资格证书和学生工作实践证书构成的“三证书”制度和企业顶岗实习制度，教中学，学中做，在教、学、做中“养”，强化和落实学生素质养成和能力培养。师资队伍/学院十分重视/“双师”素质教师队伍建设，输送大批专业教师到国内外企业顶岗实践，选拔、引进具有企业工作和专业技术工作经历的人员充实教师队伍，聘请行业企业的专业人才和能工巧匠担任兼职教学工作，形成了一支数量充足、结构合理、素质优良的专兼职师资队伍。校园管理/学院坚持“规则当家、数据说话”的管理理念，独创“质量、安全、环境”三位一体的管理制度体系，实行学生自主管理、自我服务的模式，关注用人单位满意度、学生满意度、教工满意度，持续改善教育教学、行政后勤管理质量和效率。信息化校园/学院历时十多年自主研发成功的CRP（Campus/Resource/Planning，即“校园资源计划”）系统，功能覆盖校园学习、工作、生活以及校外顶岗实习管理，为教工和学生提供无时空阻隔的交流空间，并通过计算机网络实现学校、用人单位和学生家长的信息共享。学生职业实践型社团/学院组建的职业实践型社团是对应社会职业、链接人才培养的学生“自我教育、自我管理、自我服务”的职业实践平台，办公场地和设施完备，实施职业化和课程化管理，是学生校内职业实践和落实学生综合职业能力培养的重要阵地。主要成绩///●主持全国1280余所高职院校人才培养工作状态数据采集与管理平台开发建设工作//●/教育部批准的第一批教育信息化试点学校//●/国家首批“职业院校数字校园建设实验校”单位//●/校园信息化建设成果连续两年入选教育部《中国高等职业教育年度报告》，并被世界知名企业英特尔公司收入其案例库//●/全国高职院校技能竞赛总分全省第二名//●/全国虚拟仿真软件竞赛一等奖（全省仅有三所高校）//●/全国职业院校技能大赛化工生产技术赛项国赛一等奖//●/西餐宴会服务国赛一等奖，实现广东省“零”的突破，并蝉联//●/CRP系统全国领先，自2010年起经教育部推荐已在全国80余所高职院推广应用，影响广泛//●/获批试办广东省示范性软件学院//●/广东省首家“AAAA级标准化良好行为”/认证院校//●/餐饮管理专业获批全国第二批现代学徒制试点//●“工业机器人应用人才培训中心”获教育部立项//●//工业机器人技术专业教学资源库通过教育部验收//●“石油化工协同育人中心”项目成功入选省协同育人平台//●/拥有广东省高等职业教育一、二类品牌专业共7个//●/商务英语专业被确立为2016年省高职教育专业教学资源库//●/五个专业成功入选广州市高职院校特色专业学院建设单位//●/广州市高职院校机器人与智能装备技术创新创业平台获批立项//●/2017年度高等职业教育“创新强校工程”考核结果为A类//●/2016/2017年度全省职业院校技能大赛“特殊贡献奖”未来构想——“一团三化”//学院紧紧把握现代职业教育发展的大趋势，围绕“一团三化”发展思路，积极打造职业与职工教育集团，以“信息化、国际化、协同化”三化集成、三管齐下，走差异化、特色化、品牌化的道路，探索构建现代职业教育体系背景下，新一轮职业教育的发展模式。</t>
  </si>
  <si>
    <t xml:space="preserve">广州工程技术职业学院前身为广州业余工业科技学院，1964年，经广东省人民政府批准，由广州市总工会和广州市科协联合举办；1973年，更名为广州市业余科技学院；1983年4月，经广东省人民政批准，广州市业余科技学院与广州市工人马列主义业余大学合并，组建广州市职工业余大学。 1986年11月，广州市总工会干部学校并入广州市职工业余大学，设工会干部培训处。 1993年，广州业余艺术大学并入广州市职工业余大学，名称为广州市职工业余大学艺术学院（广州市职工大学二级学院）。 1995年，更名为广州市职工大学；2004年，广州市职工大学改制为广州工程技术职业学院。 2017年8月，被评为教育部第二批现代学徒制试点单位； 2018年12月，被评为广东省第二批高等职业院校内部质量保证体系诊断与改进省级试点院校。 2019年10月，通过教育部现代学徒制第二批试点单位验收。 </t>
  </si>
  <si>
    <t>http://www.gzvtc.cn/</t>
  </si>
  <si>
    <t>https://zs.gzvtc.edu.cn</t>
  </si>
  <si>
    <t>020/87621457、020/87693663</t>
  </si>
  <si>
    <t>校本部：广州市环市东路465号,从化校区：广州市从化区沿江南路302号</t>
  </si>
  <si>
    <t>https://baike.baidu.com/item/%E5%B9%BF%E5%B7%9E%E5%B7%A5%E7%A8%8B%E6%8A%80%E6%9C%AF%E8%81%8C%E4%B8%9A%E5%AD%A6%E9%99%A2</t>
  </si>
  <si>
    <t>https://gaokao.chsi.com.cn/zsgs/zhangcheng/listZszc//schId/1948.dhtml</t>
  </si>
  <si>
    <t>广东江门幼儿师范高等专科学校</t>
  </si>
  <si>
    <t>广东江门幼儿师范高等专科学校（简称“江门幼专”）是江门市人民政府举办、广东省人民政府批准、国家教育部备案的一所全日制公立普通高等学校，是粤港澳大湾区第一所幼儿师范高等专科学校，建校基础是1980年创办的江门幼儿师范学校，于2019年开始招收大专生。/学校位于江门市江海区朝翠路1号，占地面积300亩。学校按7500人规模设计，总投资9.78亿元，分2期建设，校园建筑面积达17.96万平方米。/学校现有教职工402人，专任教师349人，其中具有正高职称6人，副高职称49人，博士学位5人，具有硕士以上学位教师数占专任教师66%以上。/学校现有大中专在校生7173人，其中大专生6937人。学校大专新生报到率连续三年超过93%，远超其它同类学校。/学校设置学前教育、早期教育、婴幼儿托育服务与管理、小学英语教育、商务英语、体育教育、体能训练、数字媒体技术、音乐教育、美术教育、舞蹈教育、数字媒体艺术设计、舞台艺术设计与制作等13个专业，纸质图书46万余册，电子图书30万余册，科研仪器设备完善，可满足各专业学生实践实训教学需求。/学校坚持以习近平新时代中国特色社会主义思想为指导，坚持社会主义办学方向，落实立德树人根本任务，立足粤港澳大湾区，服务“一带一路”倡议，教学质量优秀，专业优势突出，学、研特色鲜明，朝着“为全省学前教师教育提供示范的幼儿师范高等专科学校”的目标迈进。</t>
  </si>
  <si>
    <t>http://www.jmpec.edu.cn/</t>
  </si>
  <si>
    <t>http://www.jmpec.edu.cn/zsjy/zsgg/</t>
  </si>
  <si>
    <t>0750/3789912   3783775</t>
  </si>
  <si>
    <t>广东省江门市江海区朝翠路1号</t>
  </si>
  <si>
    <t>https://baike.baidu.com/item/%E5%B9%BF%E4%B8%9C%E6%B1%9F%E9%97%A8%E5%B9%BC%E5%84%BF%E5%B8%88%E8%8C%83%E9%AB%98%E7%AD%89%E4%B8%93%E7%A7%91%E5%AD%A6%E6%A0%A1</t>
  </si>
  <si>
    <t>https://gaokao.chsi.com.cn/zsgs/zhangcheng/listZszc//schId/2387339878.dhtml</t>
  </si>
  <si>
    <t>罗定职业技术学院</t>
  </si>
  <si>
    <t>云浮市</t>
  </si>
  <si>
    <t>五线城市</t>
  </si>
  <si>
    <t>罗定职业技术学院成立于2001年5月，是经国家教育部备案、广东省人民政府批准、由云浮市人民政府举办的公办全日制普通高等学校，前身是创建于1928年的广东罗定师范学校。学校位于广东省云浮市辖罗定市城区，设立有国家职业技能鉴定所，建立了云浮市云计算大数据人才培养基地、云浮市电子信息产业技术服务中心和云浮市南江文化研究中心，主办有《罗定职业技术学院论丛》（季刊），是广东省语言文字工作先进单位、广东省社会科学普及示范基地、广东省中小企业培训示范基地和云浮市文明单位。//学校下设教育系、外语系、艺术体育系、经济管理系、电子信息系、机电工程系和思想政治理论课教学部（马克思主义学院）、继续教育部等8个教学系部，开设装备制造、电子信息、财经商贸、文化艺术、旅游、教育与体育、公共管理与服务等八大职业门类共42个专业，建设有中央财政支持服务产业专业2个、省级重点专业2个、省级公共实训中心4个、省级以上实训基地12个、省级精品资源共享与开放课程4门。现有全日制在校生10700多人，学生在校学习期间可同时兼修中山大学、华南理工大学、华南师范大学、广东外语外贸大学、广东财经大学等开设的专升本自考（函授）沟通班数十个专业中任何一个专业，按要求修满所需学分可获所选修院校的本科毕业证书。//办学以来，按“为山区基础教育和中小企业培养一专多能的创新型技能人才”的办学定位，秉承“为全体学生全面发展服务”的办学理念，大力弘扬“诚朴勤学、砺能求索”的校训文化，积极传播“崇德向善、见贤思齐”的校风，全面践行“学高为师、身正为范”的教风，着力倡导“追求卓越、精益求精”的学风，遵循高职教育规律，立德树人，不断深化校企合作、产教融合，大力实施校企精准对接、精准育人，与云浮、佛山、广州、东莞、深圳等地方的企事业单位建立了协同育人友好合作关系，培养了一大批创新型技术技能人才，毕业生就业状况好，总体就业率超过98%。</t>
  </si>
  <si>
    <t>学校前身是1928年成立的罗定县立女子乡村师范学校；1934年，更名为罗定县立简易师范学校；1942年，更名为罗定县立师范学校；1949年，更名为罗定师范学校；2001年5月，升格为综合类公办全日制普通高等职业学校，并更名为罗定职业技术学院 。2009年，罗定职业技术学院经云浮市政府批准，设立了研究南江文化的学术研究机构——云浮市南江文化研究中心 。2021年5月21日，罗定职业技术学院西校区项目最大建筑高度的综合楼主体冠顶 。</t>
  </si>
  <si>
    <t>http://www.ldpoly.com/</t>
  </si>
  <si>
    <t>https://zs.ldpoly.edu.cn/</t>
  </si>
  <si>
    <t>0766/3782735</t>
  </si>
  <si>
    <t>广东省罗定市西门岗5号</t>
  </si>
  <si>
    <t>https://www.720yun.com/t/7cb20wffxun</t>
  </si>
  <si>
    <t>https://baike.baidu.com/item/%E7%BD%97%E5%AE%9A%E8%81%8C%E4%B8%9A%E6%8A%80%E6%9C%AF%E5%AD%A6%E9%99%A2</t>
  </si>
  <si>
    <t>https://gaokao.chsi.com.cn/zsgs/zhangcheng/listZszc//schId/1251.dhtml</t>
  </si>
  <si>
    <t>中山火炬职业技术学院</t>
  </si>
  <si>
    <t>第四类高水平专业群C档骨干高职现代学徒</t>
  </si>
  <si>
    <t>概况：朝气蓬勃的园区大学//中山火炬职业技术学院创办于2004年4月，坐落在国家级中山火炬高技术产业开发区,被开发区八大国家级产业基地天然簇拥。工业园区的五大主要产业、四大新兴产业、1000余家企业为学院提供了丰富的实习实训资源。//现有全日制在校学生近7000人，继续教育类在册学生6000余人。教职工426人，其中教授22人，副教授（含高级工程师）97人，博士28人。设有包装印刷系、装备制造系、电子工程系、信息工程系、光电工程系、生物医药系、现代服务系、管理工程系8个专业教学系，开设包装策划与设计、应用电子技术、电子商务、光电制造与应用技术、药品生产技术、国际经济与贸易、移动互联应用技术、模具设计与制造技术等28个专业。//2004年建校之初，火炬开发区管委会就牵头成立了学院董事会，吸纳区属总公司和园区著名企业为成员单位，在宏观层面构建了“政、校、企、行”多方参与的资源整合平台。在中观层面，学院教学系对接国家级产业基地，教学过程对接生产过程，专业发展对接产业升级。在微观层面，将人才培养时段细分为“理论教学、实践教学、顶岗实习”三个累计一年，推行“毕业证、技能证、素质拓展证”三证书制度，将顶岗实习切割为“认知性、适应性、技能考证、生产性、就业性”五个阶段。从宏观到中观再到微观，产教融合的运行体系日趋完备，人才培养流程日益优化。“三、三、五”人才培养模式释放出强劲的动力。推动着“学院与园区”走向融合发展，“院园融合”为核心的高职教育“中山火炬模式”得到了社会的广泛认可。//经过十多年的发展，学院成为国家骨干高等职业院校、广东“一流高职”立项建设单位、广东职业教育先进集体、广东成人教育先进集体“一带一路”产教协同联盟广东省发起单位。//沿革：国家火炬计划中山火炬职业技术学院孕育于“国家火炬计划”。国家火炬计划（China/Torch/Program）是一项发展中国高新技术产业的指导性计划，于1988年8月经中国政府批准，由科学技术部（原国家科委）组织实施。&amp;quot;火炬计划&amp;quot;的宗旨是实施科教兴国战略，贯彻执行改革开放的总方针，发挥我国科技力量的优势和潜力，以市场为导向，促进高新技术成果商品化、高新技术商品产业化和高新技术产业国际化。//建设和发展高新技术产业开发区是火炬计划的重要内容之一。高新技术产业开发区是以智力密集和开放环境条件为依托，主要依靠我国自己的科技和经济实力，通过软硬环境的局部优化，最大限度地把科技成果转化为现实生产力而建立起来的、面向国内外市场、发展我国高新技术产业的集中区域。火炬计划项目的重点发展领域是：电子与信息、生物技术、新材料、光机电一体化、新能源、高效节能与环保。通过火炬计划项目的实施，造就高新技术企业和企业集团。//人力资源开发是发展高新技术产业的关键，培养和吸引高素质的人才是实现高新技术成果商品化、产业化、国际化的根本保证。培养一大批懂技术、善管理、会经营、勇于创新、敢于在市场竞争中奋力拼搏的科技管理人才和科技实业人才，是火炬计划的一项关键性任务。//中山火炬高技术产业开发区由国家科技部、广东省政府和中山市政府于1990年联合创办，1991年被国务院批准为国家级高新区。随着中山市东部发展战略的实施,火炬开发区与翠亨新区实现连片发展,面积由原来的90平方公里扩展到230平方公里。以此为平台，通过深中通道，主动对接深圳前海自贸区，积极融入粤港澳“大湾区”发展战略。//在230平方公里的热土上，崛起了中国电子（中山）基地、中国包装印刷产业基地、国家健康科技产业基地、国家高新技术产品出口加工基地、中国技术市场科技成果产业化（中山）示范基地、国家火炬计划中山（临海）装备制造业基地、中山国家现代服务业数字医疗产业化基地、国家先进装备制造（中山）高新技术产业化基地等八个国家级基地,是全国唯一同时拥有八块国家级基地牌子的国家高新技术产业开发区。//雄厚的产业基础与灵活高效的办学模式，为深入开展职业教育产、学、研合作提供良好的实践载体。2016年7月，教育部职业技术教育研究中心、广东省教育厅、中山市人民政府三方签署协议，将“华南职业教育产学研合作实验基地”落户中山火炬职业技术学院。建立“政、产、学、研、金”一体化实验平台，共同开展职业教育产学研合作理论研究和实践探索。优势：八大国家级产业基地//学院始终秉承“高（高端）、新（创新）、特（特色）、精（精品）”的办学理念，以园区内八大国家级产业基地（国家健康科技产业基地、中国包装印刷基地、中国电子中山基地、中国高新技术产品出口基地、中国技术成果产业化示范基地、国家火炬计划装备制造中山基地、中国绿色食品产业基地、中山国家现代服务业数字医疗产业基地），五大支柱产业（电子信息、健康医药、包装印刷、化学工业、汽车汽配）和四大新兴产业（装备制造、节能和新能源、微电子和通讯、生物科技）为依托，组建了包装印刷、装备制造、电子工程、现代服务与管理等八个教学系，开设了包装技术与设计、电气自动化技术、机电一体化、机械制造与自动化、精细化学品生产技术、计算机多媒体技术等多个专业。在产学研方面走出了一条立足园区、三位合一、校企融合的“火炬模式”。1.国家健康科技产业基地/全国首个集创新药物、医疗器械和健康产品的研究和开发、临床试验、生产和销售为一体的国家级综合性健康产业基地，已被纳入《珠江三角洲地区改革发展规划纲要》，被科技部确定为国家创新型产业集群试点。总规划面积13.5平方公里，年生产值超500亿元。已聚集了诺华山德士、美国NBTY、辉凌、九州通、美捷时等100多家企业，并开拓了广东健康医疗信息技术服务区、吴阶平医学科技园、中山医药装备产业园、中国化妆品之都、健康食品产业园等园区。//学院生物医药系对接该基地，开设了药品生产技术、精细化学品生产技术、食品药品监督管理等专业，培养健康医药类专门人才。与基地的百年老字号企业—咀香园共建博士后工作站，学院有3名博士出站。与中智药业集团等企业开展订单培养、现代学徒制试点。30名兼职教师来自该基地。学院专业教师与基地企业联合申报20多项市级以上课题。2.中国电子（中山）基地//该基地是2001年与中国电子集团（CEC）共建，占地25平方公里，年产值超400亿元。基地以电子信息和光电产业为主导，聚集了纬创资通、佳能、卡西欧、国碁、特灵空调、伊顿电气、波若威光纤、北方光电、凤凰光学等30多家大型企业。学院对口开设电子工程系和光电工程系，共计6个专业与基地企业深度合作，开展订单培养和现代学徒制试点，并与基地的信达光学技术有限公司共建信达光电学院。3.中国包装印刷生产基地//该基地占地3.3平方公里，年产值超150亿元。现有各类包装印刷企业50多家，涉及出版印刷、包装装潢、塑料包装、商标印刷、防伪包装、印刷制版、包装材料等各种印刷包装领域。//学院包装印刷系的包装策划与设计、产品艺术设计、广告设计与制作、印刷媒体技术等专业与该基地的企业深度合作，并联合开展订单培养和现代学徒制试点，开展“双导师”培养，建设中益油墨研究等5个教师工作室。4.国家高新技术产品出口基地（高新技术产业园）//该基地现有来自超过20个国家与地区的100多家企业入驻，已形成电子信息、汽配、精细化工、光电子一体化、新能源新材料等五大主导产业链。基地占地10平方公里，年产值超200亿元。//学院信息工程、装备制造、精细化工等专业与基地的企业开展深度合作。5.中国技术市场科技成果产业化(中山)示范基地//该基地主要以汽配、电子信息、现代物流、电子新材料等产业为主。基地占地5.6平方公里，年产值200多亿元。目前，已有盛邦电子、武藏汽配、中国外运、珠江啤酒等60余家企业投入运营生产，并成立了广州产权技术交易所有限公司中山分公司等专业服务机构。//学院对接该基地开设了现代物流、电子商务、物联网、移动互联网、国际贸易等专业。6.国家火炬计划中山（临海）装备制造业基地、国家先进装备制造（中山）高新技术产业化基地/该基地是珠三角重量级工业园，是中山最为重要的装备制造业产业平台，是全市调整产业结构、实现工业适度重型化的引擎，并将成长为珠三角的经济增长极，基地占地20平方公里，拥有快速陆运、江海联运和出海港口，重点发展船舶制造与海洋工程、节能设备与新能源、成套装备制造等产业；目前已成为中船、中机、中铁、国电等十余家大型央企的聚集区，战略性新兴产业布局初具雏形。//学院对接该基地，开设了数控模具、机械制造、电焊等传统专业，并适应“装备制造2025”战略的需求，探索建设智能制造专业，并在该基地建设翠亨分院和易山重工学院。7.中山国家现代服务业数字医疗产业化基地//2013年9月22日“中山国家现代服务业数字医疗产业化基地”正式获得国家科技部认定，占地3平方公里。//该基地致力于发展全球数字医疗服务业高端价值链。通过医疗数字化、信息化的建设，带动健康产业和信息产业的融合发展，促进民生经济与产业经济的协同发展，达到增强区域经济核心竞争力，推动智慧中山与健康城市建设的目标。通过基地建设规划的实施，有望形成国内具有示范效应、影响力强的数字医疗现代服务业产业集群，促进中山区域建设千亿产业集群，推动广东省乃至全国数字医疗服务产业的发展。学院生物医药系与该基地对接，对口培养从事医疗服务的专门人才。特色：院园融合的发展路径//经过多年的发展，学院与园区企业实现深度合作，逐步走上了“你中有我，我中有你”的融合发展道路。一.开展广泛的校企合作//与园区近400家企业建立合作关系，并由董事会下设的教学、专业建设、就业创业、第三方评价四个专门委员会，具体负责校企合作、实习实训、技术服务、专业设置、培养目标、课程开发、招生规模、就业单位、人才培养质量评价等方面的决策、咨询、指导、协调、评估。//构建了较为完善的校企合作制度体系，推动校企合作的深度开展。制定并完善了《中山火炬职业技术学院校企合作管理办法》、《中山火炬职业技术学院校外实习实训基地管理办法》、《校企技术合作管理办法（试行》等校企合作项目管理制度和《中山火炬职业技术学院兼职教师管理办法》、《中山火炬职业技术学院兼职教师导师制（专兼一对一）实施办法》、《中山火炬职业技术学院教师企业实践锻炼（“深海探珠”）管理办法》等校企合作教师队伍管理制度，以及《中山火炬职业技术学院学生顶岗实习管理办法》、《中山火炬职业技术学院学生实习实训安全及保险管理办法（试行》等校企合作学生管理制度。二.建设生产性实训校区//学院与区属国有企业联合共建了占地200多亩的生产性实训校区，并根据专业建设需要，引入30多家对口企业，有效聚合了场地、物业、设备、技术、资金和人才等要素资源，构建了“政、产、学、研、金”一体化发展平台，建成了校企深度融合的利益共同体。既探索出一条不完全依靠财政投入改善教学条件的市场化新路，又盘活了国有企业闲置的物业。目前，入驻企业年产值超过6亿元。三.建设企业冠名的产业学院学院在园区遴选标杆企业，共建以企业冠名的行业、产业学院，企业总经理或技术总监担任院长，学院专业带头人担任副院长，校企双方共同编写教材，共同开发课程，将专业发展之“根”，深植于园区产业的沃土，并对接企业需求口径，实施精准育人。信达光学学院、金源工程学院、明丰电子学院、华为——讯方学院、易山重工学院、翠亨分院等利益共同体相继建成，共同开展现代学徒制试点、订单培养、‘双导师’培养、员工培训、技术研发。一.实施“深海探珠”，加强专业课程建学院实施专任教师“深海探珠”计划，要求教师进入企业生产一线的“深海”，探寻专业和课程建设的“珍珠”，并担任企业科技特派员和技术顾问。“深海探珠”引入产业发展的源头活水，推动专业以园区企业岗位链为载体，建设以岗位能力为核心的课程体系和高水平专业群。“‘政行企校’协同培养包装印刷高技能人才的探索和实践”项目获国家教学成果二等奖。二.落实“政府津贴”，打造“双师结构”队伍区管委会出台兼职教师“政府津贴”制度，鼓励企业骨干精英到学院兼职，学院专任教师，加盟企业技术研发团队。“专、兼”互动的人力资源跨界开发，既保证了“双师型”教师的培养和“双导师”制度的推行，又让企业拥有了更为稳定的技术顾问团队。三.强化技能竞赛，致力拔尖学生培养学生在各级各类大赛中成绩突出，其中技能大赛获国家级竞赛一等奖200多项。培养学生工程师52名。累计为社会输送毕业生20398人，毕业生就业率达99.00%以上，毕业生半年后起薪水平高于全国骨干高职院校平均值。很多毕业生在企业技术研发和生产管理岗位就业，一部分毕业生走上了创新创业之路，企业对毕业生的满意度达到95%。四.推进现代学徒制，实现校企合作精准育人探索校企联合招生、联合培养、一体化育人的长效机制，完善现代学徒制培养的教学、管理制度及相关标准，建立学院、企业、行业和社会中介机构参与的评价机制。逐步建立起政府引导、行业参与、社会支持，企业和学院“双主体”育人的现代学徒制。经过3年的试点，逐步探索出现现代学徒制、准现代学徒制、成人现代学徒制“三种形式”的实施标准。2015年，模具设计与制造专业获广东省现代学徒制试点优秀专业。五、加强境外合作，支撑“一带一路”战略与美国奥罗尔罗伯茨大学正式签署合作备忘录；与马达加斯加中山办事处初步确定，以中山企业在该国建设工业园区为需要，配套开展跨国职业教育或培训；加入全国“一带一路”产教协同联盟并成为广东省发起单位；加入中德职业教育联盟，并成为副理事长单位。一.科技服务通过技术服务，有力地支持了园区内外企业发展，提升了服务区域经济社会转型升级的能力。科研项目立项超过200多项，其中，国家级项目2项，省部级项目45项。获得科技成果奖9项，其中广东省科技进步三等奖1项。二.研发平台建立国家级技术研发分中心。与国家级工程中心合作，共建了“国家中药现代化工程技术研究中心中山健康产品分中心”；建立校企合作研发中心。提供场地、人员、设备与技术，吸引企业在院内设立了食品包装研究中心、中益油墨应用技术研究中心、太阳能光伏产品加工应用研发中心、健康产品研发工作室、咀香园食品科学与技术中试工程中心等五个研发中心。三.创业孵化校企合作创业互动。智观科技、奥多特等公司经过学院的培育孵化，从“小作坊”逐步成长为规模以上的企业。正在孵化的正德公司、科普斯特公司分别获得1000万元、3000万元的科技信贷和风险投资。光大光学公司，与学院有8年的合作创业史。如今，该公司的生产场地和营业额均增长了10倍。科普斯特公司与光大光学公司双双入选广东省高科技企业。四.专利成果教师工作室与服务平台、工程中心共获得专利授权200多件。其中，纳米表面材料处理技术、电动汽车直流充电技术、液浸法提取石墨烯技术处于国内领先水平。</t>
  </si>
  <si>
    <t>中山火炬职业技术学院创办于2004年4月，2009年学校以优秀等级通过教育部人才培养工作评估，2010年成为国家骨干高职院校建设单位，2015年通过验收正式成为国家骨干高职院校，2016年成为广东省一流高职院校建设单位，2019年被认定为国家优质高职院校，同年获批为国家首批“双高计划”建设单位，并于2024年1月以优秀等级通过终期验收。</t>
  </si>
  <si>
    <t>http://www.zstp.cn/</t>
  </si>
  <si>
    <t>http://zstp.cn</t>
  </si>
  <si>
    <t>0760/88291862</t>
  </si>
  <si>
    <t>中山市火炬开发区中山港大道60号</t>
  </si>
  <si>
    <t>https://www.720yun.com/t/a652cwOumuw</t>
  </si>
  <si>
    <t>https://baike.baidu.com/item/%E4%B8%AD%E5%B1%B1%E7%81%AB%E7%82%AC%E8%81%8C%E4%B8%9A%E6%8A%80%E6%9C%AF%E5%AD%A6%E9%99%A2</t>
  </si>
  <si>
    <t>https://gaokao.chsi.com.cn/zsgs/zhangcheng/listZszc//schId/1949.dhtml</t>
  </si>
  <si>
    <t>广东女子职业技术学院</t>
  </si>
  <si>
    <t>广东女子职业技术学院是经广东省人民政府批准成立的华南地区唯一一所公办女子高校。学校至今有近40年的办学历史，其前身是1981年由广东省妇联创办的广东省妇女干部学校和1992年成立的广东女子中等专业学校，2001年升格为广东女子职业技术学院。2013年11月，学校被确定为省级示范性高职院校建设单位。2015年12月，学校被认定为广东省依法治校示范校。2016年，学校被评为第三批广东省大学生创新创业教育示范学校和全国第二批职业院校数字校园建设实验校。2017年，学校被确定为广东省高职院校文化素质教育建设基地。2018年，学校被评为2015/2017年度广东省安全文明校园。学校主校区位于广州市番禺区，毗邻广州亚运城，校园环境幽雅，办学条件优良，教学设施完善。校内建有136个校内实训室，17个实训基地，209个校外实习实训基地，图书馆藏书50多万册。学校现有在校生约7000人，设有应用设计学院、管理学院、经贸学院、文化艺术学院和应用外语学院（国际交流学院）等五个全日制二级学院，另设有马克思主义学院、体育教学部、继续教育学院、创业学院，以及三个教育研究中心（所），开设专业近30个。学校拥有一支专业、学历、职称、年龄结构合理，教学和科研能力强的教师队伍。现有教职工400余人，其中专任教师247名；聘请国家级、省级行业大师3名，省级高层次技能型企业兼职教师36名。校内专任教师中，具有双师素质的占83%，具有高级职称的占39.27%，已取得硕士以上学位的占75.3%。各专业都有一批年富力强的教学骨干和学术带头人，并聘请校外的专家、企业家和业内有丰富实践经验的专业人士担任专业指导委员会委员。2012年12月，学校联合近百家政府机构、行业、企业、研究机构、社会组织和高等院校、中职学校，牵头打造了我国首个女性职业教育集团——广东女性职业教育集团，形成了政、行、校、企多方联动的办学体制和运行机制。2016年3月，学校又牵头成立广东巾帼创新创业联盟，并筹划将学校海珠校区建设成省级区域性、特色性“创业孵化基地”。学校还与港澳地区及日、美、德、澳等国多个高校和妇女组织建立了友好合作关系，与广东省多所知名大学合作举办本科班。学校以“立德树人”为根本任务，以培养具有高尚品德、高雅气质和高新技能的创新性女性技术技能人才为目标，发挥性别优势，创建女校品牌，形成以女性高等职业教育为主，大力发展妇女干部教育、妇女技能培训、妇女创新创业教育，服务女性终身教育的多形式的办学格局。毕业生深受用人单位青睐，就业率历年保持在98%以上。第三方机构独立调查显示，毕业生对母校的满意度达98%以上，远高于全国同类院校平均水平。建校以来，学校在开发女性潜能、促进女性就业、探索女性特色教育、推进男女两性和谐发展等方面做出了积极贡献，曾先后获得“广东省文明单位”、“文明校园”、“连续十年文明单位”等光荣称号。各级领导对女院给予亲切关怀，张德江、汪洋、陈慕华、彭珮云、顾秀莲等党和国家领导人，朱小丹、卢瑞华、张帼英、李鸿忠、刘玉浦、林少春、温兰子、雷于蓝等省领导曾多次莅临学校视察，对学校办学给予高度评价并寄予殷切期望。</t>
  </si>
  <si>
    <t>广东女子职业技术学院前身是由广东省妇女联合会创办的广东省妇女干部学校，历史渊源可追溯到民国15年（1926年）9月15日 ，国民党中央妇女部在广州开办的广州妇女运动讲习所；1992年11月，经广东省人民政府批准，成立广东女子中等专业学校；2001年5月，经广东省人民政府批准，升格为专科层次的高等职业学校，更为现名。</t>
  </si>
  <si>
    <t>http://www.gdfs.edu.cn/</t>
  </si>
  <si>
    <t>https://zsxx.gdfs.edu.cn/</t>
  </si>
  <si>
    <t>020/34557001/34557502</t>
  </si>
  <si>
    <t>广州市番禺区市莲路南浦村段2号</t>
  </si>
  <si>
    <t>https://baike.baidu.com/item/%E5%B9%BF%E4%B8%9C%E5%A5%B3%E5%AD%90%E8%81%8C%E4%B8%9A%E6%8A%80%E6%9C%AF%E5%AD%A6%E9%99%A2</t>
  </si>
  <si>
    <t>https://gaokao.chsi.com.cn/zsgs/zhangcheng/listZszc//schId/1224.dhtml</t>
  </si>
  <si>
    <t>广东农工商职业技术学院</t>
  </si>
  <si>
    <t>双高计划</t>
  </si>
  <si>
    <t>乡村振兴人才培养优质校</t>
  </si>
  <si>
    <t>广东农工商职业技术学院是一所央属普通高等公办专科院校。学校成立于1952年，前身是由叶剑英元帅在兼任华南垦殖局局长期间创办的华南垦殖干部学校。1984年经广东省人民政府批准成立广东农垦管理干部学院；1989年经农业部批准挂牌“农业部华南农垦干部培训中心”；2000年6月更名为广东农工商职业技术学院。//六十多年来，学校坚持“以人为本、特色强校、求实创新、和谐发展”的办学理念，依托农垦、面向广东、服务社会，以“农”为主导，带动“工商”两翼，三者融合发展，培养服务国家、社会和人民的高素质技术技能人才。2005年，接受全国“高职高专院校人才培养工作水平评估”被确认为优秀院校；2015年，通过广东省示范性高职院校建设验收；2016年，被广东省教育厅、广东省财政厅确定为“广东省一流高职院校建设计划”立项建设单位。在《2018中国高等职业教育质量年度报告》发布会上，学校同时进入三个全国50强，分别是教学资源前50强、服务贡献前50强、国际影响力前50强。//学校拥有粤垦路校区和增城校区，粤垦路校区位于广州市天河区粤垦路，增城校区位于广州市增城区中新镇。目前设有热带农林学院、商学院、财经学院、智能工程学院、计算机学院、外语学院、艺术与设计学院、国际交流学院、马克思主义学院等9个二级学院，以及基础部、继续教育中心等教学及培训机构，拥有热带作物研究所、职业技术教育研究所、计算机应用研究所、通信技术研究所、思想政治教育研究所、广州市女科技工作者社会服务工作室等科研机构。2013年，学校牵头组建了广东省南亚热带农业职业教育集团；2017年，学校牵头成立了全球华人营销联盟职业教育委员会。学校先后与广州百货集团、广东燕岭大厦有限公司、广东广垦绿色农产品有限公司共同成立了广百商学院、燕岭旅游酒店管理学院、广垦农产品商学院等培训学院。//学校开设有45个招生专业，全日制在校生近2万人。其中“作物生产技术”、“市场营销”为广东省一类品牌专业，“会计”、“通信技术”、“软件技术”、“食品加工技术”、“酒店管理”、“商务英语”、“数字媒体应用技术”、“园林技术”、“国际金融”、“汽车营销与服务”10个专业是广东省二类品牌专业；“作物生产技术”、“农产品质量检测”、“物流管理”和“电子信息工程技术”等4个专业是广东省示范性高职院校重点建设专业；“畜牧兽医”为广东省高职教育现代学徒制试点专业，“食品加工技术”专业为教育部教学改革试点专业；“食品加工技术”、“会计”、“市场营销”、“数字媒体应用技术”等4个专业是广东省示范性专业；“作物生产技术”、“市场营销”被立项为中央财政支持的高等职业院校提升专业服务产业发展能力项目；“审计”、“旅游英语”、“文秘”、“动漫设计与制作”等4个专业是广东省高职教育重点专业。校内建有各类实训场所1.18万平方米，拥有国家级高职高专实训基地3个，省级高职教育实训基地11个，校外实训实习基地1000多家。//学校拥有一支数量充足、“双师结构”合理的师资队伍，在职教工中享受国务院特殊津贴1人、全国“五一”劳动奖章获得者1名、全国巾帼标兵获得者1名，广东省“五一”劳动奖章获得者1名、省级教学名师5名，南粤优秀教师11名，南粤优秀工作者1名，省级青年教师3名，省级教学团队6个，省级高层次技能兼职教师29名。目前，建设有国家级精品资源共享课程1门，省级精品资源共享课程19门；省级优质思政课1门；获国家级教学成果二等奖1项，省级教学成果一等奖3项，二等奖7项；承担省级以上科研项目近200项。//学校招生范围遍及广东、湖南、云南、江西、广西、河南、海南、安徽、贵州、甘肃、山西等十一个省区，考生报考踊跃。学校培养的10万毕业生深受用人单位欢迎，连续三年初次就业率超过97%，连续多年位居省内高校前列。//学校重视国际合作与交流，与英国、德国、美国、香港、澳门等国家和地区开展了多项合作。其中与英国培生集团合作举办的BTEC教育项目，是广东省中英职业教育合作试点项目，从2002年至今已连续招生15年。学校BTEC教育中心被英方评估确认是目前中国境内办得最好的BTEC示范性教育机构，并被授权为大中华地区第一个BTEC师培中心。众多的国际合作项目为学生跨国实习、就业、升学提供了多种选择。//学校注重学生素质教育，注意培养学生的创新思维和实践能力。每年的科技学术节、文化艺术节、运动会等校园活动吸引了广大学生踊跃参加。目前拥有各类学生刊物8种，各类学生社团48个。2016年，学生参加各级各类技能竞赛取得省部级及以上技能大赛获奖数121项，其中国家级一等奖12个，二等奖21个，三等奖24个。//学校先后荣获“广东省职业教育先进单位”“广东省师德建设先进集体”“广东省文明单位”“广东省依法治校示范校”“全国农业农村信息化（技术创新型）示范基地”等称号等称号，学校工会荣获“全国模范职工之家”荣誉称号。目前，学校以广东省一流高职院校建设为抓手，实施“创新强校”工程，努力建设成为“全国一流、东南亚知名、国际有影响”的具有南亚热带产业特色的全国优质院校。</t>
  </si>
  <si>
    <t>学校创建于1952年，前身为叶剑英元帅在兼任华南垦殖局局长期间创办的华南垦殖局机务学校，1977年经广东省革命委员会批准成立广东省农垦干部学校，1984年经广东省人民政府批准成立广东农垦管理干部学院，开始举办大专学历教育，1989年经原农业部批准挂牌“农业部华南农垦干部培训中心”，1993年更名为广东农工商管理干部学院。2000年更名为广东农工商职业技术学院。 2005年学校被确定为全国“高职高专院校人才培养工作水平评估”优秀院校。2012年被确定为广东省示范性高等职业院校。2016年被确定为广东省一流高职院校建设计划建设单位。2022年入选广东省省域高水平高等职业院校建设计划建设单位</t>
  </si>
  <si>
    <t>http://www.gdaib.edu.cn/</t>
  </si>
  <si>
    <t>http://www.gdaib.edu.cn</t>
  </si>
  <si>
    <t>020/85230071</t>
  </si>
  <si>
    <t>广州市天河区粤垦路198号</t>
  </si>
  <si>
    <t>https://www.720yun.com/t/2fcjeghmzn5</t>
  </si>
  <si>
    <t>https://baike.baidu.com/item/%E5%B9%BF%E4%B8%9C%E5%86%9C%E5%B7%A5%E5%95%86%E8%81%8C%E4%B8%9A%E6%8A%80%E6%9C%AF%E5%AD%A6%E9%99%A2</t>
  </si>
  <si>
    <t>https://gaokao.chsi.com.cn/zsgs/zhangcheng/listZszc//schId/1014.dhtml</t>
  </si>
  <si>
    <t>广东生态工程职业学院</t>
  </si>
  <si>
    <t>广东生态工程职业学院是广东省林业厅主办，2014年3月经广东省人民政府批准设立的一所全日制公办普通高等职业学院，其前身是创办于1953年的首批国家级重点中专学校广东省林业职业技术学校。//学院坐落在享有“花城”美誉的广州市，占地612亩，毗邻华南植物园，地铁6号线“龙洞站”上盖。学院是广东省“文明单位”、广州市“花园式单位”、全国“五四红旗团委”单位、全国“最具就业竞争力示范院校”单位、全国“群众体育先进”单位、全国“模范职工之家”，更是华南地区具有鲜明林业生态特色的高等职业院校。学院社会知名度和美誉度逐年提高，现有教职员工380人，高级职称者占比近40%，在校生人数近7000人。现任党委书记为张方秋研究员、院长为廖金铃教授。//学院立足林业生态特色，不断强化内涵建设。以培养林业生态高素质的技术技能人才为核心，以“育人为本、德育为先、突出技能、彰显特色”为办学理念，构筑“政校行企、协同创新、深度融合”的办学模式。下设生态工程系、风景园林系、园艺系、环境艺术设计系、经济贸易系、生态旅游与文化系、信息工程系、基础教育部等8个教学系部。所有课室配备多媒体教学系统，学生宿舍和课室均配备空调，教学和学生管理工作实现信息化。拥有400米8跑道标准塑胶运动场、室内篮球场和羽毛球场，学生运动设施齐全。//学院坚持产教融合发展，大力推进专业建设。现已开设林业技术、园林技术、园艺技术、会计、文秘、环境艺术设计、物联网应用技术等25个专业。依托中国（南方）现代林业职业教育集团、广东林业职业教育集团、广东农业职业教育集团、国家花卉产业技术战略联盟、广东省花卉协会、广东省湿地协会、广东园林学会、店长职教集团等机构拓展了8个协同育人平台。拥有广东现代林业公共实训中心等省级实训中心和平台3个，建立了园林技术、信息技术等校级实训中心6个，园林制图、3D模拟导游、3D打印、林业3S信息技术等实训室20多个。成立了森林培育研究中心、植物有害生物防控与生物环境健康技术研究中心、南粤风景园林应用技术研究中心等首批3个校设研发机构。//学院重视学生技能培养，聚焦职业能力提升。实施“以赛促学、以赛促教、以赛促改”技能培养激励机制，鼓励师生参加各类技能竞赛，获奖项目屡创历史新高。推行和实施“双证书”制度，已建立起覆盖林业、园林等行业的技能鉴定考试站点。课程教学通过引进企业工作任务、生产项目、典型新技术、职业技能大赛项目、大学生创新创业项目、职业技能培训与鉴定项目，以出产品或其他实践教学成果形式的技能包，来突出课程的前瞻性、职业性、创新性、开放性、实践性，不断提升学生综合职业能力。与120多个企事业单位共建校外实习基地，每年向社会输送实用性技能人才2000多人，毕业生以其适应性好、动手能力强、综合素质高而受到用人单位广泛欢迎。//学院积极营造育人氛围，生态文化逐步形成。学校注重将“生态”元素融入丰富多彩的校园文体活动中，拥有近50个社团组织及协会，常年举办音乐、书法、绘画、摄影、舞蹈、插花、社交礼仪等第二课堂活动。65载风雨兼程，几代教育者坚持不懈，形成并传承了“团结、勤奋、敬业、创新”的良好校风，塑造了追求“高教学质量、高服务质量、高人才培养质量”的质量文化观，营造了“以生为本、因材施教、人人成才”的文化氛围，形成了“自律为主、创新出彩”的质量文化雏形和“校园文化+专业文化+企业文化+质量文化+双创文化”五层对接的文化育人体系。//风起扬帆时，能者立潮头。目前,学院正乘势而上，立足林业行业，对接绿色产业，打造生态品牌，加大创新步伐，壮大办学规模，走行业特色发展之路，行开放开门办学之策，全力打造南粤绿色摇篮，为广东生态文明建设、经济社会发展培养更多更高素质的技术技能人才。</t>
  </si>
  <si>
    <t>http://www.gdsty.cn/index/index.html</t>
  </si>
  <si>
    <t>https://zs.gdsty.edu.cn/</t>
  </si>
  <si>
    <t>020/87032191</t>
  </si>
  <si>
    <t>广州市天河区广汕一路297号</t>
  </si>
  <si>
    <t>https://baike.baidu.com/item/%E5%B9%BF%E4%B8%9C%E7%94%9F%E6%80%81%E5%B7%A5%E7%A8%8B%E8%81%8C%E4%B8%9A%E5%AD%A6%E9%99%A2</t>
  </si>
  <si>
    <t>https://gaokao.chsi.com.cn/zsgs/zhangcheng/listZszc//schId/998874927.dhtml</t>
  </si>
  <si>
    <t>清远职业技术学院</t>
  </si>
  <si>
    <t>清远市</t>
  </si>
  <si>
    <t>四线城市</t>
  </si>
  <si>
    <t>清远职业技术学院成立于2002年，是清远市人民政府举办的综合性公办高等学校。学院坐落在有“珠江三角洲后花园”之称的中国优秀旅游城市、中国宜居城市——清远。清远距广州市中心仅60公里，毗邻白云国际机场，广清高速、广乐高速、京广铁路纵贯南北，京广高铁在市区设清远站，交通便捷。学院设有护理学院、外语与经贸学院、机电与汽车工程学院、旅游家政与艺术学院、信息技术与创意设计学院、食品药品学院、继续教育学院等7个二级学院。现有全日制高职学生1.16万人。学院实施“强师工程”，加强师资队伍建设，现有清远市紧缺适用高层次人才27人，广东省高等职业教育专业领军人才培养对象2人，广东省高等学校优秀青年教师培养计划培养对象3人，广东省扬帆计划培养高层次人才项目1人，清远市重点人才项目“起航计划”项目1项。学院坚持“人本、创新、协同、优质”的办学理念和“立德树人，工学结合，为区域经济社会发展培养高素质技术与技能人才”的办学定位。2016年以来，实施“三步走”发展战略，提出建设具有全国影响力和竞争力的高等职业院校的发展目标。学院先后被授予“广东省文明单位”“广东省文明校园”“广东省安全文明校园”“广东省职工道德建设先进单位”“广东省高校治安综合治理先进学校”“广东省征兵工作先进单位”等荣誉称号，2013年被确定为广东省示范性高等职业院校建设单位。2005年，时任广东省委书记张德江在视察学院时肯定学院工作，并为学院题词：“兴教育才，科学发展，清远宏图，蟠龙腾飞。把清远职业技术学院建设成全国一流职业技术学院。”近年来，学院以省示范性高职院校建设为抓手，以“创新强校工程”为引领，推进内涵建设，在专业建设、课程建设、实训基地建设、校企合作、现代学徒制探索与实践、文明校园建设等方面取得明显成效。生物制药技术专业是首批全国职业院校健康服务类示范专业点。护理、药品生产技术、电气自动化技术等3个专业是省高职教育重点专业。食品生物技术、机电一体化技术、旅游管理等3个专业是省高职教育重点专业建设项目。药品经营与管理、家政服务与管理、计算机网络技术等3个专业是省级品牌专业建设项目。康复治疗技术、电子信息工程技术等2个专业是中央财政支持高等职业院校提升专业服务产业发展能力项目。医疗美容技术、机电一体化技术等6个专业是教育部现代学徒制试点推进专业。学院教育教学质量不断提升，学生在参加全国、省、市各类技能大赛中屡获佳绩。学院有较为完善的教学设施设备。护理、机电一体化技术、计算机应用技术专业群实训基地是中央财政支持的职业教育实训基地。生物制药技术、食品生物技术、汽车维修与检测技术、助产、会计、商务英语等6个实训基地是省财政支持的省级高等职业教育实训基地。文化教育艺术公共实训中心、信息技术与创意设计实训中心、互联网技术创新创业公共实训中心是广东省高职教育公共实训中心。学院与520多家企业（行业）单位建立校企合作关系，各专业建立了大批高质量的校外实训、实习、就业基地。护理专业、旅游管理、计算机应用、汽车检测与维修等专业大学生校外实践教学基地是省重点建设项目。学院加强国际合作与交流，积极呼应国家“一带一路“合作倡议和粤港澳大湾区发展规划，先后与澳大利亚、韩国、新西兰、马来西亚、美国等境外高等教育机构和香港、台湾等地区多所高校建立合作交流关系，在人才培养、课程体系建设、师资培训、交换生学习交流等方面展开合作，学习引进国际先进、成熟适用的专业课程标准、教材体系和其他优质教育资源，着力培养具有国际视野的高素质技术技能人才。学院建立了全程化就业指导和服务体系，毕业生就业率、就业质量持续提高。学院加强校园文化建设，努力打造绿色校园、美丽校园和书香校园。学院高度重视安全管理，构建了安全、稳定、和谐的育人环境。</t>
  </si>
  <si>
    <t>2002年4月，学校在原清远市师范学校和清远市卫生学校的基础上合并升格成立，清远市教师进修学校和清远市广播电视大学于2003年1月、清远市交通学校于2004年12月相继并入学校。 学院先后被授予“广东省文明单位”“广东省文明校园”“广东省安全文明校园”“全国数字校园建设实验校”等荣誉称号。</t>
  </si>
  <si>
    <t>http://www.qypt.com.cn/</t>
  </si>
  <si>
    <t>https://zs.qypt.edu.cn/</t>
  </si>
  <si>
    <t>0763/3936666</t>
  </si>
  <si>
    <t>清远市清城区东城街蟠龙园</t>
  </si>
  <si>
    <t>https://www.720yun.com/t/69fjzssvzv5</t>
  </si>
  <si>
    <t>https://baike.baidu.com/item/%E6%B8%85%E8%BF%9C%E8%81%8C%E4%B8%9A%E6%8A%80%E6%9C%AF%E5%AD%A6%E9%99%A2</t>
  </si>
  <si>
    <t>https://gaokao.chsi.com.cn/zsgs/zhangcheng/listZszc//schId/1430.dhtml</t>
  </si>
  <si>
    <t>广东江门中医药职业学院</t>
  </si>
  <si>
    <t>公立</t>
  </si>
  <si>
    <t>广东江门中医药职业学院是经广东省人民政府批准、教育部备案的公办全日制普通高等院校。学院位于广东省江门市蓬江区龙湾路4号，毗邻圭峰山（国家4A级风景区），环境幽雅，空气清新，交通便利。学院占地约320亩，教学设备约3000万元，图书馆藏书16万册，学院师资雄厚，现有教职工近500人，其中硕士以上学历教师51人，副教授及以上职称122人；学院拥有一间1000多床位的直属附属医院和80多校外实习基地。学院设立了护理临床系、药学系、医学基础部、中医系部、文化基础部，开办护理、药学、中药、医学检验技术、中医康复技术、康复治疗技术、医学美容技术、助产、中医学等18个专业，面向全省招生。////学院注重发挥中医药文化的优势，坚持以人为本、德育为先、能力为重、全面发展、服务侨乡的办学理念，建设特色鲜明、区域领先、服务一流的高等职业院校。创新人才培养模式，狠抓教学质量，深化校企合作机制，与医院、高端养老机构共建“中医药健康养老产业教、学、研战略联盟”，打造以“健康养老、高端医疗、心灵度假”为主题的健康养生科普体验馆、岭南中医药文化博览基地、中医药产业、健康养老业的人才培养与研发基地，培养高素质实用型的卫生职业人才。</t>
  </si>
  <si>
    <t>http://www.gdjmcmc.com/</t>
  </si>
  <si>
    <t>http://www.gdjmcmc.com</t>
  </si>
  <si>
    <t>0750/3568605,0750/3568603</t>
  </si>
  <si>
    <t>广东省江门市龙湾路4号</t>
  </si>
  <si>
    <t>https://baike.baidu.com/item/%E5%B9%BF%E4%B8%9C%E6%B1%9F%E9%97%A8%E4%B8%AD%E5%8C%BB%E8%8D%AF%E8%81%8C%E4%B8%9A%E5%AD%A6%E9%99%A2</t>
  </si>
  <si>
    <t>https://gaokao.chsi.com.cn/zsgs/zhangcheng/listZszc//schId/1834452848.dhtml</t>
  </si>
  <si>
    <t>广州幼儿师范高等专科学校</t>
  </si>
  <si>
    <t>广州幼儿师范高等专科学校位于广东省省会、国家中心城市、国家综合性门户城市、粤港澳大湾区核心城市——广州，是广州市人民政府举办、广东省人民政府批准、教育部备案的一所公办全日制普通高等专科学校，建校初期办学规模6000人，已于2021年9月正式开学，在校生3649人。学校有教职工126人，高层次引进人才2名，具有博士或硕士学位教师占专任教师数比例达94.39%。/学校坐落在广州科技教育城内（广州市增城区科教大道110号），占地面积540.153亩，校舍总建筑面积14.97万平方米，建有教学楼、实训楼、排演中心、图书馆、学生宿舍等教学、生活单体建筑41栋；教学科研仪器设备、智慧校园建设、体育器材等一应俱全。学校是一个山水生态校园，依托自然山体、湖泊，打造出岭南风格、山萦水绕的诗意校园，建筑布局、环境设计充分体现师范类学校的办学理念和人文思想，也是一所文化气息浓、宜学、宜教、宜居的智慧型校园。/学校的办学定位是聚焦广州学前、婴幼儿照护、创意文化等重点领域对于高素质人才的现实需求，以学前教育长学制人才培养为发展，开展高职、中职学历教育，中职与高职衔接、职业教育与继续教育并举、学历教育与职业培训结合，升学与就业并重。立足广州，服务全省、辐射全国，坚守师范教育属性，树立师范为根、幼教为本、特色为先、质量为上的办学理念，培养“有梦/有艺/有为”的应用型、艺术型“三有两型”高素质幼教人才，努力成为南粤幼儿师范教育的引领者，成为广州乃至粤港澳大湾区幼儿教育人才培养的支撑者，成为幼教高端培训、幼师教育研究与实践的示范者，努力往建成幼教特色鲜明的国内一流幼儿师范高等专科学校而奋斗。/学校围绕“聚焦学前教育、融合艺术体育、发展健康服务、增强社会功能”的专业群布局思路，建设“1+3+N”专业群发展模式，以学前教育专业群为龙头，音乐教育、体育教育等专业群支撑发展，将建成1/2个省级高水平专业群，打造1个全国高水平专业群，在全省乃至全国发挥引领示范作用，全面提升学校的办学能力和办学层次。学校已设立11个高职专业（学前教育、早期教育、音乐教育、美术教育、婴幼儿托育服务与管理、舞蹈教育、体育教育、心理健康教育、音乐表演、播音与主持、现代家政服务与管理），设三年制专业11个、二年制专业7个，并建立了专业动态调整机制；设有中职部，开设5个中职专业（幼儿保育、婴幼儿托育、音乐表演、舞蹈表演、绘画）。/学校秉承“德道传承、明理崇智、敏而乐学、卓尔超群”文化理念，打造办学特色。坚持“幼”字当先，“师”字为本，凸显学前教师教育特色，发挥艺术教育优势，瞄准幼儿教育、婴幼儿托育领域，走出一条以质量求生存、以特色求发展的办学之路，并形成了语言艺术、奥尔夫音乐融合教学、合唱、女子足球、非遗艺术教育等五大专业特色。/学校将产教融合作为发展的重要途径和发展方略，融入人才培养的全过程，主动适应产业变革对技术技能人才的新要求，精准对接行业企业需求，与黄埔区教育局、花都区教育局、增城区教育局、广东省婴幼儿照护与早期发展行业协会、广州日报社、广州市文化发展集团、越秀地产、广州开发区人才教育工作集团、广东东湖棋院、广州电视台、羊城晚报社等单位开展深度产教融合合作。学校已建立固定的校外见实习基地175个，可以满足各专业学生实践实训教学需求；作为广幼学前教育集团核心校，有2所附属幼儿园。</t>
  </si>
  <si>
    <t>020/89918615   89918616</t>
  </si>
  <si>
    <t>广州市天河区和东路沾益直街121号；广东省广州市增城区科教大道110号</t>
  </si>
  <si>
    <t>https://baike.baidu.com/item/%E5%B9%BF%E5%B7%9E%E5%B9%BC%E5%84%BF%E5%B8%88%E8%8C%83%E9%AB%98%E7%AD%89%E4%B8%93%E7%A7%91%E5%AD%A6%E6%A0%A1</t>
  </si>
  <si>
    <t>https://gaokao.chsi.com.cn/zsgs/zhangcheng/listZszc//schId/3156250302.dhtml</t>
  </si>
  <si>
    <t>广东工程职业技术学院</t>
  </si>
  <si>
    <t>广东工程职业技术学院是广东省教育厅直属的一所以工科专业为主，文、经、管、艺术专业协调发展的高职院校，其前身是创建于1958年的广东省业余科技大学，2005年转制为高职院校。学校坚持社会主义办学方向，坚持立德树人根本任务，坚持"以高素质为灵魂，以高技术技能为核心，以高质量就业为导向，政校行企全方位融合，全面服务区域经济社会发展"的办学理念，突出特色发展、创新发展，取得显著的成绩。学校现占地1139.63亩（广州、清远两校区），新生报到后全日制在校生近14200人，成人专科生1192人，实践场所10.24万平方米，校内外实践基地228个（中央财政支持实训基地3个，省财政支持实训基地11个），纸质图书85.85万册。现有教职工572人，其中，专任教师504人，高级职称教师154人。设有机电工程学院、电梯工程学院、建筑工程学院、信息工程学院、管理工程学院、财经学院、人文艺术学院、人工智能学院、公共服务学院、马克思主义学院、继续教育学院、创业学院13个教学单位，开设47个专业。目前学校软件技术专业为国家骨干专业，重点建设并形成了电梯工程技术、建筑工程技术等省级示范建设专业和软件技术省品牌专业、建筑设计省重点专业等。其中，会计、电子信息工程技术、电气自动化技术被教育厅批准为高职本科协同育人应用型本科人才培养专业。学校坚持以服务为宗旨，以就业为导向，近五年来毕业生总体就业率保持在99%以上。学校是省示范性建设高职院校、教育部现代学徒制试点高校、专本对接应用型人才培养试点高职院校、全国大学生创业示范基地建设单位、省大学生创新创业教育示范学校、省高校思想政治理论课示范建设单位、省培育和践行社会主义核心价值观示范点，荣获教育部"全国毕业生就业工作典型经验高校"、"广东省文明单位"等荣誉称号。学校全面加强党的建设和思想政治教育工作，建立全省高职院校首家马克思主义学院。原全国人大副委员长韩启德、原中国科协党组书记邓楠、原广东省省长朱小丹等领导先后来校视察，对学校的快速发展给予了高度评价。学校大力推动政校行企协同创新，与迅达（中国）电梯有限公司、广东海外建设集团公司等国内外知名企业建立深度合作关系，形成"校企双主体、工学六合一"，"8双4一"现代学徒制等特色鲜明的人才培养模式，努力构建高水平人才培养体系。与迅达（中国）电梯公司合作，在全国率先校企共建电梯技术专业和电梯工程学院；与广州建筑集团等合作，在校内共建广东工程建筑信息模型应用技术研究与开发（BIM）中心，走在全国前列；与广州市茂名商会、广东万讯网农业股份有限公司深度合作，创立"万讯创新创业研究中心"、"万讯商学院"，共建"广东工程•万讯创新创业学院"，致力于培养企业合伙人；学校紧密与华为技术有限公司华为信息与网络技术学院（简称华为ICT学院）建设产教融合、校企合作的产业学院，创新人才培养模式，共同培养更多高素质技术技能人才。经省教育厅批复，我校在湛江财贸中等专业学校、湛江机电学校设置高职专业学院，为中职毕业生提供升学渠道。"十三五"期间，学校将高举习近平新时代中国特色社会主义思想伟大旗帜，坚持内涵式、精品化、特色化、高端化、国际化的发展策略，以机制创新为引领，以示范性高职院校建设和"创新强校工程"建设为抓手，大力实施"专业、课程、队伍、平台"质量工程，加快推进清远校区建设，为广东实现习近平总书记提出的"四个走在全国前列"的目标培养更多的高素质技术技能人才，努力办成人民满意、工科特色鲜明、省内一流、国内有影响力的高职院校，争当广东省高职教育的排头兵。</t>
  </si>
  <si>
    <t>广东工程职业技术学院前身是1958年建校的广东业余科技大学，后历经广东业余大学、广东省业余科技大学、广东省成人科技大学等办学时期。2005年经广东省人民政府批准转制为高等职业学校，更为现名。2013年经广东省人民政府批准，学校成建制划转广东省教育厅管理。</t>
  </si>
  <si>
    <t>http://www.gpc.net.cn/</t>
  </si>
  <si>
    <t>http://gpczs.good/edu.cn/</t>
  </si>
  <si>
    <t>020/37395432、37395743</t>
  </si>
  <si>
    <t>广东省广州市天河区渔兴路18号</t>
  </si>
  <si>
    <t>https://baike.baidu.com/item/%E5%B9%BF%E4%B8%9C%E5%B7%A5%E7%A8%8B%E8%81%8C%E4%B8%9A%E6%8A%80%E6%9C%AF%E5%AD%A6%E9%99%A2</t>
  </si>
  <si>
    <t>https://gaokao.chsi.com.cn/zsgs/zhangcheng/listZszc//schId/5189393.dhtml</t>
  </si>
  <si>
    <t>广东科贸职业学院</t>
  </si>
  <si>
    <t>广东科贸职业学院，是广东省教育厅直属的公办普通高等学校，前身是被誉为广东农业科技与管理干部摇篮的广东省农业管理干部学院,成立于1985年。学校现有校园面积1千多亩、教研设备总值约1亿元、在校生约1万人。建校以来，学校得到省委、省政府和上级有关部门、领导的深切关怀和大力支持。原省委、省政府领导任仲夷、林若、朱森林、卢瑞华、郭荣昌、杜瑞芝、凌伯棠、欧广源、李容根等领导同志都曾莅临我校指导或题词勉励。广东省人大常委会原主任欧广源担任学校名誉校长。学校现是广东省示范性高职院校立项建设单位、广东省大学生创新创业教育示范学校/，是国家教育部第三批现代学徒制试点单位，国家农业部首批全国新型职业农民培育示范基地，国家科技部第二批国家级“星创天地”项目单位。//办学条件优越学校现有广州白云石井校区、天河五山校区、天河凤凰校区和省职教育基地（清远）校区四个校区，占地面积1100亩，建筑面积28万平方米，教学仪器设备约1亿元。有覆盖所有专业群的校内实训基地22个、校外实训基地173个，各类实验室、实训室185个，其中，中央财政专项支持建设的职业教育实训基地2个、省级实训基地5个、省级公共实训中心1个、省级大学生创新创业训练计划项目20个、省级大学生校外实践基地7个、校级大学生校外实践基地23个。设有“国家职业技能鉴定所”。//师资力量雄厚学校建有一支数量充足、素质优良、结构合理、富有创新精神和充满活力的专兼结合师资队伍。全校双师素质专任教师占比85%；有享受国务院特殊津贴教师1名、全国优秀教师1名、全国农业职业教育教学名师1人；省级教学团队3个；南粤优秀教育工作者2名、南粤优秀教师7名；省级教学名师3名，省职业教育“双师型”高职名教师工作室主持人1人，省高等学校优秀青年教师培养计划2人；校级教学名师22人；广东省高校“千百十工程”校级培养对象27人；校级教学团队13个。//人才培养水平高（含国际交流和本科人才衔接培养）学校设有10个二级学院（部），包括园林园艺学院、食品与生物工程学院、动物科技学院、经济管理学院、商贸与外语学院、人文艺术学院、信息与自动化学院和国际交流学院、马克思主义学院、体育部等，目前共开设39个专业，专业范围覆盖农林牧渔、土木建筑、生物化工、餐饮旅游、财经管理、外语外贸、计算机与自动化和文传艺术等类别，建成省级重点专业（含省级品牌专业、省级示范专业、央财支持专业）7个，校级重点（品牌）专业13个。学校积极开展国际化人才培养和应用型本科人才培养。先后与英国、荷兰、台湾、新西兰、澳洲、芬兰、韩国等国家和地区10多所高校合作，开展学生境外交流学习、带薪实习等项目。与相关本科院校联合开展高本衔接人才培养试点，现已获省教育厅批准与韶关学院、仲恺农业工程学院在生物技术及应用、畜牧兽医、园艺等专业开展高本衔接人才培养，学生通过转段考试可进入相应本科院校学习，毕业获得全日制本科学历。近年，学校人才培养质量稳步提升，毕业生受到用人单位的广泛好评，毕业生初次平均就业率保持在97%以上。2015年学校获评广东省毕业生就业现状满意度最高的公办高职院校。在各类专业技能大赛中，学生屡创佳绩，近年在国家级和省级技能大赛中共获奖91项，在2008/2017年全省高职院校学生技能大赛成绩综合评比中，学校以2项国家一等奖、7项国家二等奖和6项国家三等奖的成绩，名列全省高职院校第14位。//科研与社会服务能力强学校建立了特色鲜明、系统完备的科研体系。设有省家禽科学研究所、农业经济研究所、职业教育研究所三大科研机构;建立了岭南绿色农业职业教育“星创天地”、广东家禽应用技术协同创新发展中心、广东省生态型野化茶科技创新中心、广东省肉鸽科技创新中心、广东省现代农业（肉鸽）产业技术研发中心等多个国家和省级科研平台；是国家鸽业科技创新联盟理事长单位、广东农村经济学会会长单位；主办有国内外公开发行的《南方农村》学术期刊。有9支省级农村科技特派员团队和社会服务团队。有90多位教师入选省科技厅、省农业厅和省社科院专家库。近年学校获得全国农牧渔业丰收二等奖、广东省农业技术推广一等奖、广东省科学技术三等奖等国家、省及有关部门颁发的各类成果奖20多项。//创新创业教育区域领先作为广东省大学生创新创业教育示范学校，学校高度重视培养学生的创新意识、创新能力和创业素养。建立了覆盖各个专业群的二级创业咨询机制;建立了师资数量达600名的导师库，由校内科技创新教师、创业赛事导师和校外企业家、创业人士、专家学者、行业能工巧匠等组成;开展“创业训练营”、创新创业实践活动，不断完善“双创普及教育→创业提升实践→创业菁英孵化”三级递进创新创业人才培养模式，培育学生创新创业意识、能力，取得良好的成效，近年共荣获省“挑战杯”创新创业类大赛省级以上奖项40项，受到师生一致好评。//大学生文化活动缤纷多彩学校校园文化氛围浓厚，来自学校和二级学院的学生会、社团等学生组织每年均组织开展形式多样、丰富多彩的校园文化活动，如校园文化艺术节、迎新晚会、游园活动、茶文化节、全民饮茶日、“青春心向党建功新时代”主题团日活动、5·25心理健康活动月、动物科技文化节、科贸茗谈、党团志愿服务、企业文化进校园活动等系列活动，为同学们拓展知识、强化技能、提高修养、锤炼品格和了解社会提供了丰富的机会，同学们可以在活动参与过程中,/展示自我，发挥作用，同时感受校园文化和大学精神，不断丰富自身内涵，成长成才。当前，学校正高举习近平新时代中国特色社会主义思想伟大旗帜，围绕立德树人根本目标，坚持“突出特色、强化技能、服务社会”的办学理念，践行“砺志修德，强能善技”的校训精神，以崭新的姿态，努力建设具有特色鲜明、国际视野的高水平高职学院,努力为经济社会发展培养更多德智体美劳全面发展的高素质技术技能人才。</t>
  </si>
  <si>
    <t>学校肇始于1985年成立的广东省农业管理干部学院；2006年转制为普通高等学校，并更名为广东科贸职业学院；2008年划归广东省教育厅管理。</t>
  </si>
  <si>
    <t>http://www.gdkm.edu.cn/</t>
  </si>
  <si>
    <t>https://www.gdkm.edu.cn/Category_1344/Index.aspx</t>
  </si>
  <si>
    <t>020/22014966,020/22014969</t>
  </si>
  <si>
    <t>校本部：广州市白云区石井街石庆路388号,五山校区：广州市天河区科华街273号</t>
  </si>
  <si>
    <t>https://www.720yun.com/t/bbajkdmkzf2</t>
  </si>
  <si>
    <t>https://baike.baidu.com/item/%E5%B9%BF%E4%B8%9C%E7%A7%91%E8%B4%B8%E8%81%8C%E4%B8%9A%E5%AD%A6%E9%99%A2</t>
  </si>
  <si>
    <t>https://gaokao.chsi.com.cn/zsgs/zhangcheng/listZszc//schId/5232539.dhtml</t>
  </si>
  <si>
    <t>广东云浮中医药职业学院</t>
  </si>
  <si>
    <t>广东云浮中医药职业学院创办于2021年，是一所由广东省人民政府批准设立、经教育部备案，由云浮市人民政府主办的具有高等学历教育招生资格的一所全日制公办普通高等学校。/学校坚持党的领导，全面贯彻新时代党的教育方针，落实立德树人根本任务，坚持“以人为本、德业双修、全面发展”的教育理念，坚定“合理规划，抓住重点，打造特色”的办学思路，培养适应中医药事业和产业高质量发展的德智体美劳全面发展的高素质技术技能人才，服务地方经济建设和社会发展，致力于建设成为国内一流的中医药高职院校。/1.学校办学条件优异。学校坐落于拥有2100多年历史的文化名城、“南药之乡”——云浮市新兴县。学校规划校园占地1125亩，分三期建设，其中一期占地面积395亩，建筑面积13万平方米，总投资9.11亿元，可容纳在校生4500人。学校一期建设仅用一年时间建成投入使用，并荣获国家建筑工程最高级别奖项的鲁班奖，学校建设充分体现了云浮速度、云浮质量、云浮特色。/学校的建设和发展得到全国“双一流”高校暨广东省高水平大学——广州中医药大学的大力支持和长期帮扶。学校校园规划建设起点高、师资力量雄厚、教学生活设施配套完善。/2.师资队伍不断优化。学校现有教职工200多人，其中专任教师180多人，博士研究生2人，硕士研究生及以上学历占比约60%。正高级职称5人，其中国家二级教授1名，副高级职称18人、中级职称40人，其中双师型教师近60名;从学校附属医院选聘一批临床经验丰富、优秀的、副高以上职称的医护工作者担任学院理论和实践课程教学。此外，学校还从各类医药企业、医疗机构聘请近百名业务能力强、综合素质好人员担任实践指导教师，进一步夯实师资队伍，提高教育教学水平。/3.学科专业特色鲜明。学校以为培养基层中医药人才为重点，设有基础学院、中药学院、护理学院、医学技术学院、计算机学院、马克思主义学院、继续教育学院等七个二级学院，开设有中医学、针灸推拿、中药学、中草药栽培与加工技术、中药材生产与加工、药学、中药制药、护理、中医康复技术、康复治疗技术、中医养生保健、医学美容技术、计算机应用技术（中医药大数据互联网方向）、数字媒体技术（中医药文化传播方向）等14个专业。其中中医学、针灸推拿、护理3个专业为国控专业。/4.校园文化气息浓郁。学校坚持以文化育人，高度重视弘扬红色基因，传承中医药文化，全力打造学校红色文化、中药文化、绿美文化“三大文化”建设。建成学校红色文化广场、中药文化走廊等景观，统筹推进学校植绿护绿增绿，努力打造绿美校园人居环境，连续两年举办中医药文化节，积极培育中医药特色鲜明的校园文化，激发师生对中医药文化的兴趣，充分展示文化育人的独特优势，推动中医药事业的传承与创新。/5.人才培养质量提高。学校现有全日制在校生6450多人。学校坚持以学生成长为中心，培养德、智、体、美、劳全面发展，具有良好的人文素养、职业道德、职业技能、科学素养和创新精神的高素质技术技能人才。自2022年春季高考开始，每年的春季高考和夏季高考招生火爆，历史类和物理类全部一次性满档，而且生源质量稳步提升。比如，2024年夏季高考共录取799人，其中物理类最低分399分，超省最低控制分数线199分，最高分480分（超本科线38分）；历史类最低分394分，超省最低控制分数线194分，最高分485分（超本科线57分）。最低录取分数在全省102所（含本科院校招专科专业的）专科批次招生院校中的排名继续攀升，其中物理类排名15位，历史类排名17位，均位于省内专科批次招生院校上游。学校仅用3年时间，就从一所默默无闻的新办高职院校成为进入全省上游的院校。/学校现与广东省新兴中药学校、云浮市中等专业学校、广东省连州卫生学校等学校签订了三二分段中高职贯通人才培养协议。有附属医院4间：广东云浮中医药职业学院附属潮汕国裕医院、广东云浮中医药职业学院附属高州中医院、广东云浮中医药职业学院附属阳春中医院、广东云浮中医药职业学院附属新兴县中医院。学校被认定为云浮中药（南药）资源开发与利用中药材GAP重点实验室依托单位，建设有‘1+X’证书建设项目3个，签订校外实践教学基地、产学研基地161家。/6.科研能力稳步提升。近年来，学校共有120多项课题通过省级或省级以上立项，师生参加各级各类比赛共有350多人次荣获省级以上奖励。学校主持的《中药(南药)八角茴香资源开发与利用创新团队》项目获得2022年广东省普通高校重点科研平台和项目立项，《中药（南药）资源开发利用与中药材GAP研究重点实验室》项目被认定为2022年云浮市重点实验室立项建设平台，学校科研制度不断完善，科研成果质量稳步提升。/7.社会服务优势显著。学校聚焦国家重大战略需求，以中医药特色服务地方经济建设和社会发展。学校充分发挥办学特色和资源优势，现已组建“百千万工程”青年突击队67支，并与云城区人民政府签订“双百行动”项目合作协议、与新兴县人民政府签订助力“百千万工程”项目合作协议，充分发挥我校在管理、人才、资源、技术等方面的优势，在医疗卫生、教育事业发展等领域不断为地方经济高质量发展提供强力支撑。/8.学校建设稳步发展。建校以来，在省委省政府和市委市政府的正确领导下，学校按照一年打基础，三年见成效，五年促发展的“一三五”发展规划，各项教育教学工作有序开展，并取得显著成绩。学校章程获得省教育厅核准通过并公布实施，学校被评定广东省绿色学校、2023/2027年度广东省科普教育基地、广东省无烟单位。学校在2023年被评定为云浮市依法治校达标学校、《广东职业技术教育与研究》理事会理事单位、教育部职业技能登记证书“生涯规划指导”有限考核站点、反洗钱教育实践基地、广东省民族医药协会会员单位、2023年新兴30公里万人公益徒步公益合作伙伴、广东省校园安全教育与管理协会职业院校安全专业委员会理事单位，学校办学质量和办学水平持续提升，社会声誉和影响力不断扩大。/新时代新征程，广东云浮中医药职业学院将坚持以习近平新时代中国特色社会主义思想为指导，坚持社会主义办学方向，坚持为党育人、为国育才，踔厉奋发、笃行不怠，深入推进学校“三大攻坚战”（质量提升攻坚战、校园管理攻坚战、校企合作攻坚战），努力做到让家长满意、社会满意、党委政府满意。</t>
  </si>
  <si>
    <t>https://gdyfvccm.edu.cn/</t>
  </si>
  <si>
    <t>https://gdyfvccm.edu.cn/web/medic</t>
  </si>
  <si>
    <t>0766/2989816、2989868</t>
  </si>
  <si>
    <t>广东云浮市新兴县教育园区</t>
  </si>
  <si>
    <t>https://baike.baidu.com/item/%E5%B9%BF%E4%B8%9C%E4%BA%91%E6%B5%AE%E4%B8%AD%E5%8C%BB%E8%8D%AF%E8%81%8C%E4%B8%9A%E5%AD%A6%E9%99%A2</t>
  </si>
  <si>
    <t>https://gaokao.chsi.com.cn/zsgs/zhangcheng/listZszc//schId/3156258480.dhtml</t>
  </si>
  <si>
    <t>广东潮州卫生健康职业学院</t>
  </si>
  <si>
    <t>潮州市</t>
  </si>
  <si>
    <t>广东潮州卫生健康职业学院是一所公办的全日制普通高等专科学校，是目前粤东地区唯一一所医药卫生类高职院校，学校经省政府批准、教育部备案，于2021年3月正式设立，2021年秋季正式招生办学。学校的设立，填补了潮州市没有高职院校、粤东地区没有医药卫生类高职院校二个空白。学校占地面积约471亩，总建筑面积约15.2万平方米，计划总投资约12.7亿元，可提供5000个高职学位。/学校下设马克思主义学院、护理及康复学院、药学及检验学院三个二级学院，共开设护理、助产、药学、医学检验技术、康复治疗技术、食品检验检测技术、中药学、医学影像技术8个专业，面向夏季高考生、春季依高中学业水平考试考生、中等职业学校毕业生招生，目前全校在校生4700多人。在职在编教职工132人，其中博士生导师1名、研究生学历95人（博士研究生3人），占专任教师的82.6%。/学校坚持“立足大潮汕，承接粤港澳；服务大卫生、融合大健康；顺应基层医药卫生事业及健康产业的人才需求，培养高素质技能型服务型人才”的办学定位，积极实施广东省高职教育/“创新强校”工程，组织启动“领航工程、强师工程、先锋工程、创新强校工程（C类规划）”“四大工程”，致力创建“领导班子优、教师队伍优、党员队伍优、教学质量优”的“四优学校”，以高质量党建引领学院提质培优、增值赋能，将学院打造成为粤东地区基层卫生技术人才的培养高地和产学研融合发展中心，为构建我省“一核一带一区”发展新格局、在更高起点上打造沿海经济带上的特色精品城市、把潮州建设得更加美丽提供新动力。</t>
  </si>
  <si>
    <t>https://www.gdczwzy.edu.cn/</t>
  </si>
  <si>
    <t>https://www.gdczwzy.edu.cn/zsjy.htm</t>
  </si>
  <si>
    <t>0768/2309328</t>
  </si>
  <si>
    <t>广东省潮州市凤泉湖高新区中山大道西段北侧；</t>
  </si>
  <si>
    <t>https://baike.baidu.com/item/%E5%B9%BF%E4%B8%9C%E6%BD%AE%E5%B7%9E%E5%8D%AB%E7%94%9F%E5%81%A5%E5%BA%B7%E8%81%8C%E4%B8%9A%E5%AD%A6%E9%99%A2</t>
  </si>
  <si>
    <t>https://gaokao.chsi.com.cn/zsgs/zhangcheng/listZszc//schId/3156257962.dhtml</t>
  </si>
  <si>
    <t>河源职业技术学院</t>
  </si>
  <si>
    <t>河源市</t>
  </si>
  <si>
    <t>河源职业技术学院是一所由河源市人民政府举办的全日制普通高等学校,位于广东省河源市江东新区。学校背靠梧桐山，面向东江河，紧依东环路，风光旖旎，交通便利。学校占地面积1500亩，总建筑面积27.7万平方米，校园内教学大楼、老隆师范纪念楼、学生公寓、师生饭堂、图书馆、实训中心、学术交流中心、体育馆等基础设施一应俱全；荟萃湖、贤能广场、萧殷广场、铭德榕、桃李园、双馨园、书香园等人文景点蕴寓丰富的文化内涵。得天独厚的地理位置和优美的校园环境，使学校成为莘莘学子求学修身、磨炼技能的理想场所。//学校2001年由原广东老隆师范学校升格成立，2004年整体搬迁至河源市区办学，2007年底通过教育部高职高专人才培养工作水平评估，2010年成为全省15所中高职对口自主招生的职业院校之一，2011年成为全省三二分段招生试点院校之一，2012年被确定为广东省示范性高等职业院校培育建设立项单位，2013年正式成为第二批广东省示范性高等职业院校立项建设单位。//学校有全日制大专在校生12070人，教职工731人，其中专任教师546人，其中副高以上职称160人，博士、硕士共361人,双师素质教师477人。学校下设机电工程学院、电子与信息工程学院、工商管理学院、艺术与设计学院、人文学院、继续教育学院、思想政治理论教学部等7个教学院部；设有应用电子技术、模具设计与制造、旅游管理、服装设计、文秘、英语教育、音乐表演等48个专业；建有35个校内实习基地，校外实习基地488个；现有教学仪器设备总值1.2亿元，图书馆纸质藏书108.94万册。//学校坚持党的领导不动摇，坚持“省内一流、国内领先”目标不动摇，坚持教育教学改革不动摇，坚持“规则意识、责任良知”不动摇，积极探索政、行、企、校“四方联动”办学体制机制，创新产教融合、校企合作人才培养模式，推进“教学做一体化”教学改革，将学校教学过程与企业生产过程紧密结合，突出教学的“行动导向、项目载体、能力本位、做学一体”，切实提高学生的专业知识、技能水平和岗位适应能力。同时，学校强调人文素质教育，积极构建融“教书育人、管理育人、服务育人、环境育人”于一体的“文化育人”体系，突出大学生人文精神与科学精神的同步发展，努力提高大学生的综合素质。//经过长期努力，学校的教育教学改革取得优异成绩，拥有中央财政支持实训基地2个，省财政支持实训基地3个；拥有中央财政支持“高等职业院校提升专业服务产业发展能力项目”专业2个，省级示范性专业2个，省级重点专业5个，省级特色专业3个，省级现代学徒制试点专业3个、国家级现代学徒制试点3个。建有1门国家级精品课程，12门省级精品课程，5门国家教指委精品课程。在2017年全国技能大赛中共有25位参赛学生获奖，据“聚焦职教”微信公众平台公布的统计数据显示，我校获奖数量位居全国第14位，居全省第2位；2018年又获得全国职业院校技能大赛一等奖1项、二等奖4项，获奖数量和质量在全省同类院校中名列前茅。//学校科学研究和社会服务能力日益增强，科研成果数量质量稳步提升。近五年来，获省级工程技术研究中心5个、省级农业科技创新中心1个、省级科技创新基地3个，市级工程技术研究中心10个、市级农业科技创新中心1个、市级技术应用研究院2个、市技师工作室5个；获立项的市级以上纵向科研项目340项（其中省级以上项目93项），科研经费到款730万元；获广东省科技厅科技计划项目立项4项，河源市重大科技专项3项；获广东省教育教学成果奖一等奖1项、二等奖3项，出版专著、教材112部，获国家专利授权120项。学校建立了科技特派员常态化工作机制，与河源市“五县二区”产业园区和科技部门实施“战略合作”，助力河源市支柱产业、战略性新兴产业的创新驱动发展。近五年来，派出科技特派员145人次，服务企事业单位120多家，横向技术服务到款额708万元。//学校近年毕业生总体就业率达99%以上，稳居全省同类高校前列，毕业生用人单位满意率达到92%。由于毕业生广受社会欢迎，学校招生形势喜人。目前，学校面向全国9省招生，新生报到率连续三年达86%以上。//学校先后与江西吉安职业技术学院、揭阳职业技术学院、和平县技工学校、河源市现代职业技术学校等7所院校建立了对口帮扶关系，与深圳职业技术学院等国家示范性高职院校的友好合作关系。与台湾14所高校签订了合作协议，开展短期交流生项目；与美国的康涅狄格大学、美国马里兰大学、加拿大温莎大学、澳大利亚中央昆士兰大学、澳大利亚卧龙岗大学等国外知名大学建立合作关系，探索开展“3+1”、“2+2”模式的联合人才培养，学校的国际化水平逐步提升。</t>
  </si>
  <si>
    <t xml:space="preserve">学院前身是始建于1930年的龙川县立乡村师范，1935年3月经广东省教育厅同意，学校易名为广东省立老隆师范学校；“文革”期间学校停止招生，1973年学校恢复招生；1976年9月，学校恢复广东老隆师范学校校名；2001年经广东省人民政府批准，老隆师范学校升格为河源职业技术学院。 </t>
  </si>
  <si>
    <t>http://www.hycollege.net/</t>
  </si>
  <si>
    <t>https://zsb.hypt.edu.cn</t>
  </si>
  <si>
    <t>0762/3800006</t>
  </si>
  <si>
    <t>河源市东环路大学城</t>
  </si>
  <si>
    <t>https://www.720yun.com/t/2a32b9bgacr</t>
  </si>
  <si>
    <t>https://baike.baidu.com/item/%E6%B2%B3%E6%BA%90%E8%81%8C%E4%B8%9A%E6%8A%80%E6%9C%AF%E5%AD%A6%E9%99%A2</t>
  </si>
  <si>
    <t>https://gaokao.chsi.com.cn/zsgs/zhangcheng/listZszc//schId/1253.dhtml</t>
  </si>
  <si>
    <t>广东职业技术学院</t>
  </si>
  <si>
    <t>省属/双高计划</t>
  </si>
  <si>
    <t>广东职业技术学院是由广东省人民政府举办的全日制普通高等职业院校，行政主管部门是广东省教育厅。其前身为广东省纺织工业学校，筹建于1984年,1985年正式招生，1993年被评为省级重点中专学校，2000年被评为国家级重点中专学校，2001年升格为广东纺织职业技术学院。2012年，经广东省人民政府批准，学校更名为广东职业技术学院。学校现有禅城、高明、南海三个校区，校园总面积1227亩，建筑面积23万多平方米，固定资产总值约达6.8亿元，图书馆各类藏书达到80余万册。目前设有8系1院2部，即纺织系、轻化工程系、服装系、艺术设计系、机电工程系、信息工程系、经济管理系、应用外语系、马克思主义学院、公共课教学部、继续教育部。学校开设了65个专业方向，校内外实训基地210多个，在校生近16000人。2019年，中国管理科学研究院《中国大学评价》课题组发布的最新完成的“武书连2019中国高职高专学科大学排行榜”中，我校在全国119所开设轻工纺织大类专科专业的高职高专院校中全国排名第三，广东省内排名第一！特色强校//奋发有为2009年学校率先提出“专业融入产业、教学融入企业”的职教办学理念，围绕“兴基础、重技术、强技能”的人才培养理念，培养具有再学习能力和岗位创新创业能力的高素质技术技能人才，形成政府主导、学校主体、行业指导、企业参与的办学模式。十九大以来，学校认真贯彻落实全面从严治党要求，以党建带动各项工作发展，紧紧抓住粤港澳大湾区经济发展契机，2018年7月，广东职业技术学院第一次党代会提出了把学校建成纺织服装类一流高职院校的目标。坚持“质量立校、人才强校、特色兴校、和谐扬校”的发展战略，主动适应区域经济发展方式和产业结构调整，密切人才培养与现代产业的对接，开展人才培养模式的改革，形成了现代纺织技术专业“项目引领、产学互通”、服装设计专业“三线互嵌、工学交替、螺旋递进”、计算机网络技术专业“三元互嵌、项目纽带”、艺术设计类专业“以产定学、精英筛选、项目课程”等典型人才培养模式。学校通过开展“一专业一模式、一课程一平台”等专业建设与教学改革系列措施，取得了丰硕的教学成果。目前获中央财政支持及省级以上重点专业6个，十三五省级品牌专业5个，国家级省级精品课程和优质课程13门，中央财政支持及省级以上职业教育实训基地10个，省级教学成果二等奖5项，国家级省级技能竞赛屡获佳绩。此外已建成一批校级重点专业及百门网络课程。学校在全省高职院校中具有较强的科研实力和社会服务能力。学校科研和社会服务工作硕果累累，建立了广东省数字化纺织服装工程技术研究中心、广东省高校数字化纺织服装工程技术开发中心和数字化纺织服装协同创新发展中心等一批省级科研平台，主持承担了国家自然科学基金、广东省重大科技专项、粤港关键领域重点突破专项等科研项目。获得广东省科技进步一等奖项、香港桑麻纺织科技奖一等奖1项、中国纺织工业联合会科学技术进步二等奖1项。学校依托丰富的办学资源和深厚的行业背景，牵头组建广东纺织职业教育集团，打造产学研一体合作模式。学校积极面向社会开展职业技能鉴定和专业培训，累计完成社会培训约19.38万人次，助推广东纺织业转型升级。打造创新创业平台，推进优质就业成果显著。学校努力打造优质就业服务平台，推进就业创业教育，引导岗位创业和自主创业。30多年来，学校培养了4万多名毕业生，他们奔赴全国各行各业建功立业。毕业生良好的职业素养和扎实的专业技能得到用人单位的普遍好评和认可，为珠三角、广东省乃至全国的经济建设提供了强有力的人才支持。多年来，毕业生就业率稳居全省高校前列，在实现充分就业的同时不断推进优质就业，先后荣获首届全国高等职业院校就业“星级示范校”、中国纺织服装校企合作示范院校、广东省“就业工作先进集体”等荣誉称号。人才强校//德技兼修近年来，学校坚持走“人才强校”之路，大力开展“强师工程”，实施“高层次领军人才支持计划”、“教学名师和优秀教学团队培育计划”、“教师队伍双师素质提升计划”。通过选派教师下企业锻炼，邀请国内外职教专家和知名企业到校开展培训，选派教师近200人次到德国、意大利、新加坡、台湾、越南、柬埔寨等国家和地区学习职业教育的最新理念等方式，打造了一支德技兼修的优秀师资队伍。学校现有教职工600多人，其中教授25人、副教授104人，硕士及以上学位教师310人；聘请企业兼职教师191人。学校有全国纺织工业劳动模范1人、全国优秀教师1人，全国纺织职业教育先进工作者12人，省级教学名师2人，南粤优秀教师7人，广东省“千百十工程”省级培养对象2人，广东省辅导员年度人物1人，全国高校思想政治理论课教学能手1人。人才强校战略的实施，极大地提高了教师队伍的整体实力，促进了学校教育教学质量、科研水平的不断提升。一大批优秀教师、教学能手和优秀教学团队演绎职教风采，描绘满园春色，织就锦绣前程。青春飞扬//梦想起航学校注重以德育人、以文化育人，用习近平新时代中国特色社会主义思想引领青年学子的成长成才，不断创新思想政治教育的方式方法，致力于培养和提升学生的综合素质。学校独具专业特色、展现职业素养的校园文化活动，已成为学生津津乐道的文化品牌，近5年来，学生在各级各类比赛中取得优异成绩，累计获得275项全国奖项，522项省级奖项。其中志愿服务项目“爱心学堂“被共青团中央授予“第七届中国志愿服务项目奖”称号。轻化工程系“艾农”团队获评全国大中专学生志愿者暑期“三下乡”社会实践“千校千项”项目，纺织系纺贸161团支部获团中央全国高校“活力团支部”称号。丰富多彩的校园文化活动为每一名学生展现自我、锻炼才干、陶冶情操提供了广阔的舞台。</t>
  </si>
  <si>
    <t>http://www.gdptc.cn/default.shtml</t>
  </si>
  <si>
    <t>https://www.gdpt.edu.cn/zsw</t>
  </si>
  <si>
    <t>0757/83311534</t>
  </si>
  <si>
    <t>校本部：佛山市禅城区澜石二路20号,高明校区：佛山市高明区西江新城学府路8号</t>
  </si>
  <si>
    <t>https://baike.baidu.com/item/%E5%B9%BF%E4%B8%9C%E8%81%8C%E4%B8%9A%E6%8A%80%E6%9C%AF%E5%AD%A6%E9%99%A2</t>
  </si>
  <si>
    <t>https://gaokao.chsi.com.cn/zsgs/zhangcheng/listZszc//schId/1218.dhtml</t>
  </si>
  <si>
    <t>广东建设职业技术学院</t>
  </si>
  <si>
    <t>广东建设职业技术学院是省内唯一一所公办建筑类高职院，是建筑业高素质技术技能人才培养的主要基地和/“现代鲁班”摇篮。办学40年来，学院扎根南粤大地，服务“一带一路”，培养培训了15万多名高素质技术技能型人才，为广东省建设行业与经济社会发展做出了积极贡献。学院前身是1979年成立的广东省建筑工程技工学校；1986年成立的广东省建筑工程学校；2001年5月经广东省人民政府批准、教育部备案，升格为高职学院。2006年4月，学院由广东省建筑工程集团有限公司主管正式划转广东省教育厅管理。目前有广州、清远两个校区，占地面积近1000亩，全日制高职在校生突破万名。座落在省职教基地的清远新校区今年10月入驻首批新生，依山傍水、环境幽雅，以“特色校园、文化校园、智慧校园、山水校园”为建设理念，是求知成才的理想之所。学院办学理念和强校目标强校梦：学校社会知名办学实力雄厚/学生成长成才/师生幸福乐业。强校目标：国内知名/业内领先/服务广东/走向国际。办学定位：“现代鲁班的摇篮”办学理念：立德树人、工学交融、创新发展、特色办学。办学特色：建筑主导、产教整合、实践创业、多元协同。发展路径：扩容提质/产教融合改革创新。行动计划：建新校/上规模强内涵/促和谐。六个坚持：坚持党的领导/坚持立德树人/坚持创新强校/坚持人才兴校/坚持深化改革/坚持以人民为中心的发展思想。五大攻坚战：一是创新强校攻坚战，二是强师工程攻坚战，三是深化改革攻坚战，四是新校区建成进驻攻坚战，五是党的建设攻坚战。广东建设职业技术学院是广东省唯一一所公办建筑类高职院，是区域内有重要影响的建筑类技术技能人才培养的主要基地和“现代鲁班摇篮”。近年来学院获得的荣誉1、获2018年国家级职业教育教学成果一等奖；2、全国现代学徒制试点单位；3、国家级岭南建筑技术职业教育产教创新基地；4、教育部首批服务“一带一路”建设职业教育“走出去”的高职院校；5、全国现代学徒制工作专家指导委员会主任委员单位；6、广东省高职教育现代学徒制工作指导委员会主任委员单位；7、广东省高职教育建筑与房地产类专业教学指导委员会主任委员单位；8、广东建设职业教育集团（省级示范职教集团）牵头单位；9、全国有色金属行业职工继续教育基地；10、省级高技能人才实训基地、省再就业培训定点机构、省建筑与市政工程施工现场专业人员及建筑工人职业培训机构、省建筑业职业技能鉴定站；11、广东省高校毕业生就业工作先进单位。校企合作深入推进///产教融合成效显著学院立足“建设行业”，探索并建构了特色鲜明的“依托行业，工学结合”的人才培养模式。充分发挥依托建筑行业企业的优势，形成了“校企互动”的“四合作四共”模式（合作办学、合作育人、合作就业、合作发展）（人才共育、过程共管、成果共享、责任共担）。我院与300多家行业企业保持紧密合作关系，并联合成立了广东省建设职业教育集团，形成了有效的校企合作办学体制机制，在现代学徒制试点、职工培训、技术研发等方面广泛深入地开展合作。我院是全国第二批现代学徒制试点单位。现有6个专业开展现代学徒制自主招生，3个专业为全国试点专业。与企业共建了2个现代学徒制特色学院——广建中天学院、广建斯维尔学院。“岭南建筑技术职业教育产教创新基地”项目被列入国家“十三五”职业教育产教融合发展工程规划，是我省乃至全国集人才培养培训、科技研发、服务产业为一体的建筑类产教融合国家级创新示范基地。/教学改革亮点纷呈/质量工程成果丰硕全面实施“教学质量工程”，专业建设、课程建设取得成效。依托建筑行业，主动服务广东省战略性新兴性产业和现代服务产业，构建了以建筑类专业为主体，机电、市政、环保、艺术设计、电子信息、财经等专业协调发展的专业布局。不断深化人才培养模式改革，实施现代学徒制试点、“3+2”中高职衔接试点、高职与本科三二分段培养人才试点、中高职一体化改革，开展基于工作过程的项目化课程设计，推动精准育人。现有招生专业34个，涉及8个高职专业大类，18个二级门类，其中土木建筑大类有16个，是广东省内开设建筑类专业门类最全的高等职业院校。建有国家级骨干专业5个，中央财政支持建设专业2个，省级示范专业1个，省级重点专业5个，省级一类品牌专业1个，省级二类品牌专业5个。国家级生产性实训基地4个。国家级“双师型”教师培养培训基地1个。省级专业教学资源库1个，省级教学团队3个，省级精品资源共享课程（精品开放课程）9门，省级精品在线开放课程1门，国家教指委精品课程1门。中央财政支持的实训基地建设项目1个，省级实训基地3个，省级公共实训中心2个，省级大学生校外实践教学基地6项，省级协同育人基地1个，省级协同创新中心2个，省级技能大师工作室1个。师资实力雄厚/专兼比例合理大力实施强师工程，制订了《学院人才引进与管理办法》，重点引进高层次人才。积极培养高水平专业带头人和专业骨干教师，带动专业教师整体素质的提高。现有专任教师412人，其中高级职称114名，博士19名，研究生学历或学位的276名，具有“双师”素质的教师达到80%，省级教学团队3个，同时聘请了200多名来自生产一线有熟练技能的技术人员作为兼职教师。聘请了6位广东省首届传统建筑名匠为我院客座教授，建立了大师工作室，传承和弘扬建筑传统技艺。近三年来，教师教科研水平不断提升。现有国家级教学成果一等奖1项，省级教学成果二等奖2项，省教改项目6项，省厅级以上教科研项目32项，各级教指委项目26项，院级教科研（含教改）项目57项。国际合作深入开展服务///“一带一路”争当排头兵国际学院在高职学院率先成立，为服务“一带一路”建设搭建了平台，有力推动了我院培养具有国际视野、国际标准、国际资质的高素质技术技能型人才。我院被教育部确定为职业教育服务“一带一路”建设首批学校，与中国有色集团共建有赞比亚鲁班学院，开设了建筑架子工、焊工、计算机、专业汉语等技能班及建筑技术学历班，为当地培养培训了一批高素质技术技能人才，同时与有色金属工业人才中心共建了一带一路鲁班学院研究中心，促进职业教育国际交流互鉴。我院还与新西兰、澳大利亚、英国、法国、美国、德国、韩国、波兰、芬兰、中国香港等境外高等院校和教育机构开展了高层互访、教师培训、师生交流、合作办学等合作项目。合作共建有创新创业研习基地（新西兰、芬兰）、中英现代学徒制研培中心等。办学效益增强///社会声誉优良学院始终把立德树人作为根本任务，重视大学生的思想政治教育和素质教育，注重培养学生的实践能力、创造能力，促使学生德智体美多方面健康协调发展。三年来，学生在各类科技学术、文化艺术大赛中，获得200多项省级以上奖励。在全国职业院校技能大赛高职组建筑工程识图赛项中获得团体二等奖。新生入学报到率及毕业生就业率均保持良好的发展态势。近年来，录取新生报到率均超过80%。毕业生总就业率均在98%以上，高于全省平均就业率。我院是我省建筑行业依托的主要培训基地，是唯一授权能在全省开展建筑现场专业人员培训的机构。建校以来，为企业法定代表人、一级项目经理、下岗职工、进城务工人员等超过15万人提供了培训服务。发展愿景到2020年，实现高职在校生规模不少于15000人，内涵建设达到省级一流学校水平。全面建立与我省建筑产业及区域经济发展相适应的产教融合机制，人才培养的质量持续提高，服务行业及区域经济社会发展的水平显著提升，建成“国内知名、业内领先、服务广东、走向国际”的建筑类高职院。</t>
  </si>
  <si>
    <t>学校前身是1979年建校的广东省建筑工程技工学校，1986年改名为广东省建筑工程学校，2001年5月经广东省人民政府批准、教育部备案，升格为高职学校，2006年4月，学校由广东省建筑工程集团有限公司主管正式划转广东省教育厅管理。2016年，学校被确定为有色金属行业职业教育“走出去”首批试点项目学校。 2022年8月8日，学校拟立项为广东省域高水平高等职业院校建设计划建设单位。 同年，获得广东省高水平高等职业院校建设单位称号。 2024年8月，共同发起成立中国东盟建筑职业教育产教融合共同体。</t>
  </si>
  <si>
    <t>http://www.gdcvi.net/default.html</t>
  </si>
  <si>
    <t>https://zb.gdcvi.edu.cn/</t>
  </si>
  <si>
    <t>020/36409106</t>
  </si>
  <si>
    <t>广州市白云区广花二路638号</t>
  </si>
  <si>
    <t>https://www.720yun.com/t/586jOsumtv4</t>
  </si>
  <si>
    <t>https://baike.baidu.com/item/%E5%B9%BF%E4%B8%9C%E5%BB%BA%E8%AE%BE%E8%81%8C%E4%B8%9A%E6%8A%80%E6%9C%AF%E5%AD%A6%E9%99%A2</t>
  </si>
  <si>
    <t>https://gaokao.chsi.com.cn/zsgs/zhangcheng/listZszc//schId/1223.dhtml</t>
  </si>
  <si>
    <t>惠州工程职业学院</t>
  </si>
  <si>
    <t>惠州工程职业学院是广东省人民政府批准，高标准、高起点成立的现代化公办普通高等院校。位于粤港澳大湾区和珠江三角洲的中心城市——惠州，毗邻深圳、香港、广州、东莞，东接汕尾，北连河源、韶关，交通便利，区域优势突出。////鸟瞰图副本.jpg////学院占地38万平方米，建筑面积22万平方米。校园依山傍水，园林交辉；青山与绿水共存，人文与自然相融。是“学在花园里，校在山水间”的绿色化文明校园，是孜孜求学、养性修为，实现职业追求和人生梦想的理想场所。////目前，学院设有计算机应用技术、物联网应用技术、应用电子技术、电气自动化技术、机械制造与自动化、工业机器人技术、新能源汽车技术、工业设计、建筑设内设计、园艺技术、动物医学、园林技术、电子商务、财务管理、投资与理财等20个专业。建设智能制造、电子集成、数控装调、自动控制、逆向技术及快速制造、工业机器人生产训练、电子商务、冷链物流、现代园艺、动物医护等多个能够满足现代职业教育需求的现代化生产实训中心，理工科特色鲜明。////学院师资力量雄厚，有教授、副教授97人，博士生、研究生89位。一大批“有理想信念、有道德情操、有扎实学识和有仁爱之心”的国家职教名师、南粤优秀教师在学院弘文乐教，传道授业。一万多名学子秉持“吃苦耐劳、淳朴厚道、臻技敬业、进取创新”的精神，在学院厚德博学，苦练本领。一批又一批毕业生从这里走向社会，立业报国！</t>
  </si>
  <si>
    <t>http://www.hzevc.com.cn/</t>
  </si>
  <si>
    <t>https://www.hzevc.edu.cn/</t>
  </si>
  <si>
    <t>0752/2821205/2821229</t>
  </si>
  <si>
    <t>广东省惠州市汤泉金泉路300号（汤泉校区）,惠州惠城区丰山一路四（西湖校区）</t>
  </si>
  <si>
    <t>https://www.720yun.com/t/1d4j5dkn5n4</t>
  </si>
  <si>
    <t>https://baike.baidu.com/item/%E6%83%A0%E5%B7%9E%E5%B7%A5%E7%A8%8B%E8%81%8C%E4%B8%9A%E5%AD%A6%E9%99%A2</t>
  </si>
  <si>
    <t>https://gaokao.chsi.com.cn/zsgs/zhangcheng/listZszc//schId/1834552911.dhtml</t>
  </si>
  <si>
    <t>茂名职业技术学院</t>
  </si>
  <si>
    <t>茂名职业技术学院是广东省住房和城乡建设厅、茂名市人民政府共建高校，2004年经广东省人民政府批准成立，是茂名市第一所全日制公办高等职业技术院校，学校前身是创建于1986年的国家重点中专学校茂名市建设中等专业学校。学校秉持“修德/强技/求实/创新”校训，确立“价值观+知识+技能+创新”四位一体人才培养目标，注重培养学生的职业能力、创新精神和创业能力，大力推进工学结合，校企合作，以培养生产、服务、管理第一线的高级技术技能人才为己任，先后为社会输送了4万余名毕业生。学校拥有南校区、北校区和人民南三个校区，现有校园面积1003.79亩，建筑面积230992.98平方米，其中教学行政用房面积121842.2平方米，学生宿舍面积108450.39平方米，体育场（馆）面积6.2万平方米，教科研仪器设备值约5600万元，图书馆馆藏纸质图书达61万余册，中外文纸质期刊446种，报纸37种，电子图书34.53万余种，数据库8个。有省级实训基地6个，校内实训室127个，与企业合作共建的校外实训基地175个。建有工程测量、化学检验、数控车床、电工、电气设备安装等13个工种的国家职业资格鉴定考点，是全国职业核心能力示范培训试点单位。2016年6月，经中国建设教育协会审批，在学校设立粤西地区唯一一个全国BIM应用技能考点。学校现有全日制普通高职在校学生14300余人，教职工589人，教授、副教授及其他高级职称教师130余人，具有博士、硕士学位教师340余人，双师素质教师320余人，聘请国内外高等院校、科研院所及知名企业等专家学者担任客座教授50人，外聘兼职教师300余人。学校现设有土木工程系、化学工程系、机电信息系、经济管理系、计算机工程系、人文与传媒系、思想政治理论课教学部、社科基础部、成人教育部、中专部（中专学校）等10个教学系（部），开设有建筑工程技术、建筑工程管理、道路桥梁工程技术、供热通风与空调工程技术、石油化工技术、应用化工技术、机械制造与自动化、电气自动化技术、会计电算化、电子商务、旅游管理、计算机应用技术、计算机通讯、社会工作等39个专业（共49个专业方向）。专业结构和布局与广东省和茂名市经济增长点的需求相匹配，形成了“以工学为主，文、理、经济、管理等多学科协调发展”的专业格局。学校紧密结合地方经济社会发展状况，紧密依托行业企业，开展多形式、多途径的校企合作，形成了“对接、合作、共赢”的良好局面，先后与深圳地铁、宝钢钢铁、蒂森克虏伯电梯有限公司、中石化、富士康C次集团、万豪国际等多家知名企业或世界500强企业下属公司签订了校企合作联合培养协议，设立订单班、冠名班、现代学徒制试点班等78个，与企业合办混合所有制二级学院4个。学校重视学生创新精神和创业能力培养，近年来，学生400余人次在省级以上技能大赛中获奖，其中50余人次获得国家级、省级一等奖。毕业生深受用人单位欢迎，历届毕业生总体就业率均达97%以上，连续6年位居全省专科层次院校前列，据广东省教育厅发布的就业数据，2018年学院毕业生初次就业率为97.69%，高出全省专科高校2个百分点。据中国首家高等教育管理数据与咨询的专业公司麦可思研究院对毕业生的社会需求与培养质量进行的第三方数据调查及分析结果表明，2012年以来，我校毕业生整体就业率、毕业半年后收入、工作与专业相关度、职业吻合度、总体就业现状满意度等指标均高于本省高职院校平均值。“十三五”期间，学校将牢牢把握国家大力发展职业教育的战略发展机遇，围绕我省实现“四个走在全国前列”、当好“两个重要窗口”、创新驱动及产业转型升级，大力推进创新发展、内涵发展、特色发展，努力把学校建设成为以工科为主，特色鲜明，优势明显的粤东西北一流高职院校。</t>
  </si>
  <si>
    <t>1986年，茂名市建设中等专业学校创建。1999年，被广东省人民政府评为省级重点中专学校。2001年，被国家教育部评为国家级重点中专学校。2004年，经广东省人民政府批准、教育部备案，升格为茂名职业技术学院。 2015年9月，学校南校区正式启用。 2016年12月，学校举行30周年校庆。 2017年3月，广东省住房和城乡建设厅和茂名市人民政府签订协议，决定共建茂名职业技术学院。 2022年，获“2022年度广东省最受中学信赖高职院校”称号。</t>
  </si>
  <si>
    <t>http://www.mmvtc.cn/templet/default/index.jsp</t>
  </si>
  <si>
    <t>https://w.mmpt.edu.cn/zsw/</t>
  </si>
  <si>
    <t>0668/2920126</t>
  </si>
  <si>
    <t>文明北校区：广东省茂名市文明北路232号,水东湾新城校区：广东省茂名市电白区沙院镇海城五路1号</t>
  </si>
  <si>
    <t>https://baike.baidu.com/item/%E8%8C%82%E5%90%8D%E8%81%8C%E4%B8%9A%E6%8A%80%E6%9C%AF%E5%AD%A6%E9%99%A2</t>
  </si>
  <si>
    <t>https://gaokao.chsi.com.cn/zsgs/zhangcheng/listZszc//schId/1951.dhtml</t>
  </si>
  <si>
    <t>惠州城市职业学院</t>
  </si>
  <si>
    <t>惠州城市职业学院（City/College/of/Huizhou）是经广东省人民政府批准、国家教育部备案、广东省教育厅主管的公办全日制普通高等院校（学院代码：14510，高考录取批次有如下多种录取方式：专科批次、高职“3+证书”、学业水平考试、自主招生、学前教育专业学院、五年一贯制）。//惠州城市职业学院前身为惠州商贸旅游高级职业技术学校，该校由创办于1964年的惠阳地区供销学校（后更名为惠州市供销学校和惠州旅游学校）、惠阳地区粮食学校（后更名为惠州市粮食学校和惠州外贸学校）和创办于1965年的惠阳地区商业学校（后更名为惠州市商业学校）三所公办中专学校整合成立，办学历史已近一甲子，至今已向社会输送了10万名高素质技术技能人才。//校址位于惠州市惠城区惠南大道明德路，交通便利。占地面积30万平方米，校舍建筑面积20.2万平方米，校园具有"人文校园、生态校园、智慧校园、职业校园"的浓郁山水特色和现代风格。//学院以“明德力行，成己达人”为校训，以“为了每一个学生的全面发展和自由成长”为办学理念，以“培养具有社会公民、学校公民、职业公民、企业公民、中国公民、世界公民素质，具有中国情怀、国际视野的现代职业人”为使命，以“把学院办成特色鲜明、对接国际标准、具有区域影响力的全国优质高职学校”为发展目标。//2018年学校开设会计、会计信息管理、国际经济与贸易、物流管理、电子商务、社会工作、学前教育、酒店管理、烹调工艺与营养、商务英语、建筑室内设计、动漫制作技术、计算机网络技术、移动应用开发、大数据技术与应用、物联网应用技术、新能源汽车技术、汽车检测与维修技术、机电一体化技术、工业机器人技术、工业设计、智能产品开发、休闲服务与管理、服装与服饰设计等24个专业。招生对象为高中毕业生及中职毕业生。此外，国际学院（中澳合作专本连读项目、中德合作酒店专业双元制专本连读、中德合作机电一体化、汽车机电维修技师/、中马合作专本连读）开设会计、电子商务、国际经济与贸易、计算机网络技术4个专业。学校与台湾朝阳科技大学合作，设立惠州城市职业学院——台湾朝阳科技大学联合培养专班，联合培养移动应用开发、计算机网络技术、建筑室内设计、动漫制作技术、物流管理等专业技术人才。//学院以服务城市、服务产业、服务地方经济发展，促进学生发展成长为宗旨，面向先进制造业和现代服务业办学，努力培养高素质高级技术技能人才，服务珠三角城市建设，为现代城市建设和发展提供服务和人力资源保障。</t>
  </si>
  <si>
    <t>http://www.hzc.edu.cn/</t>
  </si>
  <si>
    <t>http://www.hzc.edu.cn/zsjy.htm</t>
  </si>
  <si>
    <t>0752/2829661、3619501</t>
  </si>
  <si>
    <t>广东省惠州市惠城区惠南大道明德路1号</t>
  </si>
  <si>
    <t>https://www.720yun.com/t/a3227jbkayf</t>
  </si>
  <si>
    <t>https://baike.baidu.com/item/%E6%83%A0%E5%B7%9E%E5%9F%8E%E5%B8%82%E8%81%8C%E4%B8%9A%E5%AD%A6%E9%99%A2</t>
  </si>
  <si>
    <t>https://gaokao.chsi.com.cn/zsgs/zhangcheng/listZszc//schId/997356238.dhtml</t>
  </si>
  <si>
    <t>广东南华工商职业学院</t>
  </si>
  <si>
    <t>1949年，新中国成立后，作为中国工人运动发源地的广东，工会事业蓬勃发展，广东省各级工会急需培养大批有文化、有素质的工会干部，1952年秋，还处于筹建时期的广东省总工会成立了广东省工会干部学校，1960年广东省工会干部学校被撤销，1963年广东省委批准建立广东省工青妇干部学校，1971年广东省革委会下令撤销省工青妇干校。直到1980年，广东省工会干部学校正式恢复，借用广东省总工会招待所作为办学场地办班。1986年，广州市天河区天平架校区建成投入使用，占地32亩，改变了“边筹建、边办班”状态，成为广东全省工会干部培训中心基地。//1993年，经过深入的调研和多方论证，广东省工会干部学校在其基础上创办了广东省第一所民办高等学校——南华工商学院，走上了长达22年的公有民办新体制办学的探索之路。干校与南华长期实行“两块牌子、一套人马”，承担工会干部培训和学历教育两种功能。1993年7月19日，广东省人民政府发文正式批准建立“民办南华工商学院”。2016年8月23日经广东省人民政府批准办学性质由民办转为公办，2017年5月10日，教育部办公厅正式发文，公布通过2017年教育部备案的专科教育高等学校名单，同意学校转为公办院校并更名为“广东南华工商职业学院”。//学校现有广州市天河区沙太路、黄埔区长洲岛、清远清城区职教基地三大校区，校园占地面积1099亩，规划建筑面积50万平方米，学校总资产10.17亿元，图书馆馆藏文献共计92.57万册（其中纸质文献66.38万册（含图书、报刊合订本）、电子图书24.21万余种、光盘1.98万张），订购现刊393种、报纸82份。天河校区坐落于风景秀丽的广州市白云山麓，地处交通便利的广州市天平架沙太南路。黄埔校区处于广州市黄埔区长洲文化旅游风景区内，与广州大学城一桥相连。清远新校区坐落在有“广州后花园”之称的中国优秀旅游城市——清远市清城区教育文化园内，校园占地995亩，校区依山傍水，空气清新；校园规划整齐，环境优美；建筑典雅、古朴、厚重；生活娱乐配套设施齐全。//干校培训是学校的重要任务，2004年学校培训各类型工会干部1034人次，2016年培训工会干部逾8000人次，2017年培训工会干部175期，首次破万人，达到13078人次，培训人数在全国工会干校名列前茅。自2009年始，学校全日制在校专科生突破1万人，多年来一直维持万人规模高校。现有专任教师近500人，多毕业于中国人民大学、武汉大学、吉林大学、中山大学等海内外名校，教师队伍结构良好、水平较高，拥有“广州地区十大杰出中青年法学家”、“南粤优秀教师”、“全国职业院校艺术设计类专业“金教鞭奖”获得者教师多名，“双师型”教师144人。2004年以来，学院教师共承担各类科研项目160余项，其中国家级1项，省部级项目32项，厅局级项目48项，学会课题35项，横向课题56项，公开出版著作、教材88部，发表论文1896篇，2016年科技专利实现零的突破，2017年2项实用新型专利及2项外观专利。//学校现有6个二级学院和2个教学部，共有15个系，在专业结构上以商科为主，兼含工科，涵盖经济学、工学、法学、管理学等十大学科门类。截止2017年，学院拥有1个会计（注册会计师）广东省高等职业教育重点专业，1个报关与国际货运省级重点培育专业，2个省级重点建设专业项目，2个省级精品资源共享课建设项目、2个省级实训基地建设项目，2个校外实践教学基地建设项目，1个省级教学团队立项项目，多个省级教学改革项目以及“金融管理与实务”“工商企业管理”“建筑装饰工程技术”“商务英语”“计算机网络技术”“酒店管理”等品牌专业。//学校现招生范围覆盖全国17个省、自治区。近年来，毕业生就业率始终保持在95％以上，在广东省同类院校中位居前列。至今学校为国家输送了各类专业技术人才和高技术技能人才4万多名，毕业生大多数已成为广东省尤其是珠三角地区各行业的中坚力量，为各地经济建设和社会发展做出了重要贡献，在省内外享有良好声誉。学校设“广东省总工会新生奖学金”，重点奖励就读南华的高分考生。2017年，南华录取分数线超过广东省普高本科分数线考生共35人，共71名学生受奖，奖金总额达到100万元。除“新生奖学金”，以及国家规定的国家奖助学金外，学校还设有省总工会奖学金，省总工会励志奖学金，省总工会助学金，劳模子女、残疾等特殊学生学费资助金等多项奖励和资助，每年奖助总额近1000万元。广州白云国际会议中心有限公司、广州从化碧水湾温泉度假村有限公司、广州市东方宾馆股份有限公司、东莞市伯顿饮食服务有限公司、广州桃花湖旅行集团分别与我院合作,开设校企合作订单式培养专业，为报读该些专业学生提供实习助学金。//学校结合职业教育特点与人才培养规律，围绕学生“专业发展、全面发展和终身发展”，创造性地提出并实施了“一线定位，博雅教育”的先进教育理念，取得了良好育人成果。在校生多次获“挑战杯”省赛特等奖及全国职业技能大赛三等奖，第二课堂成绩单制度先行先试，在全省有重要影响力，中国（广东）大学生时装周连续两年安排广东南华工商职业学院专场。截止2017年，学校先后与中信证劵、羊城晚报、华润万家、香格里拉等多家知名企业共建校外实习实训基地150多个，先后与作为广东省的人民大会堂的白云国际会议中心等10家知名集团企业建立订单式培养、学院校园企业化、企业经营教学化、车间课堂化的合作办学关系。两个校企合作基地获得省高职教育大学生校外实践教学基地建设项目，两个实训基地获得省级高等职业教育实训基地立项建设项目。//学校积极推进国际化合作办学，2007年以来，学院与釜山外国语大学、东明大学、东国大学、新罗大学等韩国大学合作，施行“2+2”专本连读模式，截止2017年，输送到韩国大学就读的人数达到近600人，已成为广东省同类型院校韩语专业人才培养和韩国留学的重要基地。2014年，学院与泰国博仁大学正式签订合作办学协议，开设了东盟国际贸易专业方向，是广东省第一家与泰国建立合作关系的专业方向。2015年，学院商务日语专业开始运行2+1留学方式，学生可以以半工半读形式在日本留学1年。学校还与我国台湾地区兰阳技术学院、铭传大学、亚洲大学签订友好合作协议，互派交换生。//25年来，学校数易校名，几度迁徙，虽历经沧桑，却弦歌不辍。一代又一代南华人践行“求真务实、勤恳好学、健康和谐、儒雅自尊”的校训，筚路蓝缕，薪火相传，共同铸就了学校的发展与繁荣。未来学校将继续坚持党的领导，坚持社会主义办学方向，立足广东、深入推行创新强校建设规划（2016/2020））、创新强校工程533提升计划（2017/2021），巩固传统商科优势，优化专业结构，集中资源培育工科新增长点，着力提升职业教育人才培养质量，将干校打造成全国工会系统一流干校，将南华打造成“省内一流，国内知名，综合型、示范性高职名校”，成为南方高职教育排头兵。</t>
  </si>
  <si>
    <t>http://www.nhic.edu.cn/</t>
  </si>
  <si>
    <t>https://www.nhic.edu.cn/zsb/</t>
  </si>
  <si>
    <t>020/38251888(8条线)、37198588</t>
  </si>
  <si>
    <t>天河校区：广州市天河区沙太南路113号,黄埔校区：广州市黄埔区长洲街金洲南路9号</t>
  </si>
  <si>
    <t>https://baike.baidu.com/item/%E5%B9%BF%E4%B8%9C%E5%8D%97%E5%8D%8E%E5%B7%A5%E5%95%86%E8%81%8C%E4%B8%9A%E5%AD%A6%E9%99%A2</t>
  </si>
  <si>
    <t>https://gaokao.chsi.com.cn/zsgs/zhangcheng/listZszc//schId/735.dhtml</t>
  </si>
  <si>
    <t>广东财贸职业学院</t>
  </si>
  <si>
    <t>职能定位</t>
  </si>
  <si>
    <t>https://www.gdcmxy.edu.cn/</t>
  </si>
  <si>
    <t>https://www.gdcmxy.edu.cn/dep/recruit/</t>
  </si>
  <si>
    <t>0763/3918858</t>
  </si>
  <si>
    <t>广东省清远市清城区东城街道中宿路28号</t>
  </si>
  <si>
    <t>https://baike.baidu.com/item/%E5%B9%BF%E4%B8%9C%E8%B4%A2%E8%B4%B8%E8%81%8C%E4%B8%9A%E5%AD%A6%E9%99%A2</t>
  </si>
  <si>
    <t>https://gaokao.chsi.com.cn/zsgs/zhangcheng/listZszc//schId/2633120240.dhtml</t>
  </si>
  <si>
    <t>广东体育职业技术学院</t>
  </si>
  <si>
    <t>广东体育职业技术学院创建于1956年8月，前身是广东省体育运动学校，2003年5月经广东省人民政府批准，升格为全日制高等体育职业院校，隶属于广东省体育局。建校以来，涌现出了冼东妹、傅海峰、江嘉良、孙彩云、邢芬、董兆致等一大批为国家作出突出贡献的体育明星。2012年8月经省机构编制委员会批准，学院附属竞技体校更名为广东省青少年竞技体育学校，并于2014年1月正式独立运作。//学院办学理念：弘扬体育精神、勤学体育知识、精练体育技能。学院校训：文明精神、野蛮体魄，创新思维、精湛技能。//学院位于广州市天河区奥林匹克体育园区，实有占地面积306433平方米，建筑面积82111.8平方米，固定资产总值2.5亿元。目前建有10大校内实训基地、60个校内实训室、81个校外实训基地、35家产学合作企业，在全省21个地级市设立51个体育行业职业技能培训基地。图书馆藏书16万册。//学院现有教职工285人，专任教师167人（其中高级职称教师47人，博士以上学历学位7人），双师素质教师103人（占专任教师总数的70.3%），聘请体育行业企业能工巧匠等校外兼职教师136人。南粤优秀教师4人，南粤优秀教育工作者1人，“千百十”人才培养工程校级培养对象7人。2012年参加首届全国高等体育职业院校教师基本功比赛，总成绩位列前三名。2013年荣获教育部“全国第七届高校校园文化建设成果”三等奖。在2013年全国体育行业职业技能大赛全国总决赛中，获得运动防护项目团体总分第一名和个人总分第二名，以及游泳指导救助项目个人总分第一名。在2014/2017年期间，我院学生参加全国高等体育职业院校学生技能大赛上共取得团体一等奖12项，团体二等奖7项；我院教师在全国高等体育职业技能大赛教师组比赛中共取得了6个一等奖，4个二等奖，3个三等奖。在全国19所体育高职院校中我院是唯一一所在历届比赛中学生组和教师组团体总分均排名前三的学院。//学院设有7个管理机构（党委办公室、办公室、人事处、教务处、总务处、学生工作处、训练处）、7个教学机构(体育艺术系、体育管理系、竞技体育系、体育保健系、基础教学部、培训部、思想政治理论课教学部)、3个教辅机构/(计算机与电化教学中心、图书馆、医务所)、1个研究机构（职业教育研究中心)、3个广东省体育局下设挂靠单位(广东省体育行业特有工种职业技能鉴定站、广东省全民健身体能康复中心、广东省体质测定与运动健身指导站)。//学院现有全日制学生3304人，成人教育在读学员近300人。目前开设竞技体育、运动训练、运动防护、体育艺术表演、体育保健与康复、体育运营与管理、社会体育、休闲体育、高尔夫球运动与管理9个专业，在专业设置上体育特色鲜明。其中，体育保健与康复专业顺利完成“中央财政支持高等职业院校提升专业服务产业发展能力项目”，竞技体育专业、体育运营与管理专业入选广东省高职教育重点专业；运动训练专业实训基地、体育运营与管理实训基地、体育保健与康复专业实训基地、运动防护专业实训基地列入省级实训基地立项建设项目，体育保健与康复专业校外实践教学基地列入广东省大学生实践教学基地立项建设项目；广东省全民健身公共实训中心、运动训练专业公共实训中心列入广东省高职教育公共实训中心建设项目。《运动防护》和《户外拓展指导与训练》两门精品资源共享课程获得了广东省高等学校质量工程高职类立项。学院2011年以来承担教科研课题共135项，其中省部级以上课题14项、厅局级课题81项，国家教育部“十二五”规划教材2本。//学院培训部建有“八大培训基地”（体育行业特有职业国家级培训基地、广东省专业技术人员继续教育基地、广东省退役运动员职业转换培训基地、广东省中初级教练员岗位培训基地、广东省体育传统项目学校体育师资培训基地、广东省体育产业管理干部培训基地、广东省体育产业经营管理人员培训基地、广东省社会体育指导员培训基地）、“两站”（体育行业特有工种职业技能鉴定站、武汉体育学院广东体育职业技术学院函授站）、“两室”（运动员职业指导工作室、职业技能鉴定研究室）。截止2017年底，面向体育行业专业技术人员、裁判员、退役运动员等高技能人才共举办了432期各类培训班，培训学员32565人次。//广东省体育行业特有工种职业技能鉴定站是全国第一所成立的体育行业职业技能鉴定站。自2005年建站以来，鉴定规模一直位居全国第一。截止2017年底，鉴定站共对游泳救生员、社会体育指导员（游泳、健美操、健身教练、网球、武术、跆拳道）、体育经纪人、体育场地工等四大工种12个项目开展了共计1405个批次的鉴定，鉴定人数为73174人次，为全省体育市场从业人员获取国家职业资格证书搭建良好平台，进一步保障了人民群众的健身权益。鉴定站目前共建有51家全省国家职业资格培训基地、实现培训网络全省覆盖。共培训各项目培训师457名，国家考评员216名，专家队伍日渐壮大。2012年，鉴定站被国家人力资源和社会保障部评为全国首批“示范职业技能鉴定站”，全国体育系统唯一一个示范站；2013年，被国家体育总局评为“2009/2012年度全国群众体育先进单位”。//广东省全民健身体能康复中心以全面推广现代体能训练理念和方法为重点，以培养素质高、技能强的体育人才为目标，加强对全民科学健身的支持服务，培养健身指导、体能康复训练人才，促进我省体育可持续发展能力不断提高。//广东省体质测定与运动健身指导站，将通过打造“体质测定、健身指导、康复治疗”三位一体的社会服务平台，加强对我省全民科学健身的支持服务，努力完成国家基本公共服务体系规划的建设任务，力争建设成为全国一流体质测定和运动健身指导站。//学院将依托行业优势，立足广东，辐射全国，面向行业，服务社会，紧紧围绕“体育职业教育、体育人才培养、社会服务”三大任务，坚持以人才培养为中心，以弘扬体育精神、服务体育行业、培养体育人才为特色，构建质量和技能并重的体育人才培养体系，培养素质高、技能强的应用型人才，实现体育职业教育、体育人才培养和社会服务共同促进、协调发展，努力把学院建设成为具有中国特色、国内一流的体育职业技术学院和全国体育职业院校社会服务示范基地。</t>
  </si>
  <si>
    <t>学校前身是创建于1956年8月的广东省体育运动学校；1998年，广东省体育运动学校被国家体育总局批准为“高水平后备人才训练基地”；9月，被国家体育总局篮球管理中心、中国篮球协会批准为“全国青少年篮球训练重点单位” 。2000年，广东省体育运动学校被国家体育总局批准为“青少年体育俱乐部”；4月，被国家体育总局田径管理中心、中国田径协会批准为“全国田径高水平后备人才培训基地”；8月，被中国举重协会批准为“全国举重高水平后备人才基地” 。2003年5月经广东省人民政府批准，升格为广东体育职业技术学院；前期隶属广东省体育局，2020年6月15日正式划转广东省教育厅 。2022年9月，学校入选广东省域高水平高等职业院校建设计划培育单位 。2024年，学校获广东省人民政府征兵办公室、省教育厅、省卫生健康委员会联合表彰的“2024年度征兵工作先进单位”称号 。</t>
  </si>
  <si>
    <t>http://www.gdvcp.net/index.html</t>
  </si>
  <si>
    <t>https://zsjybgs.gdtzy.edu.cn/</t>
  </si>
  <si>
    <t>020/61034014</t>
  </si>
  <si>
    <t>广州市天河区黄村奥体路52号</t>
  </si>
  <si>
    <t>https://www.720yun.com/t/498jk5uysa2</t>
  </si>
  <si>
    <t>https://baike.baidu.com/item/%E5%B9%BF%E4%B8%9C%E4%BD%93%E8%82%B2%E8%81%8C%E4%B8%9A%E6%8A%80%E6%9C%AF%E5%AD%A6%E9%99%A2</t>
  </si>
  <si>
    <t>https://gaokao.chsi.com.cn/zsgs/zhangcheng/listZszc//schId/1110.dhtml</t>
  </si>
  <si>
    <t>汕尾职业技术学院</t>
  </si>
  <si>
    <t>汕尾市</t>
  </si>
  <si>
    <t>汕尾职业技术学院座落在风光旖旎的粤东滨海城市——广东省汕尾市城区，是一所由汕尾市人民政府创办，广东省人民政府批准，国家教育部备案的专科层次公办普通高等院校。学院遵循“以人为本、服务社会、内涵发展、彰显特色”的办学理念，注重人才培养质量，关注学生全面和谐发展。以促进学生健康成长为宗旨，关注学生全面和谐发展；树立“人才培养质量是学院生存与发展生命线”的观念，坚持内涵发展，注重抓好教学质量，严抓考风考纪，促进良好教风、学风建设和校风的形成；推行“双证书”制度，积极组织开展职业资格考核认定，毕业生职业技能和就业竞争力不断增强。//自2001年升格以来，在上级党政和学院党委的正确领导下，经过全体教职员工的不懈努力，学院综合实力明显增强，2007年顺利通过教育部人才工作水平评估，学院各项事业健康发展。//学院现有两个校区，校园占地面积19.4万平方米（市政府已划拨预留发展用地27万平方米），建筑面积11.83万平方米，现有教学仪器设备总值3675万元；图书馆藏书45.5万册；校园内无线宽带Wi/Fi全覆盖。学院设有海洋工程系、机电工程系、信息工程系、艺术与设计系、经济管理系、外语外贸系、人文社科系和思想政治理论课教学部、公共课教学部等七系二部。学院开设42个专业，同时计算机应用技术和软件技术两个专业与达内时代科技集团广州市达内软件职业培训学校联合开展省级“现代学徒制”试点招生。广东省高等教育学会高职高专云计算与大数据专业委员会设立在我院。现有全日制在校生7084人，教职工457人，其中专任教师340人，副高以上66人，研究生以上学历164人。//学院积极搭建“两院两站”协同创新平台，与汕尾市科技局、汕尾市海洋与渔业局合作成立的汕尾市创新工业设计研究院、汕尾市海洋产业研究院。2015年，“两院”均被评为省级新型研发机构；中共汕尾市委组织部联合哈尔滨工业大学（威海）、中科院南海研究所、成都信息工程学院等单位在我院成立了汕尾职业技术学院人才驿站；设立汕尾市海洋产业研究院博士后科研工作站，2017年，引进博士后研究人员一名，积极开展水生物防病治病研究，为养殖企业提供技术服务。深汕创新创业基地和广东省高等教育学会高职高专云计算与大数据专业委员会；成功承办广东省高等职业技术教育研究会2015年学术年会；省内外海洋装备、海洋生物、电子技术、计算机与互联网、电子商务、装潢设计等行业企业，与我院共建实习实训基地，为我院构建了政校行企合作、产学研结合的发展平台。//学院注重培养学生的实践动手能力，近年来人才培养质量明显提高，在各类国家级、省级技能竞赛中屡获大奖，其中，五届蝉联全国职业院校创业技能沙盘大赛一等奖，荣获全国大学生跨境电子商务创业大赛一等奖、全国高职院校大数据技术应用技能竞赛一等奖，三年蝉联广东省“挑战杯”特等奖等、IDT无线充电应用创新设计大赛全国第一名。//学院注重学生全面发展，与华南师范大学开放学院开展“相沟通”办学，共开设12个专业，在校专科生可免入学考试报读相同或相近本科专业，修完本科课程考试合格的学生可获得省自考委及华师大联合颁发的本科毕业证书，可申请华南师范大学学士学位。学院设有“学生就业指导中心”、“深汕创业基地暨大学生创业孵化园”，为毕业生提供系统的职业指导与服务，毕业生就业率保持在95%以上。//学院根据国家资助经济困难学生的政策，开设入学绿色通道。学生可申报国家奖学金、国家励志奖学金、国家助学金。学院实行院内奖学金制度，向家庭经济困难的学生提供一定的勤工俭学岗位，并协助学生向银行申请助学贷款。//学院立足汕尾地区，面向全省招生，以培养高素质技术技能人才为目标，深化产教融合、校企合作，推进现代职业教育体系建设，充分发挥临海、临港优势，推进特色发展，为国家海洋发展战略、“一带一路”发展战略培养技术技能人才作出积极贡献。</t>
  </si>
  <si>
    <t>汕尾职业技术学院前身为1946年1月成立的香港海陆丰公学和1988年成立的汕尾市师范学校。 2001年5月，经广东省人民政府批准，在原汕尾市师范学校和原汕尾市中等专业技术学校的基础上合并成立汕尾职业技术学院。</t>
  </si>
  <si>
    <t>http://www.swvtc.cn/</t>
  </si>
  <si>
    <t>http://jc.swvtc.cn/html/zsw/btgk/zswj/zszc/</t>
  </si>
  <si>
    <t>0660/3386864</t>
  </si>
  <si>
    <t>广东省汕尾市城区文德路</t>
  </si>
  <si>
    <t>https://baike.baidu.com/item/%E6%B1%95%E5%B0%BE%E8%81%8C%E4%B8%9A%E6%8A%80%E6%9C%AF%E5%AD%A6%E9%99%A2</t>
  </si>
  <si>
    <t>https://gaokao.chsi.com.cn/zsgs/zhangcheng/listZszc//schId/1247.dhtml</t>
  </si>
  <si>
    <t>广东环境保护工程职业学院</t>
  </si>
  <si>
    <t>广东环境保护工程职业学院是2010年2月经省人民政府批准成立，以培养环保、节能、低碳及相关专业高技能型人才为主要特色的全日制公办高等职业学院，隶属于广东省环境保护厅。学院位于佛山市南海区桂丹西路98号，占地面积约450亩。学院环境优美，教学生活设施齐全，入选为国家第二批节约型公共机构示范单位，是广东省高校节能示范单位和省环境教育基地，是环保部华南地区环保从业人员的继续教育基地。//学院以围绕环保中心工作，培养经济社会发展所需要的高素质技术技能型人才为办学宗旨，下设环境科学系、环境监测系、环境工程系、土木工程系、循环经济与低碳经济系、机电工程系、环境艺术与服务系、生态环境系、食品工程系等九个教学系。按照环境保护全过程管理的理念，设置34个专业，建立起从环保源头清洁生产到中间循环经济再到末端工程治理及其延伸专业全覆盖的专业体系，在校学生过万名。学院现有一类品牌专业1个，二类品牌专业2个；设有央财支持专业服务产业发展能力建设项目2个，重点实训基地1个，省环保专项资金支持重点实验室1个。//学院着力建设一支数量、结构合理的"双师型"教师队伍，现有教职员工550多人，专任教师中硕士以上学历的近70%，多人被授予"全国优秀教师""南粤优秀教师"等光荣称号。学院还聘请了刘文清院士、张远航院士、彭平安院士等国内著名专家学者以及70多位行业一线高级工程师作为学院的客座教授，成立了"刘文清院士工作室"、"张远航院士工作室"和"彭平安院士工作室"，发挥环境科学研究方面的带动引领作用，使学院的专业建设、教学质量和科研水平始终处于行业前沿。//学院以"厚德、精业、创新、有为"为校训，坚持"育人为本，德育为先、全面发展"的办学指导思想，以"创新强校工程"为抓手，强化校企合作，充分发挥环保协同育人中心平台效应，突出学生职业技能培养，以赛促学，以赛促教，近年来在全国高职院校水环境监测技能大赛中成绩一直名列前茅。人才培养质量得到广泛认可，毕业生深受用人单位欢迎，就业率达到96%以上，稳居全省同类院校前茅。//学院实施特色办学，走产教研相结合的道路，不断增强服务区域经济发展能力，提升办学水平。目前，学院拥有环境检测、清洁生产技术服务、节能量审计、环境保护工程（设计、施工安装、调试运营、咨询）、培训和职业技能鉴定等各类对外服务资质近10项。同时，学院还与佛山、珠海、中山、肇庆、江门等地市环保局签订了战略合作协议，建立起协同创新、深度融合的战略合作伙伴关系，促进地方环境保护、生态建设和学院教学科研互融互促共同发展。//展望未来，学院将深入学习贯彻落实党的十九大精神，以习近平新时代中国特色社会主义思想为指引，紧紧围绕建设“五位一体”总布局，按照"四个全面"战略部署，以环保中心工作和区域经济社会发展的需求为导向，以"立德树人"为根本，以建设一流高职院校为目标，创新驱动发展，为广东环境保护和生态文明建设继续走在全国前列提供坚强的人才保障、技术支持和智力支撑。</t>
  </si>
  <si>
    <t>1978年，广东省环境保护职业技术学校创建，1983年更名为广东省环境保护学校，2003年更名为广东省环境保护职业技术学校，2010年2月更名为广东环境保护工程职业学院。 2013年，学校与广东省环境保护职业技术学校分别独立办学。 2015年12月，学校继续教育学院获批为国家环境保护培训基地。 2016年2月，学校入选为国家第二批节约型公共机构示范单位。 2017年3月，学校入选第一批省高职院校文化素质教育基地立项建设单位。 2021年，学校与广东省环境保护职业技术学校实施集团办学。2022年3月，学校环境监测学院教师党支部入选“全国党建工作样板支部”培育创建单位。 2023年12月15日，学校人居环境学院联合四方共建的“生态文明教育融合创新实验室—大学生实践基地”正式挂牌。 2024年7月12日，广东环境保护工程职业学院信宜校区开始建设。</t>
  </si>
  <si>
    <t>http://www.gdpepe.cn/</t>
  </si>
  <si>
    <t>http://zs.gdpepe.cn/</t>
  </si>
  <si>
    <t>0757/88733888、81773133</t>
  </si>
  <si>
    <t>佛山市南海区桂丹西路98号</t>
  </si>
  <si>
    <t>https://www.720yun.com/t/910j57yfuw2</t>
  </si>
  <si>
    <t>https://baike.baidu.com/item/%E5%B9%BF%E4%B8%9C%E7%8E%AF%E5%A2%83%E4%BF%9D%E6%8A%A4%E5%B7%A5%E7%A8%8B%E8%81%8C%E4%B8%9A%E5%AD%A6%E9%99%A2</t>
  </si>
  <si>
    <t>https://gaokao.chsi.com.cn/zsgs/zhangcheng/listZszc//schId/52333945.dhtml</t>
  </si>
  <si>
    <t>广东松山职业技术学院</t>
  </si>
  <si>
    <t>韶关市</t>
  </si>
  <si>
    <t>广东松山职业技术学院是由广东省人民政府举办、广东省教育厅直属管理的全日制普通高等职业院校，有43年办学历史，是全省举办高等职业教育历史最悠久的院校之一。院校代码：12060，办学性质：省属公办，录取批次：专科。【办学历史】//学院前身为广东韶关钢铁集团职工大学，始办于1976年3月，办学初期校名为韶关钢铁厂“七二一”工人大学；1982年6月，粤北三所冶金职工大学合并为韶钢职工大学，由韶钢管理，并迁至曲江区原广东工业大学旧址办学；/2000年6月，经广东省人民政府批准改制为普通高等职业学校；2014年6月，由宝钢集团韶关钢铁有限公司移交广东省教育厅直属管理。【办学条件】//学院地处韶关市南郊，邻近京珠高速公路，紧靠广韶公路，毗邻粤北名胜南华寺，便捷的交通，灵气氤氲的宝林山，占地39.7万平方米，为莘莘学子提供了一片“宽、厚、平、和”的读书沃土。学院秉承“以人为本、教育创新、依法治校、全面发展”的办学理念，弘扬“求索、敬业、务实、创新”的校训精神，以立德树人为根本任务，以服务发展为宗旨，以促进就业为导向，励精图治，于2005年通过教育部高职高专人才培养工作水平评估，毕业生近年来总体就业率均在99%以上，在全省高校中名列前茅。学院下设机械工程系、电气工程系、计算机系、经济管理系、外语系、基础教学部、思想政治理论课教学部等7个二级教学单位。现有全日制在校大专学生9107人；教职工数509人，其中具有研究生学历或硕士学位的140人；副高以上专任教师90人，双师素质教师180人；广东省高校“千百十”工程校级培养对象14人，广东省技术能手4人，南粤优秀教师4人，南粤优秀教育工作者1人，全国冶金职教杰出个人12人，韶关市首期享受市政府特殊津贴人才3人。学院现有兼职教师98人，并聘请了以全国人大代表、全国技术专家、能工巧匠罗东元为代表的一批企业优秀技术人才为客座教授和德育导师，打造了一支以专业带头人、骨干教师和双师型教师为主体，专兼结合的高素质师资队伍。近年来，我院教师在各类技能竞赛中屡获佳绩，并取得丰硕的教学科研成果。学院坚持以质量求生存，以特色谋发展，取得了丰硕的办学成果：学院被授予2008/2010年度广东省高校治安综合治理优秀学校、全国冶金高等职业教育先进单位、全国高等教育学籍学历管理工作先进集体、广东省心理健康教育先进集体、广东省高校毕业生入伍预征工作先进单位、广东省大学生征兵工作先进单位、广东省大中专学生志愿者暑期“三下乡”社会实践活动先进单位、广东省教育系统关心下一代工作先进集体等荣誉称号；学院党委被授予全省教育系统创先争优工作优秀组织奖、固本强基工程创新奖，2018年韶关市基层党支部组织生活创新案例优秀组织奖；学院就业指导工作在广东省普通高校毕业生就业指导工作评估中荣获全省第四名，国家助学贷款工作在省教育厅考核中获优秀等级。【专业建设】/学院坚持产教融合，校企合作，按照“推动专业设置与产业需求对接、课程内容与职业标准对接、教学过程与生产过程对接、毕业证书与职业资格证书对接、职业教育与终身学习对接”的思路，积极探索订单式人才培养、中高职衔接三二分段人才培养、现代学徒制等人才培养模式，形成了布局合理、特色突出，紧密结合地方经济发展和岗位需求的专业群。其中，电气自动化技术专业为省高职高专教育示范性专业；数控技术、软件技术、物流管理三个专业为广东省高等职业教育重点专业；机电设备维修与管理、市场营销专业与策划专业为中央支持高职院校提升专业服务产业发展能力项目重点建设专业；数电子信息工程技术为省高职教育重点建设专业；机电一体化专业获第一批省高等职业教育特色专业建设点立项。【实训基地建设】//学院按照对接需求、特色鲜明的发展思路，不断深化产教融合、校企合作、工学结合，充分发挥背靠韶钢的大优势，探索建立“厂中校”“校中厂”实习实训基地，建成一批融教学、培训、技能鉴定于一体的校内外实训基地。以央财、省财专项扶持资金项目的建设为牵引，进一步充实实验、实训硬件资源，初步形成了国家、省级、院级三级实训基地体系。现有设施先进、功能齐全的校内实训基地19个，下属实验室、实训室、计算机室共83个。其中，中央财政扶持的职业教育实训基地两个：电子电工与自动化技术职业教育实训基地、数控技术专业先进制造技术实训基地；省级实训基地8个：机电维修实训基地、电子信息工程技术实训基地、数控技术实训基地、机电技术公共实训中心、机电设备维修与管理高技能人才培养基地、模具设计与制造专业技术技能人才培养基地、软件技术专业技术技能人才培养基地；省级公共实训中心1个：机电技术公共实训中心；广东省青少年科技教育基地1个。/学院校企合作蓬勃发展，在韶关和珠三角等地设有150个稳定的实习实训基地，其中4个为省级大学生校外实践教学基地：宝钢集团韶关钢铁有限公司、中国联通（韶关分公司）、广州市友迪资讯科技有限公司、曲江团委（韶关）。在宝钢集团广东韶关钢铁有限公司设有30个实习实训教学点。丰富的实训资源和多媒体网络技术等现代化教学手段的运用，为提升学生的技术技能水平奠定了坚实的基础。【技能考证和竞赛】//依托职业技能鉴定机构，积极开展高新技术考试和技能鉴定。学院建立全国高新技术考试站和职业技能鉴定所，能组织18个职业工种的职业资格鉴定考试，基本满足学院各专业考取职业资格证书的要求。近十年学院曾先后三次被省职业鉴定指导中心评为技能鉴定“先进组织”。积极推进“双证书”制度建设，要求每个学生在毕业时必须取得一个与本专业相关的职业资格证书。据统计，我院历届毕业生有近半同学考取了两种以上职业资格证书，最多的甚至考取了八种职业资格证书，大大提升了我院学生的职业技能水平。同时，学院坚持以赛促学、以赛促教、以赛促改、以赛促建，贴近行业企业标准及规范的系统赛前训练。近两年来，学院师生先后斩获几十项全国、全省技能大赛奖项，圆了广大师生“人生出彩”的职业梦想。【文化育人建设】学院坚持把“立德树人”作为根本任务，以践行社会主义核心价值观为主线，以提升学生职业素养和创新创业能力为重点，全面推进校园文化建设。一是加强物质文化建设，推进图书和信息资源建设，建有音乐室、绘画室、形体训练室、九龄广场、松林公园和标准塑胶跑道田径运动场、足球场、篮球场、网球场、排球场、羽毛球场等体育运动场地和设施；二是实施大学生素质拓展工程，建立奖、助、贷、减、免制度，依托大学生就业与终身发展协会、心理健康协会、英语俱乐部等95个学生社团，发挥红色文化节、校园读书节、商务文化节、宿舍文化节、社团文化节、科技创新大赛等品牌活动的引领作用，大力加强心理健康教育、人文教育和社会实践，为学生发挥特长、展示才华提供了广阔的活动空间，促进了“科学教育与人文教育的融合”，培育了学生“注重人格、注重伦理、注重利他、注重和谐”的人文精神。43年的发展历史，我院在教学、技能培训、学生管理以及毕业生就业工作等方面积累了丰富的经验，形成了鲜明的办学特色和校园文化。建校以来，培养了以“全国技术能手”“享受国务院津贴”的庄庆辉为代表的一大批优秀工程技术人才、管理骨干和以黄晓波为代表的一批创业人才。我院毕业生素以理论基础扎实、专业技能强和综合素质高著称，且具有良好的敬业精神和创新意识，多年来一直受到用人单位广泛好评。我院具有高素质的师资队伍，先进齐全的教学设施，幽雅的校园环境和便利的交通条件，为立志成才的求学者营造了一个良好的学习和生活环境，也为企事业单位推动技术技能累积、科学研究、培养订单人才架设了平台，我院文化育人主体功能和功效得到充分展现。</t>
  </si>
  <si>
    <t>学院前身为广东韶关钢铁集团职工大学，始办于1976年3月，办学初期校名为韶关钢铁厂“七．二一”工人大学；1982年6月，粤北三所冶金职工大学合并为韶钢职工大学，由韶钢管理，并迁至曲江区原广东工业大学旧址办学；2000年6月，经广东省人民政府批准改制为普通高等职业学校；2014年6月，由韶钢移交广东省教育厅直属管理。 2014年9月，广东松山职业技术学院教育发展基金会正式获批成立。 2023年，获“2023年度高招宣传创新高职院校”称号。</t>
  </si>
  <si>
    <t>http://www.gdsspt.net/</t>
  </si>
  <si>
    <t>http://zsxx.gdsspt.cn:82/</t>
  </si>
  <si>
    <t>0751/6502668</t>
  </si>
  <si>
    <t>校本部：韶关市曲江区南华</t>
  </si>
  <si>
    <t>https://baike.baidu.com/item/%E5%B9%BF%E4%B8%9C%E6%9D%BE%E5%B1%B1%E8%81%8C%E4%B8%9A%E6%8A%80%E6%9C%AF%E5%AD%A6%E9%99%A2</t>
  </si>
  <si>
    <t>https://gaokao.chsi.com.cn/zsgs/zhangcheng/listZszc//schId/968.dhtml</t>
  </si>
  <si>
    <t>广东茂名农林科技职业学院</t>
  </si>
  <si>
    <t>广东茂名农林科技职业学院于2018年经广东省人民政府批准设立的全日制/公办普通高等院校。学院位于茂名市西城西路，毗邻国家AAAA风景区茂名市/森林公园，附近有广东石油化工学院、广东茂名幼儿师范专科学校等3所高校，/交通便利，环境优雅。学院是省内一所整合教育、农业、林业、渔业资源，并与广东省农业厅、/林业厅、水利厅、海洋渔业厅共建的高等职业学院。重点培养应用型、技能/型人才，是我省农业工程、林业工程、渔业工程等应用技术的人才培养基/地。学院以立足粤西，面向全省，辐射北部湾经济区，努力建设成为特色鲜明、优势突岀、省内一流的现代新型综合性高等职业院校为/发展目标。学院现有教学仪器设备总值约4400万元，有纸质图书/15.33万册。规划建设有实训鱼塘50亩、畜牧实训基地80/亩、园艺林业实训基地100亩，建成了功能完善的园艺技术/实训中心、风景园林设计实训中心、畜牧兽医实训中心、水/产养殖实训中心、食品加工技术实训中心、电子商务实训中/心、计算机应用实训中心、机器人实训中心等实训中心。学院专业设置以农林渔、理工、商贸三个专业集群为主，形成结构合理的专业框架。学院现设动物科学系、经/济贸易系、食品工程系、计算机应用系、机电工程系、园林工程系和生物工程系等7个系部，2019年开设电子商务等15个专业，计划招生3850人。</t>
  </si>
  <si>
    <t>https://www.gdafc.edu.cn/</t>
  </si>
  <si>
    <t>https://www.gdafc.edu.cn/zspx/zs.htm</t>
  </si>
  <si>
    <t>0668/2338808</t>
  </si>
  <si>
    <t>广东省茂名市西城西路9号</t>
  </si>
  <si>
    <t>https://baike.baidu.com/item/%E5%B9%BF%E4%B8%9C%E8%8C%82%E5%90%8D%E5%86%9C%E6%9E%97%E7%A7%91%E6%8A%80%E8%81%8C%E4%B8%9A%E5%AD%A6%E9%99%A2</t>
  </si>
  <si>
    <t>https://gaokao.chsi.com.cn/zsgs/zhangcheng/listZszc//schId/2024120976.dhtml</t>
  </si>
  <si>
    <t>广东梅州职业技术学院</t>
  </si>
  <si>
    <t>梅州市</t>
  </si>
  <si>
    <t>广东梅州职业技术学院是经广东省人民政府批准、国家教育部核准设立的公办全日制普通高等学校。高考录取批次：专科批次，学制3年，2021年秋季开始正式招生。学院位于广东省梅州市梅江区学院路，坐落在风景秀美的周溪河畔。校园占地面积600亩，包括校本部东区、西区、北区，广梅产业园校区，总建筑面积30万平方米，规划在校生1.2万人。学院设置农业工程学院、信息工程学院、机电工程学院、财经商贸学院、马克思主义学院、教育学院、继续教育学院、公共课教学部8个教学单位。计划开设45个专业，现已开设畜牧兽医、汽车检测与维修技术、大数据技术与应用、烹调工艺与营养、学前教育、电子商务、智能控制技术、大数据与会计等20个专业。/学院是广东省博士工作站，中国客家菜研发培训基地，广东省“粤菜师傅”培养示范基地，华南农业大学研究生联合培养基地，岭南信创测试研发中心粤东分中心，梅州市工程技术研究中心。</t>
  </si>
  <si>
    <t>http://gdmzvtc.edu.cn/</t>
  </si>
  <si>
    <t>http://gdmzvtc.edu.cn/zsjy/zszc.htm</t>
  </si>
  <si>
    <t>0753/2356234</t>
  </si>
  <si>
    <t>校本部：广东省梅州市梅江区学院路15号；广梅产业园校区：广州梅州产业转移园蕉岭路；</t>
  </si>
  <si>
    <t>https://baike.baidu.com/item/%E5%B9%BF%E4%B8%9C%E6%A2%85%E5%B7%9E%E8%81%8C%E4%B8%9A%E6%8A%80%E6%9C%AF%E5%AD%A6%E9%99%A2</t>
  </si>
  <si>
    <t>https://gaokao.chsi.com.cn/zsgs/zhangcheng/listZszc//schId/3156255408.dhtml</t>
  </si>
  <si>
    <t>广东省外语艺术职业学院</t>
  </si>
  <si>
    <t>广东省外语艺术职业学院是由广东省人民政府举办的全日制普通高等职业院校。学校的前身是广东省人民政府1978年举办的广东外国语师范学校和1983年举办的广东艺术师范学校，2001年12月经广东省人民政府批准更名为广东省外语艺术职业学院。学校为广东省示范性高职院校、广东省大学生创新创业教育示范学校、广东省依法治校示范校。学校位于广州市天河区，辖五山和燕岭两个校区，全日制在校生10787人，成人教育在读学生4652人。五山校区以职业教育专业为主，有应用外语学院、音乐舞蹈学院、艺术设计学院、信息学院、国际经贸学院、继续教育学院、创新创业学院。燕岭校区以教师教育专业为主，有基础教育学院、学前教育学院、公共管理学院。学校校园占地面积274亩，校园总建筑面积22万平方米，实训实习场所4.8万平方米。图书馆共有藏书142.48万册（种），数据库站点50个，镜像数据达27395GB。校园网络信息点数达13500个。校园内绿树成荫，环境幽雅，是广州地区“花园式单位”“广东省安全文明校园”。学校按照“校企（校）合作，工学结合”的改革思路，打造了教师教育类、语言文化类、艺术设计类、表演艺术类、计算机应用技术类等特色专业群，29个招生专业中14个为省级示范、重点、品牌、中央财政支持专业，建成了6门国家级精品资源共享课和1门省级精品视频公开课，19门省级精品资源共享课（精品在线开放课程）立项建设。获得职业教育国家级教学成果奖二等奖，广东省第五届、第六届、第七届、第八届高等教育教学成果一等奖以及中国舞蹈家协会教学成果展一等奖。学校秉承“学贯中西、德艺双馨”的校训，推行“崇学、重教、躬行、爱生”的教风和“勤学、高雅、自律、进取”的学风，坚持“善知善行、尚德尚艺、开放合作、特色发展”的办学理念，确立了“教师教育出精品、职业教育办特色”的办学思路，以为教育行业、文化艺术产业、商务服务业培养“职业素质高、就业能力强、发展潜力大”的“高强大”技术技能人才为办学定位，通过“人才培养个性化，教学成果作品化，教学手段信息化和教学视野国际化”的教学“四化”改革，构建了“HAPPY+”双核协同（职业核心能力和专业核心能力并重）的人才培养模式。学校还将创新创业教育融入人才培养全过程，探索出了“以课程教学改革为依托推动作品化，以项目中心为依托实现产品化，以孵化基地为依托促进商品化”的/“三品化”创新创业教育路径，培养全体学生具有创意思维、创新精神、创业能力，实现了一部分学生的创业梦想。学校毕业生就业质量高，在全省同类院校中名列前茅。近三年学校毕业生初次就业薪酬远高于我省高职院校平均水平，毕业生创新能力满足度高于全国高职平均水平。学校现有教职工559人，其中高级职称150人，具有“双师”素质的教师比例85.51%。教师队伍中有全国优秀教师、教育部“跨世纪优秀人才支持计划”入选者、广东省南粤优秀教师、广东省教学名师、广东省高等职业教育专业领军人才、广东省“三八”红旗手、广东省“特支计划”教学名师、广东省优秀青年教师、广东省中小学培训专家工作室主持人、广东省职业教育“双师型”名教师工作室主持人、广东省高校“千、百、十”工程省级培养对象等优秀人才，有广东省优秀教学团队4个，有60名教师被行业、企业聘为专家或顾问。学校于2017年被教育部学校规划建设发展中心认定为“国育华渔VR”世界实验室项目入选学校。建成以3个中央财政支持的实训基地、7个省级实训基地、1个省公共实训中心为重点的14个校内实训基地，5个省级、19个校级大学生校外实践教学基地建设项目，500多个校外实习基地，专业实训室188间，专业实训工位数达5997个。实训设备和条件在广东省同类院校中处于领先水平。学校是全国教师教育学会小学教师教育委员会副理事长单位、广东省高职教育外语教学指导委员会主任委员单位、广东省高职教育教师教育教学指导委员会主任委员单位、广东高等教育学会小学（学前）教师教育专业委员会理事长单位、广东省高等教育学会秘书学专业委员会理事长单位，广东省职业教育学前教育集团理事长单位、广东省学前教育教师发展联盟理事长单位，广东省中小学教师发展中心、广东省小学校长培训基地、小学教师继续教育培训基地、广东省普教系统“百、千、万”人才工程培训基地、广东省高职高专教师教育实训基地，承担广东省中小学新一轮“百千万人才培养工程”小学、幼儿园名教师培养任务。作为广东省首批中华文化传承基地之一，学校成立了“林贤辉广东音乐研究室”、“女子百人民乐团”等机构，建立了首家以广东音乐为主题集收藏、展览、科研、教学为一体的“广东音乐展览馆”。我校是广东省学前教育师资培训中心、广东省语言文字培训测试工作办公室的挂靠单位，承担广东省幼儿园、教师的培训及全省语言文字培训测试指导和管理工作。学校积极开展国际交流与合作，服务“一带一路”发展战略和广东省自贸区建设。学校与英国伯明翰城市大学合作举办学前教育专业专科层次中外合作办学项目；法国研究中心获得教育部2017年“一带一路”区域与国别研究中心备案。学校获得“广东省高等院校对外交流与合作先进集体”荣誉称号。至今，学校与35所境外大学和教育单位建立合作关系,开展了学生留学、研习、短期游学等项目，开设了法语、韩语、英语等多语种社会培训。近年来，“中韩国际交流文化中心”“广外艺/新西兰维特利亚国立理工学院教育（广东）培训中心”“戏剧英语教学研创中心”等先后落户我校，建立了可持续的系列项目，国际化教育改革深入开展。</t>
  </si>
  <si>
    <t>学校的前身是广东省人民政府1978年举办的广东外国语师范学校和1983年举办的广东艺术师范学校，2001年12月经广东省人民政府批准更名为广东省外语艺术职业学院。2021年，通过省属职业院校集团办学，广东省民政职业技术学校、广东省对外贸易职业技术学校、广东省贸易职业技术学校三所中职学校并入广东省外语艺术职业学院。</t>
  </si>
  <si>
    <t>http://www.gtcfla.net/</t>
  </si>
  <si>
    <t>https://zs.gtcfla.edu.cn/</t>
  </si>
  <si>
    <t>020/38458158、38458086、38458153</t>
  </si>
  <si>
    <t>五山校区：广州市天河区瘦狗岭路463号,燕岭校区：广州市天河区燕岭路495号</t>
  </si>
  <si>
    <t>https://www.720yun.com/t/db42dxrgu1r</t>
  </si>
  <si>
    <t>https://baike.baidu.com/item/%E5%B9%BF%E4%B8%9C%E7%9C%81%E5%A4%96%E8%AF%AD%E8%89%BA%E6%9C%AF%E8%81%8C%E4%B8%9A%E5%AD%A6%E9%99%A2</t>
  </si>
  <si>
    <t>https://gaokao.chsi.com.cn/zsgs/zhangcheng/listZszc//schId/1434.dhtml</t>
  </si>
  <si>
    <t>广东艺术职业学院</t>
  </si>
  <si>
    <t>广东舞蹈戏剧职业学院是一所省属公办全日制高职艺术院校，由广东省教育厅管理，广东省教育厅与广东省文化和旅游厅共建。学院前身有创办于1958年的原广东粤剧学校、创办于1959年的原广东舞蹈学校和原广东文化艺术成人中专学校等，学院的成立填补了我省戏剧表演、舞蹈表演、舞台美术在高职教育的空白。学院是全国高等艺术职业教育戏曲表演、舞蹈表演“双师型”教师培训基地，广东省非物质文化遗产教学（研究）基地，广东省舞台美术研究会人才培育基地及中国戏曲学院实习实训基地。学院拥有广州天河、佛山南海两个校区，占地300多亩，建筑面积10万多平方米，建有一批标准、规范的教学、教辅场地和设施。现有戏剧系、舞蹈系、音乐系、艺术设计制作系、社会文化系、文化创意系等六大教学系，开设20多个专业，设有基础教育部、继续教育部、实验实训中心、图书馆（电教中心）等教辅机构，成立了实验剧团、粤港澳粤剧教育研究中心、岭南舞蹈研究中心。学院确立“围绕舞台培育人才”的办学宗旨，以“中专与大专一体、舞台表演与舞台技术一体、‘小舞台’与‘大舞台’一体”的办学特色，以培养高素质、高技能的艺术专业人才为目标，服务区域经济社会文化发展。现拥有一支高职教育特色鲜明、专业过硬、结构合理、专兼结合的高素质、专业化教师教学团队，其中硕士研究生以上学历、副高专业技术职称、双师型教师200多人，同时还聘请了一大批全国知名教授、艺术家到校任教。2019年教师团队获得全省职业院校技能大赛职业院校教学能力比赛一等奖1个、二等奖4个，广东教育教学成果奖省级二等奖1个。学院坚持校企合作、产教融合，校企协同育人，将专业设置、课程内容、教学方式与生产实践对接，毕业生就业率96%以上，人才培养质量得到用人单位的普遍认可。学院取得全国职业院校民族文化传承与创新示范专业点2个，中央财政支持高等职业院校专业建设专业1个，省级品牌建设专业1个，目前承担各类课题150余项，其中国家社科基金艺术学项目3项。学院曾成功举办全国荷花奖比赛学术论坛、“岭南舞蹈”发展论坛、广东省中高职戏曲表演人才培养研讨会、广东省“岭南民俗文化与城镇化建设”研讨会等多个学术论坛，创作粤剧大戏《鹊桥会》，复排粤剧传统排场戏《玉皇登殿》和名家名段、古腔专腔等，创作一批岭南舞蹈作品，走出一条“民间采风—课堂教学—作品创作—回到民间”岭南舞蹈传承发展之路。学院还积极向社会提供多层次、多形式、高质量的文化服务，每年举办和参与的文化惠民演出和社会服务活动均超过50场，在我省对港澳台和国际文化艺术交流中发挥了积极的作用，粤港澳青少年粤剧艺术交流夏令营、台湾中国舞研习夏令营、澳门粤剧艺术进校园活动等已成为学院的品牌项目。我院师生多次受邀参加中央电视台春节联欢晚会演出，多次赴以色列、美国等进行文化交流。目前，学院以习近平新时代中国特色社会主义思想为指导，深入学习贯彻落实党的十九大精神、习近平总书记视察广东重要讲话精神和总书记在全国教育大会的重要讲话精神，在上级主管部门和学院党委的正确领导下，广大师生凝心聚力，为把学院建成特色鲜明、专业一流、规模适度、知名度高的高职艺术院校而努力奋斗！</t>
  </si>
  <si>
    <t>http://www.gdddc.edu.cn/</t>
  </si>
  <si>
    <t>http://www.gdddc.edu.cn</t>
  </si>
  <si>
    <t>020-87047495、020-87047560</t>
  </si>
  <si>
    <t>西校区：佛山市南海区狮山镇高尔夫路；</t>
  </si>
  <si>
    <t>https://baike.baidu.com/item/%E5%B9%BF%E4%B8%9C%E8%89%BA%E6%9C%AF%E8%81%8C%E4%B8%9A%E5%AD%A6%E9%99%A2</t>
  </si>
  <si>
    <t>https://gaokao.chsi.com.cn/zsgs/zhangcheng/listZszc--schId-365299909.dhtml</t>
  </si>
  <si>
    <t>揭阳职业技术学院</t>
  </si>
  <si>
    <t>揭阳市</t>
  </si>
  <si>
    <t>揭阳职业技术学院创建于1999年，地处全国著名侨乡、广东省历史文化名城、广东沿海经济带东翼主战场——揭阳，是经广东省人民政府批准设立、教育部备案，由揭阳市人民政府举办的公办全日制普通高等职业院校。办学以来，学校秉承“诚真、笃教、博学、致用”校训，以“立德强技，人才强校，服务地方”为办学理念，以“立足揭阳、辐射粤东、面向广东”为办学定位，奋力建设高水平有特色高职学院，为揭阳市建设宜居宜业宜游的活力古城、滨海新城，打造沿海经济带上的产业强市培养更多的高素质技术技能人才。/学校占地面积586.826亩，建筑面积约13.1万平方米。目前设有党政办公室、组织人事处、宣传统战部、纪检室、教务处、学生工作处、财务处、后勤服务处、科技与设备处、招生就业处等10个内设管理机构；图书馆、实训与信息中心等2个教辅部门；思想政治理论课教学部、师范教育系、信息工程系、外语系、机电工程系、生物工程系、化学工程系、艺术与体育系、经济管理系、电子商务创业学院、继续教育部等8系2部1院。现招生专业35个，面向8个省（自治区）招生，全日制在校生7867人（其中本校区7614人，校外教学点253人）。建校以来，学校已向社会输送了近4万名高素质技术技能人才，毕业生普遍受到用人单位的欢迎。近五年来，本校区的毕业生总体就业率均保持在95.00%以上。/学校现有教职工458人，其中具有正高级职称5人，副高级职称90人，具有博士学位3人，在职攻读博士学位6人，硕士学位266人，“双师型”教师166人，获批省博士工作站1个，先后获得“千百十工程”校级培养对象7人，市技能大师工作室大师1人，市优秀专家和拔尖人才7人，市宣传思想文化人才3人；入选省“特支计划”青年文化英才项目1人；省专业领军人才1人、省“扬帆计划”培养高层次人才1人，均为当批次粤东地区高职院校唯一人选。/学校2007年通过教育部人才培养工作水平评估，现有国家级生产性实训基地1个，省级重点专业1个，省级品牌专业立项建设2个，省级专业群立项建设1个；省级现代学徒制试点专业立项建设2个；入选国家“十四五”职业教育规划教材1项；省级精品课程4门，省级优质课程1门，省级微课3门；省级教学团队1个；省级教学成果奖1个；省级实训基地7个，省级大学生校外实践教学基地4个；省级质量工程立项37个，省级产教融合创新科研平台立项1个，市级高技能人才培训示范基地1个，市级工程技术研究（开发）中心2个，校内实验（训）室85个，校外实训基地159个，产学研合作企业55个，合作办学单位15个。学生获得国家级职业技能大赛奖项14个，省级职业技能大赛奖项186个；省级大学生创新创业训练计划项目24项。/学校先后获得“全国教育网络示范单位”“国家节约型公共机构示范单位”“广东省先进基层党组织”“广东省文明单位”“广东省高校治安综合治理优秀学校”“广东省社会科学普及先进示范基地”“广东省诚信文化教育共建单位”“大学生征兵工作先进单位”“中国电商讲师大赛优秀组织奖”“第九届蓝桥杯全国软件和信息技术专业人才大赛全国总决赛优秀组织单位奖”“广东省国防教育工作先进单位”“广东省委理论宣讲先进集体”“先进高校武装部”和“广东省绿色学校”等荣誉称号。学校的古琴艺术项目被列为揭阳市第七批市级非物质文化遗产代表性项目名录。/学校坚持走内涵发展道路，落实立德树人根本任务，坚持因时而变与顺势而为相统一，坚持目标导向与问题导向相统一，坚持内涵发展与外延拓展相统一，坚持争创优势与补齐短板相统一，以体制机制创新为引领，以省级一流高职院校建设和“创新强校工程”建设为抓手，聚焦精准对接、精准育人，深化产教融合、校企合作，突出抓重点、补短板、强弱项，凝心聚力、砥砺前行，全力推动学校高质量发展，着力培养德智体美劳全面发展的时代新人，为建设高水平有特色高职学院而不懈奋斗！</t>
  </si>
  <si>
    <t>http://www.jyc.edu.cn/</t>
  </si>
  <si>
    <t>http://zs.jyc.edu.cn/</t>
  </si>
  <si>
    <t>0663/8859905</t>
  </si>
  <si>
    <t>广东省揭阳市榕城区仙桥紫峰山下</t>
  </si>
  <si>
    <t>https://www.720yun.com/t/a13jvsmnvu9</t>
  </si>
  <si>
    <t>https://baike.baidu.com/item/%E6%8F%AD%E9%98%B3%E8%81%8C%E4%B8%9A%E6%8A%80%E6%9C%AF%E5%AD%A6%E9%99%A2</t>
  </si>
  <si>
    <t>https://gaokao.chsi.com.cn/zsgs/zhangcheng/listZszc//schId/1428.dhtml</t>
  </si>
  <si>
    <t>阳江职业技术学院</t>
  </si>
  <si>
    <t>阳江市</t>
  </si>
  <si>
    <t>阳江职业技术学院是经广东省人民政府批准设立，国家教育部备案，阳江市人民政府举办的综合性普通高等学校。我院以“崇德远志，精艺博才”为校训，按照“立足地方，以区域发展需要的专业为主体；培养可持续发展的高技能实操型人才；建设为区域发展做出重要贡献的高等职业院校”的办学定位，办优师范、办强工科，突出优势，凝聚特色，注重实践能力的培养和人文素质的教育。培养人民满意、社会需要、具有持续竞争力的高素质技术技能人才。//////学院校园占地面积50多万平方米，教学仪器设备总值超亿元，学院总资产4亿多元。现有中文系、外语系、数学系、财经系、机电系、信息工程系、食品与环境工程系、艺术与设计系、旅游管理系、体育系、思政教学部和继续教育部等10系2部，开设专业39个，全日制在校生11167人，教职员工632人，专任教师484人，高级职称116人，双师型教师243/人。//////目前，学院共有2个省级重点专业，12个校级重点专业。形成了海洋工程、先进制造技术、蓝色旅游、师范教育等四大特色专业群。我院积极开展产学结合，工学结合，校企合作的人才培养模式，已建立校内实验实训场室118个，校外实习实训基地225个。学院与企业合作建成的先进制造业实训基地，是华南地区最先进的模具生产性实训基地，被评为省级生产性示范基地；学院投资近2000万元建成的阳江市粤德合作职业教育与培训中心，率先在全国职业教育中践行“双元制”园区化的人才培养模式；我院利用师范教育教学优势，与企业合作建成的阳江职业技术学院附属学校、附属阳东学校及直属学院的附属实验学校共有学位近8000个，已成为阳江基础教育优质学校和学院师范教育专业重要实习基地。//////学院教学改革、科研创新能力不断提升。学院教学、科研创新能力不断提升，近年获得市厅级以上科研技术奖励3项，省工程技术中心、市重点实验室各立项1个，专利授权46件，省级科研立项40多项，发表核心论文及SCI收录论文20多篇，主编专著、教材50多本。学生多次在国家、省职业技术大赛中获奖。2019年毕业生初次就业率是97.15%。//////学院是广东省第一批非物质文化遗产研究基地、中华文化传承基地、广东省中小企业培训示范基地、广东省社会科学普及先进示范基地、广东省环境教育基地、广东省中小学知识产权教育试点学校、阳江市人才工作示范点、阳江市青年就业转移培训中心、阳江市教师校长培训中心、阳江市扶贫就业技能培训中心。我院还设立了8个国家级行业职业技能考试站和培训点。</t>
  </si>
  <si>
    <t>阳江职业技术学院历史可追溯到1916年创办的阳江县立师范学校，后发展为阳江师范学校；2001年，阳江师范学校和阳江市教师进修学校、阳江市成人中等专业技术学校、阳江市中等专业技术学校合并，升格为阳江职业技术学院。</t>
  </si>
  <si>
    <t>http://www.cnyjpt.cn/</t>
  </si>
  <si>
    <t>http://www.yjpt.edu.cn/zsb/index.html</t>
  </si>
  <si>
    <t>0662/3362800</t>
  </si>
  <si>
    <t>广东省阳江市江城区东山路213号</t>
  </si>
  <si>
    <t>https://baike.baidu.com/item/%E9%98%B3%E6%B1%9F%E8%81%8C%E4%B8%9A%E6%8A%80%E6%9C%AF%E5%AD%A6%E9%99%A2</t>
  </si>
  <si>
    <t>https://gaokao.chsi.com.cn/zsgs/zhangcheng/listZszc//schId/1252.dhtml</t>
  </si>
  <si>
    <t>汕头职业技术学院</t>
  </si>
  <si>
    <t>汕头市</t>
  </si>
  <si>
    <t>汕头职业技术学院是市属全日制综合性大专院校，成立于2002年3月，现有院本部、金园校区、新津校区和东墩校区四个校区，占地面积1011.44亩（含450亩在征）。建筑面积26.1万平方米。2019年6月全日制在校生10795人，其中大专学生9932人，中职学生863人；另有成人学历大专生1500人。1.办学历史悠久。学院由原汕头教育学院等6所学校合并而成，办学历史可以追溯至上个世纪粤东行政区、汕头专区和汕头地区所办的几所名校，其中汕头市幼儿师范学校创建于1956年、汕头市教师进修学校创建于1960年、汕头商业学校创建于1964年、汕头供销学校创建于1976年、汕头机电学校创建于1976年、广东省汕头教育学院创建于1982年，在如今的惠州市、梅州市、潮州市、揭阳市、汕尾市、汕头市有一定的影响力。2.专业门类齐全。学院集文、理、工、经管和师范数育为一体，设计算机系、机电工程系、经济管理系、外语系、艺术体育系、人文社科系、自然科学系、学前教育系8个系52个大专专业（含方向）和若干个中职类专业。3.师资力量较强。学院编制802人，现有在编教职工741人，其中专任教师493人，有320名教师具有博士及硕士学位，有25％的教师具有高级专业技术职称，有超过60%的教师具有双师素质资格。学院同时还聘请一大批实践经验丰富的专家、高中级工程师作为兼职教师。4.招生就业良好。2019年在广东、广西、西藏、云南、山西、新疆、安徽等省招生，计划招生6000人。已通过各种形式录取3883人。普通高考拟招生1965人（省外225人）。建校17年来毕业学生6万多人，近三年毕业生就业率均达97%以上，用户满意度超过97%。5.服务汕头到位。学院全日制专业设置与汕头市优势产业对接，广泛开展校企合作，在汕头市建立校外实训基地123个。近三年汕头籍毕业生有超过三分之二留在汕头工作，每年约600人；非汕头籍毕业生留在汕头工作，每年约300人；共约900人，比汕头生源学生数多。</t>
  </si>
  <si>
    <t>1956年汕头商业干部学校创办，1999年4月更名为为汕头商业供销学校；1956年汕头市工农师范学校创办，1981年复办汕头市幼儿师范学校；1960年9月汕头市教师进修学院创办，1983年调整为汕头市教师进修学校；50年代初期粤东合作干校创办，1999年7月与汕头商业学校合并更名为汕头商业供销学校；1982年4月汕头地区教师进修学院创办，1983年4月改名为广东省汕头教育学院；2002年3月原广东省汕头教育学院、汕头商业学校、汕头机电学校基础上合并成立汕头职业技术学院；2005年5月汕头市幼儿师范学校、汕头供销学校和汕头市教师进修学校并入学院。</t>
  </si>
  <si>
    <t>http://www.stpt.edu.cn/</t>
  </si>
  <si>
    <t>http://zs.stpt.edu.cn</t>
  </si>
  <si>
    <t>0754/88630402</t>
  </si>
  <si>
    <t>院本部：汕头市濠江区东湖,金园校区：汕头市金平区金园路23号</t>
  </si>
  <si>
    <t>https://www.720yun.com/t/1fd2fxr8utr</t>
  </si>
  <si>
    <t>https://baike.baidu.com/item/%E6%B1%95%E5%A4%B4%E8%81%8C%E4%B8%9A%E6%8A%80%E6%9C%AF%E5%AD%A6%E9%99%A2</t>
  </si>
  <si>
    <t>https://gaokao.chsi.com.cn/zsgs/zhangcheng/listZszc//schId/1426.dhtml</t>
  </si>
  <si>
    <t>湛江幼儿师范专科学校</t>
  </si>
  <si>
    <t>湛江市</t>
  </si>
  <si>
    <t>湛江幼儿师范专科学校源承于1925年成立的廉江县立师范学校，2016年经广东省人民政府批准，教育部备案，与具有30多年大专办学历史的广东省湛江教育学院整合设立湛江幼儿师范专科学校。湛江幼儿师范专科学校作为广东省第一批幼儿师范专科学校，与岭南师范学院基础教育学院实行一校两牌办学。学校在近百年的办学实践中，坚持以培养、培训优秀的幼儿园、中小学教师为主要目标。学校作为广东省幼儿园园长、幼儿园教师省级培训基地，广东省创建国家教师教育创新实验区共建单位，广东省语言文字规范化示范校，广东省学前教育职业教育集团副理事长单位，湛江市幼教协会（幼教联盟）发起单位，曾荣获广东省文明单位、广东省普教系统先进集体、广东省“三八红旗集体”、巾帼文明岗、中小学继续教育先进单位、湛江市文明单位标兵、博鳌亚洲论坛年会志愿者战略合作单位等称号。学校现有麻章主校区、赤坎校区、遂溪校区及廉江校区四个校区。其中主校区位于文化氛围浓郁、知名高校云集的的湛江教育城，建成区占地面积498.69亩，另有预留土地近500亩，教学仪器设备总值3060万，固定资产总值53916万元，馆藏纸质图书50.24万册，建有专业实训室及专用教室108间。学校拥有一支学术水平高、教学经验丰富、爱岗敬业的教师队伍，现有专任教师442名，其中副高级及以上专业技术职务人数65名，具有硕博士学历学位教师191名，其中海归教师15名。学校秉承深厚历史积淀，强化优势专业，做精师范专业，发展新兴专业，做强特色专业。现开设学前教育、语文教育、数学教育、英语教育、音乐教育、美术教育、体育教育、艺术教育、历史教育、现代教育技术、思想政治教育、科学教育、商务英语、应用电子技术、数字媒体应用技术、物流管理、旅游管理、酒店管理、烹调工艺与营养、应用英语、文秘、社会体育、社会工作等25个大专层次专业，面向全国12个省区招生；同时招收五年一贯制、三二分段及普通三年制中专层次学前教育专业，目前全日制在校生10326人。另有学前教育、语文教育、英语教育等三个成人函授大专专业，在读生454人。2019年，学校全面参与高职扩招计划，20个校外合作办学点，扩招总人数为2529人，全省排名前列。学校坚持师范办学特色，加强与幼儿园、中小学的合作互动关系，拥有2所附属幼儿园，湛江市第一幼儿园、廉江市第一幼儿园、御唐府、喜来登酒店等100多个教育实习基地和专业实习基地。烹调工艺与营养专业的学生连续7年受邀到博鳌论坛“为元首做菜”。学校坚持教、学、研结合，为师生提供成长平台。2018年，学校承办了“动力系统”年会。2019年，在“创新强校”考核中，学校在全省高职院校排名第33名，2019届毕业生教师资格证过关率为70%。学校每年平均有400多名学生升入本科高校深造，毕业生就业率近几年都在98%以上。学校教书育人成果显著，教师获全国优秀教师、南粤优秀教师、曾宪梓基金奖、市级“五一”劳动奖章等国家级、省级、市级奖励170人次。其中5人被聘为湛江市人才驿站高层次专家。2019年，学校在“全国大学生数学建模竞赛”中，荣获国家二等奖1项、省一等奖1项、二等奖1项、三等奖3项，优秀奖5项；“挑战杯”广东大学生课外学术科技作品竞赛获特等奖1项，二等奖1项，三等奖7项。近三年来，学校先后承担141项各级各类科研课题，人文社科类科研项目立项数量全省第6名，在各类学术刊物发表论文400多篇，主编出版著作、教材35部。学校将逐步推进与英国、美国、澳大利亚、加拿大、日本、韩国、泰国、印尼、俄罗斯等国政府及教育机构的教育交流与合作。学校坚持立德树人的社会主义办学方针，秉承“笃学、笃行、致真、致远”的校训精神，紧紧抓住国家大力发展学前教育和创新驱动发展战略、产教融合战略等机遇，立足湛江、面向广东、服务全国，努力建成全省领先、环北部湾地区一流、全国具有较大影响力、特色鲜明的高水平师范院校。</t>
  </si>
  <si>
    <t>http://www.zhjpec.com/</t>
  </si>
  <si>
    <t>http://221.4.246.188:8080/1/xsyzsjyc/channels/738.html</t>
  </si>
  <si>
    <t>0759/6606023；0759/3610638；0759/7600813</t>
  </si>
  <si>
    <t>校本部：广东省湛江市麻章区雷湖快线湛江教育基地南环路1号,廉江校区：广东省湛江市廉江市黄村街17号</t>
  </si>
  <si>
    <t>https://baike.baidu.com/item/%E6%B9%9B%E6%B1%9F%E5%B9%BC%E5%84%BF%E5%B8%88%E8%8C%83%E4%B8%93%E7%A7%91%E5%AD%A6%E6%A0%A1</t>
  </si>
  <si>
    <t>https://gaokao.chsi.com.cn/zsgs/zhangcheng/listZszc//schId/1670656456.dhtml</t>
  </si>
  <si>
    <t>广东汕头幼儿师范高等专科学校</t>
  </si>
  <si>
    <t>广东汕头幼儿师范高等专科学校（Shantou/Preschool/Education/College/in/Guangdong），简称“汕头幼高专”，地处广东省汕头市濠江区东湖教育园区，是粤东唯一一所幼儿师范大专院校，广东省幼儿园园长培训省级基地，广东省幼儿教师培训省级基地，广东省基础教育学科教研基地、国家现代学徒制试点单位。/学校历史可追溯至创建于1956年的广东汕头市幼儿师范学校和创建于1982年的汕头教育学院；2002年两所学校整体并入汕头职业技术学院，设置为师范类专业；2019年，汕头职业技术学院的学前教育和其他师范专业独立出来，改制为广东汕头幼儿师范高等专科学校。2021年1月，经广东省高等学校设置评议委员会专家考察和评议，设立广东汕头幼儿师范高等专科学校。5月，获批设置实施专科教育高等学校备案。10月15日，广东汕头幼儿师范高等专科学校正式启用。2022年5月31日上午，广东汕头幼儿师范高等专科学校附属幼儿园揭牌。/截至2025年2月，学校总占地面积500亩；设有6个教学单位，开设13个高职专业。在编在岗教师人数356人；校图书馆有馆藏图书22万册以上，电子图书16万册以上。</t>
  </si>
  <si>
    <t>https://www.gdstpec.edu.cn/</t>
  </si>
  <si>
    <t>https://www.gdstpec.edu.cn/zsw/</t>
  </si>
  <si>
    <t>0754/88214757</t>
  </si>
  <si>
    <t>广东汕头市濠江区北山湾路28号</t>
  </si>
  <si>
    <t>https://baike.baidu.com/item/%E5%B9%BF%E4%B8%9C%E6%B1%95%E5%A4%B4%E5%B9%BC%E5%84%BF%E5%B8%88%E8%8C%83%E9%AB%98%E7%AD%89%E4%B8%93%E7%A7%91%E5%AD%A6%E6%A0%A1</t>
  </si>
  <si>
    <t>https://gaokao.chsi.com.cn/zsgs/zhangcheng/listZszc//schId/3156251655.dhtml</t>
  </si>
  <si>
    <t>广东茂名幼儿师范专科学校</t>
  </si>
  <si>
    <t>广东茂名幼儿师范专科学校位于祖国南海之滨、中国魅力城市——茂名。茂名是国家“一带一路”战略中“一带”的重要城市，地处粤港澳大湾区、北部湾经济区、海南自由贸易试验区三大经济圈的交汇处，地理位置优越，交通方便，风景优美、气候宜人。学校是广东省人民政府批准、教育部备案的全日制公办普通高等专科院校，是广东省第一批幼教师范高等院校。///学校建校基础是广东石油化工学院高州师范学院，始建于1930年，时为茂名县立乡村师范学校；1949年与广东省立高州女子师范学校合并为广东省立高州师范学校；1970年更名为湛江地区师范学校；1973年更名为广东省湛江地区高州师范学校；1980年复办中师，更名为广东高州师范学校，是全省18所重点中师之一；1991年，学校被定为中国—联合国儿童基金合作加强师资培训项目单位；1993年，学校试办“三二分段”大专班，成为全国36所试办大专的中师之一；2001年，作为二级学院并入茂名学院，更名为茂名学院高州师范分院，全面实行大专办学；2010年更名为广东石油化工学院高州师范学院。2016年2月，广东省人民政府批复同意以广东石油化工学院高州师范学院为基础设立广东茂名幼儿师范专科学校；同年4月，学校在教育部备案。///学校具有光荣的革命传统。1943年，中国共产党党员李嘉在学校建立了第一个党支部，任支部书记；次年任茂名妇女工作组长；后参加烧酒起义和南路特委组织的武装起义，英勇就义，年仅28岁。在抗日战争和解放战争期间，学校师生中的中共地下党员与游击小组成员100多人积极投身革命运动，为我国的革命事业作出了积极贡献，被誉为“粤西革命熔炉”。///学校具有优秀的文化传统。89年来，学校始终秉承“一切为了两代师表的终身发展”的办学理念，恪守“学高为师，身正为范”的校训，孕育出“爱、实、严、勤”的优良校风，形成了“润物有声，化育无形”的教风和“博学、敏思、慎取、致新”的学风，被誉为“岭南育师摇篮”。///学校办学特色鲜明。一是师范特色鲜明。89年来，学校始终以师范教育作为立校之本。二是专业特色鲜明。特别是学前教育专业，从1946年开办幼师班，经过70多年的积淀，已形成完整的培养体系，成为学校最具优势的品牌专业；音乐、美术专业享誉粤西；其他专业同样具有很强的竞争力。三是人才培养特色鲜明。学校培养的学生具有“优秀的品行习惯、扎实的基础知识、强劲的发展潜能”，深受用人单位好评。///学校办学条件优越。学校实现了校园环境园林化、学生宿舍公寓化、校园网络数字化、设施设备现代化。学校现有茂名和高州两个校区。校园占地面积1200多亩；建筑面积40多万平方米。学校教学科研仪器设备总值5000多万元，建有完善的计算机网络服务体系。拥有成熟的数字化图书管理系统，有纸质图书40多万册。学校现有专任教师400多人，教授、副教授80多人；硕士、博士学位教师150多人。///学校办学成绩显著。学校是全国“艺术教育特色单位”“中国教育学会十一五重点课题实验基地学校”“广东省中小学教师继续教育基地”“广东省‘书香岭南’全民阅读示范单位”“广东省民族团结进步创建工作先进单位”“广东省高等教育自学考试先进单位”。近3年，师生在全省全国的比赛和活动中获奖1000多人次。如：数学建模竞赛多次获全国一等奖、跳绳比赛多次获全国一等奖、广东省书法绘画大赛书法类一等奖、中央电视台星光大道比赛荣获周亚军、“百歌颂中华”合唱比赛广东省金奖、广东省传统武术项目锦标赛一等奖、第十三届广东大中专学生校园文体艺术节之舞蹈大赛金奖、广东省第三届大学生器乐大赛荣获一等奖、广东省第四届高校（高职）教学大赛一等奖、第三届广东省学校国旗护卫队交流展示活动团体一等奖、高校网络信息安全管理运维挑战赛华南赛区第四名。///近年来，学校毕业生“专插本”考试上线人数每年均超过230人；获得自考本科文凭的学生每年均超过250人；毕业生就业率达99%以上。截至目前，学校培养了10万多名各级各类优秀人才，为全省全国的教育事业和经济社会发展做出了重要贡献。///学校现有全日制在校学生11000多人。组建了若干个符合社会需求的专业群，形成了以学前教育为龙头、艺术教育为特色、其他专业为支撑的专业发展格局。///如今，学校以习近平新时代中国特色社会主义思想为指导，在党的十九大和习总书记系列重要讲话精神鼓舞下，抢抓机遇，深化改革，协同创新，锐意进取，向着“一流的高等师范院校”的远大目标奋力前行。</t>
  </si>
  <si>
    <t>http://www.gdgzsf.cn/</t>
  </si>
  <si>
    <t>https://zs.gdpnc.edu.cn/</t>
  </si>
  <si>
    <t>茂名校区：广东省茂名市西城西路6号,高州校区：广东省高州市高师路1号</t>
  </si>
  <si>
    <t>https://www.720yun.com/t/af324apgqlw</t>
  </si>
  <si>
    <t>https://baike.baidu.com/item/%E5%B9%BF%E4%B8%9C%E8%8C%82%E5%90%8D%E5%B9%BC%E5%84%BF%E5%B8%88%E8%8C%83%E4%B8%93%E7%A7%91%E5%AD%A6%E6%A0%A1</t>
  </si>
  <si>
    <t>https://gaokao.chsi.com.cn/zsgs/zhangcheng/listZszc//schId/1670656131.dhtml</t>
  </si>
  <si>
    <t>广州科技职业技术大学</t>
  </si>
  <si>
    <t>广东省教育厅</t>
  </si>
  <si>
    <t>民办</t>
  </si>
  <si>
    <t>广州科技职业技术大学前身是1999年创办的广东南大专修学院，2002年与广州医学院合作举办广州医学院南大学院，2004年经广东省人民政府批准成为广州科技职业技术学院，2018年升格为本科层次职业学校，2019年经教育部批准，更名为“广州科技职业技术大学”。////学校实行一校两区的发展布局，现有广州和滨海两个校区。广州校区位于白云区钟落潭高校园区内，滨海校区位于茂名市教育基地“智慧城”高地片区。学校占地面积1607亩。现有全日制在校生18000多人，教学科研仪器设备总值1.17亿元。图书馆馆藏纸质图书145万册。////学校现有专任教师1035人，副高级以上专业技术职称教师376人，其中正高级91人，具有硕士学位以上的教师603人，“双师型”专任教师414人，来自行业、企业的兼职教师259人。学校软硬件建设已为培养职业本科人才打下了坚实的基础。////学校开展职业本科教育试点，大力推进产教融合、校企合作，稳步拓展国际教育，形成多层次、多形式的人才培养体系。学校设有8个二级学院，建立起以工为主，经、管、文、艺多学科协调发展的专业体系，开设本科专业10个,专科专业44个。广东省品牌专业1个，省级重点专业2个，省级教学团队2个，优秀教学团队1个，省级精品资源共享课1门，广东省高技能人才培训基地1个。广东省博士后创新实践基地1个。学校实施“1+X”职业技能等级证书制度，加强职业驱动培养，课程设置面向高端制造业、高端服务业。学校先后与海尔集团、美的集团、碧桂园集团等大型企业签订合作协议，共建校外实习就业实训基地416个，建有校内实验实训室162间，拥有印刷技术等4家省级实训基地，香江酒店校外等4家省级校外实践教育基地。2019年学校获广东省教学成果一等奖一项，二等奖一项。////学校以“快乐体育、时尚体育、交际体育、终身体育”的理念进行体育教学改革，以俱乐部教学模式代替传统教学模式，设有15个体育俱乐部，改革后，成果丰硕，多个项目在国家和省级比项，赛中获得冠军。2017年12月，我校还走出了个世界冠军，应届毕业生梁超军在国际箭联室内射箭世界杯曼谷赛上，获得光弓男子个人18米冠军。////学校坚持“人才、专业、科研、创新”四位一体协同创新思路，先后成立了新能源新材料研究所、机器人应用技术研究所、机电工程研究所、新能源汽车研究所、数码印刷研究所和院士工作站等科研机构。近年来，学校获校外课题及项目93项，经费总额1772万元，获专利授权达238件，其中发明专利30件，跻身全国500强。教师发表论文1267篇，其中核心期刊183篇、被SCI等四大索引收录120篇；出版著作和教材99部。获市级科学技术奖3项，2017年获得广东省科学技术三等奖。////经过长期办学实践，学校形成了“产学研用融合、教学做一体化、以研究促创新、以创新带动创业”的办学特色。依托印刷技术专业创办广州广科彩色印务有限公司等经济实体4家。学校按照“开一个专业，办一个实体，搭一个平台，孵化一批公司”的思路，孵化出学生创办的公司79个，覆盖了学校开设的全部专业。广科创谷被评定为广州市创业（孵化）示范基地和国家众创空间。2017、2018年连续两年被评为广东省A级众创空间。学校积极探索“双主体”育人模式,学校与喜来登、香江集团、碧桂园等企业进行校企合作，开展“订单班”人才培养，实行双主体合作办学。酒店管理专业产学研实践案例入选教育部“2012/2014年中国高校产学研十大优秀案例”，并获得中国产学研合作创新与促进奖。////学校全面贯彻党的教育方针，立德树人，全员育人。思政课建设被评为全省优秀，近三年先后获得教育部人文社科基金项目3项，经费70万元。校园文化丰富多彩，定期开设“名家讲坛”、每年举行技能文化节、读书文化节等活动。学校与美国、俄罗斯、印度等国驻广州领事馆合作举办“国际文化系列活动”，搭建多元文化交流平台，拓宽学生的国际视野，提高学生参与国际竞争与合作的能力。建校至今培养近4万名毕业生，学生就业率居全省前列。////学校于2010年通过了省人才培养水平评估，2011年在广东省思想政治理论课建设评估并获得优秀等级。2014年，被中国职业技术教育学会授予最具特色民办高职院校称号，2012年/2015连续四年荣获广东省高等教育院校（民办）竞争力10强单位。2019年获得纪念中国民办教育辉煌40周年广东当代民办学校突出贡献奖。////学校的建设发展得到了党和政府各级领导的亲切关怀与支持。中共中央政治局委员、国务院副总理、时任广东省委书记胡春华,时任广东省副省长陈云贤,时任广州市市长陈建华、全国人大常委会委员、中国民办教育协会会长王佐书、广东省教育厅厅长景李虎等先后到学校调研指导，学校办学效果得到社会认可。////二十载峥嵘岁月，二十载风雨历程，学校不忘初心，牢记使命，以习近平新时代中国特色社会主义思想铸魂育人，深入学习贯彻全国教育大会精神，落实《国家职业教育改革实施方案》要求，培养适应广东经济社会发展，服务粤港澳大湾区建设，具有社会责任感、创新创业能力、职业精神、工匠精神的高素质高层次技术技能型人才。</t>
  </si>
  <si>
    <t>https://www.gkd.edu.cn/</t>
  </si>
  <si>
    <t>https://zs.gkd.edu.cn/</t>
  </si>
  <si>
    <t>020/87410368、87410318、87410268、87410218</t>
  </si>
  <si>
    <t>校本部：广州市白云区广从九路1038号,茂名滨海校区:广东省茂名市电白区高地智慧城慧城三街8号大院</t>
  </si>
  <si>
    <t>https://www.720yun.com/t/1d7j55yvty4</t>
  </si>
  <si>
    <t>https://baike.baidu.com/item/%E5%B9%BF%E5%B7%9E%E7%A7%91%E6%8A%80%E8%81%8C%E4%B8%9A%E6%8A%80%E6%9C%AF%E5%A4%A7%E5%AD%A6</t>
  </si>
  <si>
    <t>https://gaokao.chsi.com.cn/zsgs/zhangcheng/listZszc//schId/1956.dhtml</t>
  </si>
  <si>
    <t>私立华联学院</t>
  </si>
  <si>
    <t>私立华联学院创立于1990年，是由华南理工大学、华南师范大学、暨南大学、广东技术师范学院（原广东民族学院）等广州地区部分普通高校离退休教授联合创办。1994年经广东省政府批准、教育部备案，成为全国第一批，广东第一家具有学历教育招生资格的民办普通高等专科学校，同年参加全国高考统一招生。学院在招生资格、贫困学生助学贷款，优秀学生获国家奖学金以及学历等方面，与公办普通高等校享有同等待遇。毕业生的学历文凭由广东省教育厅监制，统一编号，并实行电子注册。//学院座落在广州市天河区，在原校园建设的基础上，学院新建了教学大楼、食堂、标准400M塑胶田径场及16个各种球类场地，并在全部学生公寓安装了新空调，学院的面貌焕然一新，大学三年都在广州市区就读。//学院现有在校学生近8000人，设有12个系，42个专业，并设有专事成人高等学历教育继续教育学院，学院与华南师范大学、华南农业大学，广东外贸外语大学等高校合办相沟通自考本科学历教育，目前灵读该在本科学历生4100人。2014年12月17日，我院经广东省人力资源和社会保障厅批准成立了广东省私立华联职业培训学院，现已为校内校外3910人次提供各种培训并取得合格技能证书。2009年，经广东省教育厅批准，学院取得了招收外国留学生的资格。//近年来，我院在教育教学综合改革中不断推出新举措，按照创新应用型人才的知识结构设置课程。从2016级新生开始，我院将率先打破高校公共外语只开设英语单一语种的传统做法，改革为公共外语同时开设英语、日语、韩语、俄语、法语等多语种教学班，让学生根据自己的兴趣和需求自由选读。//学院2003年入选《中国教育报》组织评选的“中国名校600家”，2003年被广东省十佳民办学校评选活动组委会评为“广东省首届十佳民办高校”,2005年荣获陈香梅教科文奖办公室、中国成人教育协会授予的“中国民办教育创新与发展贡献奖”，2006年荣获广东省高等学校毕业生就业指导中心、广东省企业联合会等单位授予的“广东省民办高校就业竞争力十强”学校；2008年荣获中国关心下一代工作委员会教育发展中心授予的“全国关心成长模范学校”；2010年荣获南方报业集团授予“2010年度广东最具就业竞争力民办学院”。</t>
  </si>
  <si>
    <t xml:space="preserve">1990年，华南师范大学等一批离退休教授联合创办了华联实用外语科技职业学校。  1994年，学校经广东省政府批准、教育部备案，成为一家具有学历教育招生资格的民办普通高等专科学校，同年，参加全国高考统一招生。 2005年，学校获得“中国民办教育创新和发展贡献奖”；2008年，被评为全国“关心下一代成长模范学校”；2009年，被评为“全国德育管理先进学校”； 同年，经广东省教育厅批准，学校取得了招收外国留学生的资格。2014年12月，学院成立了广东省私立华联职业培训学院。 2022年，学院与广州商学院经教育厅批准，共同开展三二分段专本协同育人试点工作。 2022年，学校获得“2020—2021年度广州市无偿献血和临床用血先进单位”。 </t>
  </si>
  <si>
    <t>http://www.hlu.edu.cn/hlu2015/index2015.aspx</t>
  </si>
  <si>
    <t>http://zsb.hlu.edu.cn</t>
  </si>
  <si>
    <t>020/82373721</t>
  </si>
  <si>
    <t>广东省广州市天河区东圃小新塘合景路99号</t>
  </si>
  <si>
    <t>https://www.720yun.com/t/0ce26mrfjnf</t>
  </si>
  <si>
    <t>https://baike.baidu.com/item/%E7%A7%81%E7%AB%8B%E5%8D%8E%E8%81%94%E5%AD%A6%E9%99%A2</t>
  </si>
  <si>
    <t>https://gaokao.chsi.com.cn/zsgs/zhangcheng/listZszc//schId/738.dhtml</t>
  </si>
  <si>
    <t>广州康大职业技术学院</t>
  </si>
  <si>
    <t>广州康大职业技术学院是2003年经广东省人民政府批准、国家教育部备案、广东省教育厅直接管理、具有独立颁发学历证书资格的全日制综合性普通高校。学院位于广州开发区北部、建设中的中新广州知识城南起步区内，是广州市黄埔区、广州开发区高职教育基地、中新广州知识城产业转型升级的人才培养基地。//学院立足区域实际，面向珠三角，服务地方经济，促进社会发展，校企协同创新与高端技能教育特色鲜明，形成了以高素质为基础、高技能为本位、高就业为导向的职业教育理念，开办15年来已为社会培养22000多名专业技术人才。//学院一贯坚持依法治校，规范办学，并取得了良好成效。在2010年12月通过教育部高职高专院校人才培养工作评估后，又相继在2011年广东省高校思想政治理论课建设评估、2012年广东省教育厅心理健康教育与咨询工作督导检查、2014年广东省高校毕业生就业工作督查及2014年广东省高等学校平安校园创建工作评估中均获优秀。//学院坚持以生为本，尤其注重学生专业技能和综合素质的提高。多年来，学院与企业合作成立了10余个技术研发与服务机构及校内生产性实训室和工作室，与包括全球知名企业在内的170多家企业建立了校外实习基地，在实际岗位上切实锤炼学生的专业技能；同时，学院开展、参加各种学科竞赛和各类文体活动，形成了良好的校园文化环境，历年来学生参加省部级以上文体、专业技能大赛350余项，获奖1150余人次。2012年，广东省教育厅委托麦可思公司对广东省40所高职院校人才培养质量进行了跟踪调查，学院学生“毕业时掌握的基本工作能力”与“核心知识能力”两项在全省高职院校中分别位列第2名和第9名，在“毕业生对母校的满意度与对就业现状的满意度”调查中名列前茅。//学院取得不俗成绩的同时，学院董事会积极思考学院的未来发展路径，立足地方经济及产业结构，积极探索新的专业设置方向和人才培养模式。随着经济社会发展与人民生活水平的普遍提高，以及老龄社会的到来，护理等医疗健康产业的专业人员已成为国家紧缺人才，从国家到地方，都将护理教育提到优先、鼓励发展的地位。因此，根据国家产教结合的政策要求，学院于2018年引入合作方/远东宏信有限公司，开办了护理专业。远东宏信旗下的医疗集团，致力于中国医疗健康产业的长远发展，现已在全国布局超过50家医疗机构，处于中国社会资本办医的“第一阵营”，集团医院遍布东北、华北、华东、华中、西南、华南等地。其中广东省共有6家综合医疗机构，分别位于深圳市、惠州市、梅州市、东莞市、四会市。目前集团医院可开放床位已超过16000余张，并规划在5年内达到50000张，成为亚洲规模最大、影响力最强的医疗产业运营集团。集团还不断扩展医疗健康产业的生态圈，积极展开康复医院、护理院、养老机构在中国一、二线城市及国外的投资布局，并与瑞士最大的酒店管理教育集团建立了投资合作关系。为培养“技术过硬、知识广博、情趣高雅”具有国际化视野的专业护理人才，远东宏信医疗集团将会汇聚全球最好的教育资源、搭建最广阔的就业发展平台，为学校的长足发展提供强有力的保障和支持。//依托远东宏信医疗健康集团深厚的医疗行业背景和丰富的医疗（教学与实习）资源，加上学院十多年来深耕民办教育行业所积累的成熟经验，我们有信心立足行业、超越传统、独树一帜，逐步将学院打造成为国内外知名的一流综合性医学院校，为国家和民族的生命健康事业培育更多的高素质精英医学人才。</t>
  </si>
  <si>
    <t>1997年12月，华南师范大学增城康大学院奠基；1999年9月，华南师范大学增城康大学院招收首批大学生；2004年，华南师范大学增城康大学院改为华南师范大学增城学院，成立广州康大职业技术学院； 2008年6月，学院成为广东省一所政企合办的普通高校； 2010年，学校被评为广东省“示范名校”。 12月，学院通过广东省高职院校人才培养工作评估。2018年，学院开办了护理专业。2019年，学院开设助产专业、康复治疗技术专业和医学检验技术专业，打造护理专业群。 2020年，学院护理专业群获批成为广东省第一批高职院校高水平专业群建设项目。2025年1月，学院被授权十个职业（工种）的技能等级评价资质。</t>
  </si>
  <si>
    <t>http://www.kdvtc/edu.cn/</t>
  </si>
  <si>
    <t>http://zsb.kdvtc/edu.cn</t>
  </si>
  <si>
    <t>020/82878969、82878293</t>
  </si>
  <si>
    <t>广东省广州市黄埔区九龙镇康大教育园</t>
  </si>
  <si>
    <t>https://www.720yun.com/t/163jtOtm5w5</t>
  </si>
  <si>
    <t>https://baike.baidu.com/item/%E5%B9%BF%E5%B7%9E%E5%BA%B7%E5%A4%A7%E8%81%8C%E4%B8%9A%E6%8A%80%E6%9C%AF%E5%AD%A6%E9%99%A2</t>
  </si>
  <si>
    <t>https://gaokao.chsi.com.cn/zsgs/zhangcheng/listZszc//schId/1107.dhtml</t>
  </si>
  <si>
    <t>广州城建职业学院</t>
  </si>
  <si>
    <t>民办/私立/高等专科学校</t>
  </si>
  <si>
    <t>广州城建职业学院是经广东省人民政府批准、国家教育部备案的全日制工科类普通民办高等职业院校。//////学校2012年以优异成绩通过了广东省高职院校人才培养工作评估，是教育部现代学徒制试点高校、教育部职业院校数字校园建设实验校、全国民办高校创新创业教育示范学校、广东省大学生创新创业教育示范校、广东省依法治校示范校、广东省节能型示范高校、广东省深化高校办学自主权综合改革试点单位、广东省教育厅自主招生试点院校、广东省高校毕业生就业工作先进集体、广东省内部质量保证体系诊断与改进省级试点院校，广东省唯一获批开展四年制应用型本科人才培养试点的民办高职院校，2019年荣获“广东省五一劳动奖状”。2019广州日报高职高专排行榜，排名全国专科院校第138位，民办院校第2位；2018年度高等职业教育“创新强校工程”考核，全省高职院校排名第20位，民办高职院校排名第1位；金苹果2019年中国高职高专院校综合竞争力排行榜，排名第262位，位居全国民办专科院校第4位。//////学校现有建筑工程、经济与管理、机电工程、信息工程、外语外贸、艺术与设计、人文、创业教育和继续教育9个二级学院，近50个招生专业，基本形成“土木建筑、经济管理、电子信息、艺术设计、现代服务、先进制造”等六大专业群格局，其中建筑工程技术、机电一体化技术、市场营销是国家级骨干专业，工程造价、国际经济与贸易是省级重点专业，财经商贸公共实训中心是国家生产性实训基地，建筑工程技术专业（群）“双师型”教师培养培训基地被认定为国家级双师基地，获批教育部开展建筑信息模型(BIM)“1+X”证书试点，学校被国家住房与城乡建设部选定为职业技能鉴定试点单位，成为广东省唯一一家试点单位。学校现有全日制在校生约19000人，有专兼职教师1000余人,教师队伍中有国家教学名师、享受国务院政府特殊津贴专家、全国劳动模范、全国优秀教育工作者、全国优秀教师、广东省教学名师和劳动模范，是广东省首个“珠江学者”设岗和任职的民办高职院校，聘请有高水平博士、教授担任“凤凰学者”。/////学校积极探索“产教融合、校企合作”的协同育人机制，与国际著名企业美国通用电气共建实验室，与希尔顿国际酒店集团共同培养酒店管理高级人才，加入了国家大数据百校计划、共建“广州城建/曙光大数据学院”；组建了以广州天马集团和广州市建筑集团为主导、行业协会为依托、名优企业为基础的广东城建职业教育集团；联合东方雨虹等上市名优企业共建集教学、培训、职业技能鉴定和技术服务为一体的现代建筑技术职业技能公共实训中心；与政府、行业、企业联合打造了广东城建职业教育集团建筑产业园。学校现有合作企业300余家，建有/288/个实验实训室，与企业共建校外实践教学基地/195/个，获央财、省财支持的高职实训基地（公共实训中心）7个，省级大学生校外实践教学基地10个，成立专业合作学院5个。学校参与的项目获得了国家教学成果二等奖、主持的项目获得了广东省教育教学成果一、二等奖，获国家授权专利428项。2011年以来学生获国家、省、市级技能竞赛奖项661项，其中，全国职业院校技能大赛二等奖2项，三等奖5项；大学生数学建模竞赛国赛一等奖1项、二等奖4项，省级以上奖项32项；中国“互联网+”大学生创新创业大赛广东省分赛获得金奖并成功晋级国赛；“挑战杯”获省级及以上奖项73项（其中特等奖2项），广东省职业院校技能大赛一、二、三等奖共计160项。//////“育才造士，为国之本”。广州城建职业学院将坚持以习近平新时代中国特色社会主义思想和党的十九大精神为指导，乘着国家职业教育改革的东风，秉承“以质量特色立校，以学生成才为本”的办学理念，以创新强校工程A类规划院校建设和申办职业本科教育发展的“两轮驱动”为抓手，全力推进“2235”工程，为创建全国高水平民办高职院校而努力开拓进取。</t>
  </si>
  <si>
    <t>学校历史可追溯到1960年3月设立的广州市业余建筑工程学院；1966年6月因“文化大革命”被迫停办；1973年复办并改名"七二一工人大学"；1980年更名广州市建筑工程局职工大学；1985年更名广州市建筑总公司职工大学；2000年7月设为广州大学的二级学院并更名“广州大学城建技术学院”；2003年12月改为独资建设的民办二级学院，更名“广州大学城建学院”；2007年4月转设为独立设置的普通高校，更名“广州城建职业学院”。</t>
  </si>
  <si>
    <t>http://www.gzccc.edu.cn/</t>
  </si>
  <si>
    <t>https://zs.gzccc.edu.cn/</t>
  </si>
  <si>
    <t>020/87975666</t>
  </si>
  <si>
    <t>广州市从化区环市东路166号</t>
  </si>
  <si>
    <t>https://www.720yun.com/t/70ajzOtaua6</t>
  </si>
  <si>
    <t>https://baike.baidu.com/item/%E5%B9%BF%E5%B7%9E%E5%9F%8E%E5%BB%BA%E8%81%8C%E4%B8%9A%E5%AD%A6%E9%99%A2</t>
  </si>
  <si>
    <t>https://gaokao.chsi.com.cn/zsgs/zhangcheng/listZszc//schId/5351706.dhtml</t>
  </si>
  <si>
    <t>广州华立科技职业学院</t>
  </si>
  <si>
    <t>广州华立科技职业学院是经广东省人民政府批准、国家教育部备案的全日制普通高职院校。学校始建于1999年6月，是一所全日制民办高等职业院校，至今已有20年办学历史。现有广州和云浮两个校区，广州校区坐落于全国投资潜力百强区、全国科技创新百强区的广州增城区，与著名的北汽集团华南基地隔路相望，交通便利、四通八达；云浮校区位于云浮高新技术开发区内，具有对接产业的天然优势。校园总占地面积938亩，教学仪器设备总值超过1.1亿元，馆藏纸质图书120万册。全日制在校生14000余人，设有电力与智能制造学院、计算机信息工程学院、城建学院、艺术与传媒学院、管理学院、国际经济与外语学院、会计学院、健康学院和马克思主义学院共9个二级学院，开设了涵盖工科、经管、文学、艺术、医学、教育等学科的32个专业。学校拥有一支规模适度、结构合理、素质优良、专兼职结合的师资队伍。专任教师中具有高级职称者达35%以上，具有博士、硕士研究生学历者占45%，双师型教师超过40%。聘请的行业资深专家、专业技术人员和知名学者深度参与专业建设和教学工作。学校实训室设备先进，建有新工科实验楼、大商科实验楼和公共基础实验楼，搭建了电气工程与自动化、机械设计制造及自动化、智能建造、大数据与智能计算、智慧物流等五大实验实训中心和大商科、数字媒体艺术两大公共实训中心。学校坚持秉承“厚德、务实、强能、创新”的校训，以立德树人为根本，以服务发展为宗旨，以就业创业为导向，以学生成才为目标，构建了以素质培养为基础,以能力培养为核心的人才培养模式，首创了“三必三选”的“PAMEAP核心素养提升课程体系”，以哲学、人工智能、管理、工程、艺术和体育六类课程教学改革为引领，推行学生第二课堂学分成绩单制度。学校主动对接战略新兴产业，打造了电力与工业自动化、建筑艺术与工程技术、信息技术、大商科和艺术设计与传媒等五个重点专业群，累计为社会各行业输送了4万余名高素质专业技能、技术人才。内涵建设初有成效，现有省级重点专业1个、省重点实训基地2个、省级精品课程2门、省级各类教学研究和改革项目78项。学校搭建了16个校内专业技能竞赛平台，每年举办专业技能节，近五年累计参赛学生超过12000人，学生参加省级以上技能竞赛获奖300多项，其中一等奖29项，二等奖83项。毕业生适应性强、动手能力强、综合素质高，近五年来学校平均就业率超过97%，一直稳居全省高校前列，用人单位满意度超过97%。学校积极探索“产教融合、校企合作”的协同育人机制，专业链主动对接产业链，校企共建校外实习基地300余家，先后与阿里巴巴、比亚迪、神州光大、讯方、富士康、广汽、北汽集团等国内100余家知名企业开展了深度合作，开设了“订单班”、“现代学徒制”、“实验班”等20余个特色班。学校重视科学研究，积极引进高层次人才，努力打造“项目＋平台＋团队＋成果”的科研战队模式，成立了云计算平台下大数据应用研究所等15个科研平台和智能制造、土木工程等9个创新团队。截至2019年6月，获得教育部产学研创新基金项目4项；教师公开发表论文520余篇；申请国家专利186项，获得授权135项，其中实用新型授权专利71项。学校鼓励创新创业，创业学院建筑面积10000多平方米，组建了100名创业导师团队，面向全体学生进行创新创业通识教育，面向精英学生进行创新创业精准培养；遴选了80余个项目团队入驻，成功孵化工商注册公司32家，创业园被授予“广州市众创空间”、“广东省高校电子商务人才孵化基地”等称号。2016年学校获评“全国创新创业教育文化建设奖”。学校广泛开展对外交流合作,与全球30余所知名大学建立联系，现已与美国中西州立大学、英国北安普顿大学、马来西亚城市大学等14所高校签订了合作协议，开展了设立海外研习基地、联合培养、学分互认、中外合作办学、师资培训等多种形式的交流与合作,促进了人才培养质量和国际化程度的提升。学校近年来不断进取，办学取得可喜成绩，先后获得“全国先进办学单位”、“广东省十佳民办院校”、“最具品牌影响力高校”和“最具综合竞争力民办高校”称号等多项荣誉。2018年在中国高职高专院校竞争力排行榜中位列广东省民办高职院校第五名，在全国1386所高职高专院校中排名第350名。2017年学校升本计划成功纳入广东省“十三五”高校设置规划。在升格本科的战略驱动下，学校二期建设工程全面启动，规划了图书馆改造、实验室建设、校园文化建设、办公环境改善和校园环境提升等工程项目74项，目前已全部进入验收使用阶段，为改善办学条件，达到升本硬件要求奠定了坚实基础。学校坚持以习近平新时代中国特色社会主义思想和党的十九大精神为指导，乘着国家职业教育的改革东风，秉承“职教为根、学生为本、教师为重、质量为上”的办学理念，坚持“面向市场、因材施教、职业为本”的办学方针和“根植职业教育、深化产教融合、打造创业特色”的办学思路，以创新强校工程建设为抓手，以申办职业本科教育为动力，应势而谋，因势而动，顺势而为，上下合力，聚焦内涵，指向提质，找准工作切入点和着力点，在落实推进上下功夫，扎实推动学校各项事业迈上新台阶。华立人正鼓足干劲，向民办优质高职院校和百年名校的美好愿景奋力前行！</t>
  </si>
  <si>
    <t>学校前身是1999年6月经广东省教育厅批准成立的广州华立科技专修学院；2005年3月，经广东省教育厅批准更名为广州华立科技职业学院。 2007年，学校二级学院“电力与智能制造学院”成立。 2010年，学校二级学院“城建学院”成立。 2018年4月25日，广东省人民政府同意设立广州华立科技职业学院云浮校区。</t>
  </si>
  <si>
    <t>http://www.hlxy.net/</t>
  </si>
  <si>
    <t>http://www.gzhlxy.edu.cn/cszs/</t>
  </si>
  <si>
    <t>020/82906888</t>
  </si>
  <si>
    <t>广州校区：广州市增城区广州华立科技园华立路7号,云浮校区：云浮市云安区都杨镇云祥大道55号</t>
  </si>
  <si>
    <t>https://www.720yun.com/t/67vksbiwrdq</t>
  </si>
  <si>
    <t>https://baike.baidu.com/item/%E5%B9%BF%E5%B7%9E%E5%8D%8E%E7%AB%8B%E7%A7%91%E6%8A%80%E8%81%8C%E4%B8%9A%E5%AD%A6%E9%99%A2</t>
  </si>
  <si>
    <t>https://gaokao.chsi.com.cn/zsgs/zhangcheng/listZszc//schId/1250939.dhtml</t>
  </si>
  <si>
    <t>广州现代信息工程职业技术学院</t>
  </si>
  <si>
    <t>广州现代信息工程职业技术学院是2005年经广东省人民政府批准、国家教育部备案正式成立的一所全日制普通高等院校，2010年通过广东省教育厅人才培养质量评估。是广州市人力资源和社会保障局正式批准的广州市信息工程专业继续教育基地、广州市创新创业孵化示范基地。学院地处广州东部战略发展的中心区域、高新技术产业的示范基地——科学城，交通便利，环境优雅。/////广州现代信息工程职业技术学院推行全信息化办学新机制，以教育信息化带动教育现代化，以学院信息化建设推动高职教育创新，着力打造现代信息的特色和亮点。《中国教育报》连续刊登了学院“全信息化办学机制推动高职教育全面改革”的报道，推介学院在高职教育改革、创新和全面发展中所取得的优良成绩。/////据广东省教育厅和第三方测评机构麦可思公司联合调查数据显示：2012届广东省高职院校毕业生毕业时掌握的基本工作能力水平、广东省高职院校毕业生毕业时掌握的核心知识水平，我院毕业生两项指标均排名第一。/////学院树立“为地方经济发展服务、立足广州，服务珠三角，面向全省”的办学宗旨，确立“以能力为本位，以就业为导向，校企融合、工学结合”的人才培养模式，以“培养生产、建设、管理和服务一线的高素质技能型专门人才”为最终目标，探索办学模式的创新和改革，努力打造特色。/////学院以工科为主，文、经、管、艺术协调发展。下设“信息工程学院”、“机电与自动化学院”、“建筑与艺术学院”、“经济与管理学院”四个分院和“基础部”、“思政部”二部。开设了信息安全与管理、物联网应用技术、机电一体化（智能制造技术）、无人机应用技术、工业机器人技术、城市轨道交通与运营管理、工程造价、跨境电商等37个专业方向，为珠三角经济发展培养了大批人才。/////学院建有网络技术、信息安全、计算机应用技术、无人机应用、工业机器人技术、电子商务、数码动漫设计、环境艺术工作室、多媒体技术、服装与服饰等82个专业配套的校内实验、实训室；学院与新宝电气股份有限公司、广州海格通信智能有限公司（军工企业），LG乐金显示（中国）有限公司、惠州华星光电有限公司,徐工集团、信科教育集团、美的集团、瓜子汽车服务有限公司、信科教育集团、科捷物流集团、广州新思路教育科技有限公司、广州盛华信息有限公司、广州文豆网络科技有限公司、置家集团、广州问道数字信息科技有限公司、广州永泉投资管理有限公司、蓝月亮国际集团有限公司、广州穗峰建设工程监理有限公司、啄木鸟房屋科技有限公司、天琥互联网设计有限公司（广州公司）、广州三者装饰设计工程有限公司、广东厚溥教育科技有限公司、广州腾科、广州粤嵌、广州漫游公司等珠三角地区600多家企事业单位建立产教融合教学体系，实施定单式培养，在校内建立了多个以产业项目为导向的教、学、做一体化校企合作实训中心，还在东莞、番禺、中山等地建立了近千个校外实习基地，为学生提供工学结合和顶岗实习的机会和广阔的就业通道。/////学院重视专任教师队伍建设，努力建设一支结构合理、专兼结合、相对稳定的“双师结构”教学团队。按照师资队伍建设规划，积极培养和引进专业带头人，重点抓好中青年骨干教师的培养和提高。通过教学实践、专业实践和业务进修，学校拥有480多名师德高尚、既有较高教学水平、又有较强职业技能的双师型和双师素质专任教师。/////近年来，学院人才培养工作取得了历史性突破：“计算机应用技术实训基地”成为中央财政支持高职教育实训基地，获得中央财政400万元资金的资助，现已全部建成并投入使用，这将极大地提高我院人才培养质量与实践教学水平。/////“信息安全实训基地”、“计算机网络技术（云技术）实训基地”和“汽车运用技术实训基地”被评为省级高等职业教育实训基地。计算机安全技术课程成为省级精品资源共享课建设项目。/////2019年3月27日，我院《信息安全与管理》专业通过了广东省教育厅组织验收，被评为省级重点专业。连同2017年我院通过的《计算机应用技术》省级重点专业，在目前大多数民办高校还没有省级重点专业的情况下，一个学校同一专业拥有2个省级重点专业，在广东省高职院校十分少见，保持并进一步加强我校信息技术类专业在全省处于先进行列的地位。/////学院努力构建符合职业教育特点和培养高素质技能型人才的新课程体系。实行学历证书和职业技能资格证书并重的“双证书”制度，强化毕业生职业技能的培养，2016年总体就业率98.92﹪，2017年总体就业率99.14%，2018年总体就业率99.73%。2018年我校毕业生的就业率位居全省同类院校第六位。/////为培养与国际接轨人才，学院还与新加坡、新西兰、美国、英国、澳大利亚、马拉西亚等国外大学开展了多种形式的合作与交流，为学生搭建了继续深造、专升本、专升硕的桥梁。</t>
  </si>
  <si>
    <t>学院前身为2002年创办的广州市华成商贸专修学校。2005年3月28日更名为广州现代信息工程职业技术学院 。2010年，学院通过广东省教育厅人才培养质量评估 。2020年11月，学院入选首批“工业信息安全人才培养专项行动计划”实施单位 。</t>
  </si>
  <si>
    <t>http://www.gzmodern.cn/index.html</t>
  </si>
  <si>
    <t>http://zsb.gzmiec.edu.cn/</t>
  </si>
  <si>
    <t>020/22323456</t>
  </si>
  <si>
    <t>广东省广州市天河区珠吉路660号</t>
  </si>
  <si>
    <t>https://baike.baidu.com/item/%E5%B9%BF%E5%B7%9E%E7%8E%B0%E4%BB%A3%E4%BF%A1%E6%81%AF%E5%B7%A5%E7%A8%8B%E8%81%8C%E4%B8%9A%E6%8A%80%E6%9C%AF%E5%AD%A6%E9%99%A2</t>
  </si>
  <si>
    <t>https://gaokao.chsi.com.cn/zsgs/zhangcheng/listZszc//schId/5563193.dhtml</t>
  </si>
  <si>
    <t>广东工商职业技术大学</t>
  </si>
  <si>
    <t>广东工商职业技术大学的办学前身是创办于1996年的东方人才学校，1997年学校更名为肇庆市工商职业学校。2004年3月经广东省人民政府批准成立、国家教育部备案，学校升格为肇庆工商职业技术学院，2014年更名为广东工商职业学院。2018年获批升格为本科院校。2019年5月教育部正式批准命名为广东工商职业技术大学，是国内首批本科层次职业教育试点学校。学校现有星湖和大旺两个校区，分别坐落在七星岩国家级重点风景名胜区和肇庆国家级高新技术产业开发区。学校占地面积1283亩，总建筑面积44.32万平方米。校园环境优雅，景色秀丽，气候宜人，交通便捷。////办学23年来，学校已成为工、管双轮驱动，工、管、经、文、艺多学科协调发展的普通高等院校。现设有智能制造学院、体育与健康学院、建筑工程系、计算机应用技术系、经济管理系、工商管理系、财会系、应用外语系、艺术设计系、文化传播系、公共教学部和思政教学部等2院8系2部，开设48个专业（方向）。建有智能制造、电子信息、建筑、财经商贸、艺术创意等五大实验实训中心，各类实验实训室157个，教学科研仪器设备总值1.15亿元。图书总数为116万册，中外文期刊1100多种。现有省级重点专业1个，省级财政资助专业6个，专业建有省级大学生校外实践教学基地2个，专业建有省级公共实训中心1个；校级重点专业7个、品牌专业2个、特色专业4个；省级工程研究中心1个；省级决策咨询基地1个。////学校专任教师661人，具有硕士学位和副高以上职称的教师分别占专任教师的41.15%和32.38%，“双师型”教师占33.74%。教师队伍中有国家级优秀教师1人、省级优秀教师3人、省级教学名师1人。此外，还聘请来自行业、企业的兼职教师164人。学校现有全日制在校生1万多人。近年来，学校人才培养质量逐年提高，受到用人单位认可，就业率一直持续保持在98%以上。2018年我校获广东省教学成果奖二等奖。////学校坚持产教融合、校企合作、协同发展理念，实施“一园一链”发展战略，在大旺校区重点发展新工科，并与肇庆国家高新区、长春理工大学及相关企业合作创建“长春理工大学国家大学科技园肇庆分园”，共建技术创新、研发、转化平台，并建设企业孵化园；在星湖主校区采取“政、企、校、行业”协同发展的运行机制，打造适应粤港澳大湾区发展、适应广东经济社会发展、适应肇庆产业发展的经管类特色专业链，为区域经济发展提供高质量的人才资源和社会服务。////近些年，学校紧紧围绕培养未来中小企业家的人才培养特色，构建文化素质、专业知识、职业技能、创业创业精神四位一体的人才培养模式，推进产教融合、校企合作，不断提高人才培养质量；推行教师“双师型”和学生“双证书”制，工学结合、育训并重，提高学业职业能力和可持续发展能力；开设“百名教授专家系列讲座”、“百名企业家系列讲座”，激发学生学习热情；引进清华科技园素质拓展训练项目，培养学生团队合作意识和体育锻炼习惯；大力支持学生社团活动，深入贯彻学生发展和服务学生理念；搭建大学生创业教学、创业培训、创业孵化三级平台，培养学生创业意识、创业精神和创业能力。////学校先后被教育部科教所、广东省教育厅等评为“人民满意的民办大学”、“中国最佳工商类大学”、“中国最具前景的大学”、“广东省肇庆职教基地建设先进单位”、“改革开放30年中国十大品牌高等职业院校”、“广东省十佳民办高校”、“广东省民办高等职业教育竞争力10强单位”、“广东省大学生创新创业示范学校”。////目前学校正积极推进创新强校工程、本科层次职业教育改革工程，不断深化办学特色和教育教学改革，全面提升办学实力和人才培养质量，努力办成人民满意的高水平、有特色的本科层次职业大学。</t>
  </si>
  <si>
    <t>http://www.gdbtu.edu.cn/</t>
  </si>
  <si>
    <t>http://zsb.gdbtu.edu.cn/</t>
  </si>
  <si>
    <t>0758/6179018</t>
  </si>
  <si>
    <t>广东省肇庆市七星岩旅游景区</t>
  </si>
  <si>
    <t>https://baike.baidu.com/item/%E5%B9%BF%E4%B8%9C%E5%B7%A5%E5%95%86%E8%81%8C%E4%B8%9A%E6%8A%80%E6%9C%AF%E5%A4%A7%E5%AD%A6</t>
  </si>
  <si>
    <t>https://gaokao.chsi.com.cn/zsgs/zhangcheng/listZszc//schId/1960.dhtml</t>
  </si>
  <si>
    <t>广州涉外经济职业技术学院</t>
  </si>
  <si>
    <t>学校地处广州市白云区、毗邻广州南湖旅游乐园，坐落于风景秀丽的白云山麓，空气清新，地理位置优越，交通极其便利，是陶冶情操、求学成才的理想之地。2004年3月，经广东省政府批准、国家教育部备案，正式命名为广州涉外经济职业技术学院，成为省属全日制财经类民办普通高职院校。2009年3月，中共广东省委教育工委批准成立中共广州涉外经济职业技术学院委员会。学校占面积1096亩，建筑面积20多万平方米，图书馆藏书93万多册，教学科研仪器设备值5055.58万元，校内实训室93间，多媒体课室208间、语音室9间，建有先进的适应网络资讯时代的网络中心，并在学生宿舍配有独立的高速上网的网络端口。广州涉外经济职业技术学院是一所富有“三外两高”特色的财经高校，即培养具有外语、外经、外贸专门知识的高素质、高技能人才。学校设外国语学院、财经学院、商务学院、信息工程学院、设计学院、康复医学院、华文与国际教育学院、教育学院、马克思主义学院和音乐舞蹈学院等10个二级学院、中职部。本学年开设40个专业。学校现有专任教师485人，其中：高级职称153人，省民办优秀教师3人，南粤优秀教师7人，专业带头人40人，骨干教师243人，外教13人，以他们为核心组建了一支专兼结合的专业教学团队。学校注重对学生外语能力的培养，为凸显“涉外”办学特色，在多个专业开展双语教学，力争在未来5年有近半数专业开展双语课程。学校以“海外短期游学”、“交流生项目”、“海外暑期课程”、“海外留学”等项目，打通了学生乃至学校走向世界的道路。学校先后与美国、加拿大、英国等多个国家和地区的近20所大学建立了友好合作关系，成功开展了多层次、多形式的对外交流项目。为适应国际经济新格局和新变化，习近平总书记提出“一带一路”的战略构想，在扩大中国的影响力同时，利于新的欧亚商贸通道和经济发展带的形成。在这种形势下，华文教育尤显重要。因此，学校扎实推进华文教育。目前学校华文学院在海外泰国、柬埔寨、越南、日本、美国、加拿大、马来西亚、缅甸、老挝、德国、葡萄牙以及部分中东国家和非洲国家地区开展了招生工作。学校2004年3月立校，当年普高在校生规模860人，目前普高在校生规模10136人，15年增长了11倍多，为国家的现代化建设培养了人才，让成千上万的青年学生通过知识和技能改变了命运。他们有的走出国门，在外深造和发展，创立了自己的事业；有的自己创业，开设了自己的公司、工厂、商店和铺面，成了老板；有的施展才华，做出业绩，成为行业、企业的能人和骨干。学校办学成效得到上级和社会的普遍认可，近年来分别获得“2013年广东省高等教育（民办）院校竞争力十强”、“2014年最具特色民办教育高职院校”、“2014年全国职业教育产教融合特色办学示范性高校”、“2017年度广东省高等院校对外交流与合作先进集体”、“2017年全国教育改革创新示范（院）校”、“2018年度广东省职业能力建设先进单位”、“2018年度广东高校（高职高专组）新媒体影响力”、“2019年广东当代优质民办学校”等奖项和荣誉。2015年被广东省民政厅评为“广东省社会组织五A级单位”、学校在广东省教育厅就业工作督查中获得“优秀”等级。办学指导思想：以习近平总书记系列重要讲话精神为指导，全面贯彻党的教育方针；坚持育人为本、教学中心、服务宗旨、就业导向、提高能力；实行校企合作、工学结合，融“教、学、做”为一体，培养“三外两高”型人才为特色的人才培养模式，服务地方经济建设第一线需要，立足广东，面向华南，辐射全国，把学校办成全国有一定影响、广东省一流的民办高职院校。办学理念：坚持育人为本，坚持教学中心，坚持服务宗旨，坚持育人导向，坚持能力提高。办学思路：立足市场、高职为本；校企合作、工学结合；质量立校、人才强校。人才培养模式：学校实行校企合作、工学结合、融“教、学、做”为一体，培养“三外两高”型人才为特色的人才培养模式。发展战略与目标：学校不断完善基本办学条件，以外语类、财经类专业为学校特色专业，优化专业结构，创新教育教学模式与方法，提高人才培养质量，到2020年，学校整体办学水平和综合实力达到全国民办院校TOP50，把学校办成在全国有一定影响、省内一流的民办高职院校。</t>
  </si>
  <si>
    <t>学校前身可追溯至成立于1999年的广州维城科技专修学院。2004年，经广东省教育厅批准、国家教育部备案，广州涉外经济职业技术学院成立。</t>
  </si>
  <si>
    <t>http://www.gziec.net/index.aspx</t>
  </si>
  <si>
    <t>http://www.gziec.net</t>
  </si>
  <si>
    <t>020/36783769、36783295</t>
  </si>
  <si>
    <t>广东省广州市白云区沙太路大源北28号</t>
  </si>
  <si>
    <t>https://baike.baidu.com/item/%E5%B9%BF%E5%B7%9E%E6%B6%89%E5%A4%96%E7%BB%8F%E6%B5%8E%E8%81%8C%E4%B8%9A%E6%8A%80%E6%9C%AF%E5%AD%A6%E9%99%A2</t>
  </si>
  <si>
    <t>https://gaokao.chsi.com.cn/zsgs/zhangcheng/listZszc//schId/1954.dhtml</t>
  </si>
  <si>
    <t>广州松田职业学院</t>
  </si>
  <si>
    <t>广州松田职业学院是经省政府批准、教育部备案的全日制普通高等学校，与广东白云学院、江西科技学院、广州大学松田学院等高校一起，是中国教育集团（港股代码：00839）旗下的高校。本校从2007年开始招生，依托集团化办学优势，紧跟新一轮科技革命与产业变革，不断提高教育综合实力，办学规模逐步扩大。本校坚持党对教育事业的全面领导，坚持走中国特色社会主义大学发展之路，坚持以培养德智体美劳全面发展的社会主义建设者和接班人为根本任务。高职特色鲜明本校开设有财经、管理、机电、艺术等7个教学系（部），21个专科专业，其中包括1个省级重点专业、1个与本科院校协同育人试点专业，2个中高职贯通三二分段试点专业，专业大类涵盖财经商贸、文化艺术、公安与司法、教育体育、电子信息、交通运输、土木建筑等8个大类。本校坚持“以市场为引领，以就业为导向，以学生为本”的办学理念，突出能力本位，融入职场，体现“够基础、强实践、融职场、擅应用”的人才培养目标，推进专业设置与产业需求对接、课程内容与职业标准对接、教学过程与生产过程对接、毕业证书与职业资格证书对接；推行校企协同育人，培养适应粤港澳大湾区经济社会发展需要为主的一线高素质技术技能人才。招生渠道多样本校构建“纵向延伸，横向拓展”的多渠道发展格局，开设了中高职衔接专业和专本协同育人专业，搭建起“中高”、“专本”现代职业教育体系的初步框架，实行分类招生。高中毕业生可通过高职院校分类考试（依学考成绩录取）和普通高考报考；中职中专毕业生可通过“3+证书”考试报考；初中毕业生可通过中高职贯通三二分段试点专业直接报读，前三年在集团旗下广州白云工商高级技工学校就读，获得中级技工毕业证书，转段后两年直升至本校就读。以上各类招生，毕业颁发同等的普通专科毕业证书。升学途径宽广本校通过与广州大学松田学院资源共享，为学生考取本科插班生提供便利；与广东白云学院合作开办专本协同育人试点专业，前三年在本校就读，获得普通专科毕业证书，转段后两年直升至广东白云学院就读，毕业颁发广东白云学院全日制本科毕业证书，符合条件可获学士学位；同时，与深圳大学、广东财经大学、广东外语外贸大学等高校合作，为学生考取自考本科提供“相沟通”政策便利。根据南方教育智库《2018年毕业生就业质量年度报告》的关键数据显示，广州松田职业学院2018届毕业生升学率位居全省高职院校榜首！根据全国教育行业拥有最强渠道和最多用户的升学服务平台升学在线发布的信息显示，广州松田职业学院被推荐为广东14所“值得一读”的高职院校之一！培养质量良好本校重视学生职业技能的培养，将技能大赛内化到各专业教育人才培养目标和教学全过程。近年来，师生在各级各类职业技能大赛、大学生互联网+创新创业大赛等比赛中获奖多项，毕业生就业率一直保持在98%以上。根据第三方调查机构麦可思公司近年来的调查报告显示，我校在毕业生就业现状满意度调查中排名全省民办高职院校第一。发展前景可期本校地处粤港澳大湾区，是未来国内最大的名校聚集地。校址座落在广深科技创新走廊的重要节点——广州市增城区，广州地铁21号线山田站距离本校1公里，北三环高速公路朱村东出入口距离本校2公里，40分钟可达广州中心城区，交通十分便利。校区依山建筑，环境宁静幽美。本校将在《国家职业教育改革实施方案》的前瞻指导、工商业界硕彦支持以及全校师生辛勤的努力下，秉持教育理念，持续推进产教融合，认真办学，并配合粤港澳大湾区对打造人才高地、教育高地和科技高地的社会发展需要，培育出更多的专业人才，福国利民，贡献社会。</t>
  </si>
  <si>
    <t>2006年，广州松田职业学院成立 ，并于次年9月正式对外招生 。
2020年8月，学校被认定为“广州市创业培训定点机构” 。
2021年9月，广州松田职业学院大学生创业园开园 。</t>
  </si>
  <si>
    <t>http://www.sontanedu.cn/</t>
  </si>
  <si>
    <t>http://www.sontanedu.cn</t>
  </si>
  <si>
    <t>020/82850580、82856652</t>
  </si>
  <si>
    <t>广州市增城区朱村大道东432号（广州地铁21号线山田站或朱村站）</t>
  </si>
  <si>
    <t>https://www.720yun.com/t/1dbjOOyysw8</t>
  </si>
  <si>
    <t>https://baike.baidu.com/item/%E5%B9%BF%E5%B7%9E%E6%9D%BE%E7%94%B0%E8%81%8C%E4%B8%9A%E5%AD%A6%E9%99%A2</t>
  </si>
  <si>
    <t>https://gaokao.chsi.com.cn/zsgs/zhangcheng/listZszc//schId/6197668.dhtml</t>
  </si>
  <si>
    <t>广东新安职业技术学院</t>
  </si>
  <si>
    <t>广东新安职业技术学院成立于1998年，是由杰出的人民教育家王屏山先生创办并经广东省人民政府批准（粤府函【2000】356号）设立的一所全日制民办普通高等院校。学院以全日制高职教育为主体，设有9个系部，开设有21个专业，集国际合作、继续教育、社会培训为一体，目前在校生规模达4300余人。////在2018年1月学院荣获“2017年度中国民办教育百强”称号；另据中国教育大数据研究院发布的2017年度基于大数据技术和方法的中国大学声誉指数报告成果，学院上榜“2017中国大学声誉榜专科百强学校”。////学院坐落于深圳市中心区域南山区，地理位置优越，交通便利。学院毗邻名企云集的南山区高新科技产业区，产业集群，人才需求旺盛，为学院办学和学生就业提供坚实有力的支撑。学院毕业生享受直接入户深圳的待遇。////学院拥有雄厚的师资力量，有一支素质高、结构合理、乐于奉献的教师团队，拥有知名企业工作过的专家和/“双师型”教师队伍。学院高级职称教师占专任教师总数的22.2%，具有硕士以上学历学位的教师占50.6%。////学院立足深圳，面向广东，以促进就业为导向，把毕业生充分就业和高质量就业作为人才培养之根本，办学二十年来，学院毕业生始终以其适应性强、专业技能力强、综合素质好而受到用人单位普遍欢迎和充分肯定，历届毕业生就业率98%以上，多数专业就业率达100%，近三年，有85%以上毕业生在深圳就业。////学院坚持“学会做人、打好基础、培养专长、加强实践、报效祖国”为校训，坚持“产学联合、产教融合”的办学理念，加强与企业深度合作。学院与包括华大基因、华为、腾讯、金蝶软件、希尔顿酒店、深圳市中建南方建设集团有限公司等著名企业在内的近百家企业建立了校企合作关系，为学生实习、实训和就业搭建了良好的平台。2015年以来，我院先后在国家级、省级和市级各类技能竞赛中获得120多个奖项。////学院治学严谨，教风优良，学风日盛，注重职业教育与学历教育的衔接性，与华南师范大学、华南农业大学、深圳大学等国内知名大学合作，为在校生提供了专升本的学历提升平台。学院还与英国、荷兰等国家的大学开展对外交流和合作办学，开设有“3+1留学专升本”出国班，就读三年毕业后赴英国或荷兰就读一年即可获得外国本科学历，该学历获国家教育部认证。“3+1留学专升本”既可以让学生提升学历，又让学生体验多元文化，开阔视野，并能节省大额的留学费用。////学院以丰富多彩的校园文化为载体，结合实践教学，着力开拓对学生综合素质和综合能力培养。学院每年举办各类“技能比赛”、“校园文化艺术节”、“学术科技节”、“校园歌手大赛”、“篮球赛”、“职业教育活动周”、“宿舍文化节”等盛大活动，此外还有30多个学生社团供学生锻炼与提升创新力、组织力和沟通力，为学生展示自我搭建了丰富平台。学院鼓励学生创新创造和创业，许多毕业生在校时就创办了自己的公司。////学院将继续坚持“以德树人，能力为重，以提高教育教学质量为核心，以就业为导向，服务地区经济”的战略定位；坚持“以学生为本，创建创新创业平台”的发展需求，为广大学子建造一个良好的教育成才的环境。</t>
  </si>
  <si>
    <t xml:space="preserve">学校成立于1998年，2000年6月经教育部批准正式建校。 2022年12月，共同组建成立深圳市南山区生活垃圾分类高校联盟。 2024年11月26日，广东省广东新安职业技术学院教育发展基金会成立。 同年12月30日，成立深圳改革开放史迹数字化研究中心。 </t>
  </si>
  <si>
    <t>https://www.gdxa.cn/</t>
  </si>
  <si>
    <t>http://www.gdxa.cn</t>
  </si>
  <si>
    <t>0755/36881398</t>
  </si>
  <si>
    <t>深圳市南山区沙河东路259号</t>
  </si>
  <si>
    <t>https://baike.baidu.com/item/%E5%B9%BF%E4%B8%9C%E6%96%B0%E5%AE%89%E8%81%8C%E4%B8%9A%E6%8A%80%E6%9C%AF%E5%AD%A6%E9%99%A2</t>
  </si>
  <si>
    <t>https://gaokao.chsi.com.cn/zsgs/zhangcheng/listZszc//schId/1016.dhtml</t>
  </si>
  <si>
    <t>广东岭南职业技术学院</t>
  </si>
  <si>
    <t>一、办学基本情况学院始办于1993年，2001年5月经广东省人民政府批准成立。是一所集医药健康类、电子通信类、现代制造类、财经管理类和创意设计类专业为一体的民办高等职业技术院校。学院现有广州和清远两大校区，校园总面积1316亩，校舍建筑面积近55万平方米，教学、科研仪器设备总值15691.82万元，纸质图书逾155.62万册；现有高职在校生17693人，拥有教师总数1127人，其中专任教师738人，企业兼职教师233人，现有14个教学单位，54个高职招生专业，其中药学、模具设计与制造、软件技术、动漫设计与制作四个专业为省重点建设专业；创校以来，为社会输送了大批高素质技术技能型人才。二、办学指导思想与特色成效学院坚持社会主义办学方向，以立德树人为根本，以服务发展为宗旨，以就业创业为导向，以学生成才为中心，以技术技能培养为重点，紧密对接区域社会经济发展和产业行业需求，培养具有较高实践能力、就业能力和创新能力的“博学而雅正，业专而技精”的高素质技术技能型人才。作为广东省唯一一所民办省示范性高职院校建设单位，学院坚持以国家关于加快发展现代职业教育的最新精神为指导，以示范校建设、创新强校工程为引领，注重深化人才培养模式改革，推动学院内涵与特色发展。主要特色成效体现在打造“一体两翼”专业规划布局提出以“岭南健康产业”为主体的，传统优势专业及与主体形成交叉或延伸组合专业群为“两翼”的专业规划布局，努力将我校逐步建设成为全省以医药与健康专业特色发展的民办高职院校。推进技术技能人才培养改革以药学、模具设计与制造、软件技术、动漫设计四个省重点专业及专业群建设项目为龙头，深化人才培养模式改革，重构人才培养方案和课程体系，提升人才培养质量。近年来，学生参加校外各类技能竞赛，获得省级以上奖项400余项，其中国际奖项、全国奖项百余项。启动基于美国DQP体系的学分制改革该项目已获广东省深化教育领域综合改革试点项目立项。实施书院制改革创新学生管理模式将“博雅教育”和专业教育有机结合，于清远校区全面实行书院制管理，打破年级专业，构建共同成长的社区，促进学生成长成才。深化产教融合办学体制机制建设全面对接区域经济发展，走出了一条以政府为主导、学校为主体、企业行业参与的校企深度融合发展之路。“双主体”办学的二级分院已达9个，引进企业设备资源达6000余万元。深化创新创业教育与实践改革以创业型大学建设为目标，将“创新创意创业”教育纳入人才培养学分体系。获批“广州市创业培训定点机构”、“广州市大学生创业实训基地”、“广东省大学生创新创业教育示范校”</t>
  </si>
  <si>
    <t>学院前身是创办于1993年的广州岭南文化技术学校，2001年5月广东岭南职业技术学院成立，2006年通过教育部高职高专人才培养水平评估。</t>
  </si>
  <si>
    <t>http://www.lnc.edu.cn/</t>
  </si>
  <si>
    <t>http://www.lnc.edu.cn</t>
  </si>
  <si>
    <t>020/22305555、0763/3918555</t>
  </si>
  <si>
    <t>广州校区：广州市天河区大观中路492号,清远校区：清远市清城区学贤路省职教大学城内</t>
  </si>
  <si>
    <t>https://baike.baidu.com/item/%E5%B9%BF%E4%B8%9C%E5%B2%AD%E5%8D%97%E8%81%8C%E4%B8%9A%E6%8A%80%E6%9C%AF%E5%AD%A6%E9%99%A2</t>
  </si>
  <si>
    <t>https://gaokao.chsi.com.cn/zsgs/zhangcheng/listZszc//schId/1231.dhtml</t>
  </si>
  <si>
    <t>惠州经济职业技术学院</t>
  </si>
  <si>
    <t>惠州经济职业技术学院创办于2004年3月，是经广东省人民政府批准、国家教育部备案的一所具有独立颁发国家承认三年制大专学历文凭的全日制普通高等院校。学校面向全国招收国家任务大学专科学生。//学校地处经济发达、交通便利的珠江三角洲，位于素有“岭南名郡”、“粤东门户”之称，荣获“全国文明城市”、“中国优秀旅游城市”、“国家园林城市”称号，被誉为“半城山色半城湖”风景如画的广东省历史文化名城——惠州。随着粤港澳大湾区发展格局的形成，惠州得毗邻香港、澳门之利，将成为珠江口东岸区域服务和创新的中心。作为广州、香港、深圳连接粤东、福建和江西的交通要冲，美丽的惠州吸纳了山之仁、水之智，集古老而现代的文化气息于一体，就像一颗镶嵌在富饶的中国南海边的璀璨明珠，已拥有石化名城、数码之都、旅游胜地等著名名片，是宜学、宜商、宜业、宜居的上选佳地。//学校坐落于惠州市惠城区马安新乐教育园区占地面积700余亩，建筑面积21万多平方米。周边交通便利，拥有宽敞明亮的教学大楼、气势宏伟的图书馆、先进的教学仪器设备、完善的体育运动设施、标准公寓式学生宿舍等设施。学校素以教育管理严格、教师教学严谨及文化气息浓郁著称，素质养成与技能培养相得益彰，形成了“诚信、勤奋、创新、精进”的良好学风和“浓厚的政治气氛、浓厚的学习研究气氛、浓厚的文娱体育气氛、浓厚的文明和谐气氛”的校风。校园内树木葱茏，碧草如茵，处处鸟语花香，是莘莘学子潜心求学致知的理想之地。//目前，学校有财经学院、工商学院、信息工程学院、教育与应用外语学院、建筑与艺术设计学院、智能制造学院、国际教育学院、旅游学院、继续教育学院、体育学院、马克思主义学院、人文基础学院等十二个二级学院，设有会计、财务管理、投资与理财、互联网金融、国际贸易实务、工商企业管理、市场营销、物流管理、旅游管理、酒店管理、机场运行、报关与国际货运、中小企业创业与经营、物联网应用技术、计算机应用技术、计算机网络技术、应用电子技术、软件技术、智能产品开发、电子商务、移动互联应用技术、大数据技术与应用、移动商务、商务英语、应用韩语、商务日语、应用英语(行政管理)、动漫制作技术、幼儿发展与健康管理、服装设计与工艺、广告策划与营销、学前教育、服装与服饰设计、广告设计与制作、机械设计与制造、数控技术、汽车检测与维修技术、新能源汽车技术、工业机器人技术、汽车智能技术、建筑室内设计、建筑工程技术、工程造价、建设项目信息化管理、体育运营与管理等45个专业，涵盖经济、管理、工科等协调发展的多个领域。现有在校生11000余人。学校拥有一个配置合理、结构优化、经验丰富的教学团队，打造了一支高素质、敬业爱岗的“双师型”教师队伍。//学校始终坚持“以生为本、以质立校、学工并举、崇尚实用”的办学理念，秉承“明德、博学、求真、致用”的校训，确立了既为地方经济和社会发展服务又“立足惠州、辐射广东、面向全国”的办学定位，以培养高素质、高技术技能型人才作为培养目标，凸显前瞻性、职业性、实用性的办学特色，形成“学校专业、工厂实业、学生就业三业对接，理论教学与实践教学双轨并行，教学、实训、技能鉴定和生产经营四位一体”的教育教学模式，成功摸索出了一套符合高职教育发展规律的“43334”治校方略，即坚持办学理念四句话不动摇，实施“学校总体发展规划、校园建设规划、专业建设与师资队伍发展规划”的三大战略不松懈，紧扣“以模式引领发展、以管理促进质量、以软实力提升硬实力”的三大办学方针不放松，推行“班有先进党员，系有战斗堡垒;系有精品课程，院有特色专业;系有教学名师，院有创新团队”的三大实施路径不改变，把学校发展为“学生喜爱、教师留恋、同行认可、社会满意”的特色高职院校的办学四大目标不落空。在“43334”治校方略的基础上，学校继续开拓进取，革故鼎新，进一步形成了“六个五”育人体系，得到了上级教育主管部门的认可与好评。//自办学以来，学校教学坚持以学生就业为导向，以社会相关行业、知名企业为依托，面向市场，走合作办学道路，推行“三业对接，双轨并行，四位一体”的教学模式，相继建立了安东尼服装工程系实训工厂、金融实训中心、工商学院物流中心等17个高起点、高水准的校内实践基地，120多个校外实训基地;大力实行产、学、研相结合，实施“订单教育”和“双证教育”，采取“外语+专业+技能”的培养模式，学生毕业时可取得大学专科毕业证、英语等级证、计算机等级证、职业技术资格证、汽车驾驶证等证件。//毕业生就业率高，社会评价良好。学校与众多知名企业签订了长期、稳定、良好的定向培养和实习实训就业协议，学生就业前景广阔，毕业后有充分的就业保障。数年来，学校毕业生就业率均高于全省同类院校平均就业率，近三年均超过98%，名列全省同类院校前茅。//经过多年的稳步发展，学校形成了集普通高等职业技术专科教育、成人高等学历教育、国际学历教育于一体的办学格局，与国内外名校合作开办了“专升本”和成人教育大专脱产班与函授班，并建立了由国家人力资源和社会保障部授权的“国家职业技能鉴定站”，形成了为学生和社会提供多层次、全方位的专业技能和职业资格考证服务体系。学校被指定为广东省中小企业局培训示范基地和惠州市高技能人才实训基地，2012年又被广东省人力资源和社会保障局批准我院由“国家职业技能鉴定站”升格为“国家职业技能鉴定所”。自2012年起，学校连续三年被广东省省情调查研究中心和广东省社会科学院联合评为“广东高等教育院校(民办)竞争力10强单位”，2015年3月，学校荣获“家长学生信赖品牌学院”称号，2015年7月，学校荣获“2015中国职业技术学院50强”称号。2016年，学校被省教育厅和省体育局命名为“广东省学校体育场馆向社会开放示范单位”，成为我省18所获此称号的高等院校之一;我校《高等职业教育质量年度报告(2017)》被省教育厅评定为A级;2017年，学校被省企业联合会、省企业家协会联合授予“2016年广东省好雇主”称号，学校被中国民办教育百强评选组委会授予“2017年度中国民办教育百强”称号，2018年，学校被教育部认定为“全国国防教育特色学校”，在“2019广州日报高职高专排行榜/民办院校TOP100”排行榜上位列全国第53名，全省第9名。//近年来，学校十分注重内涵发展，致力于教育教学质量工程建设，全面推进人才培养模式的改革和创新，以锐意进取的精神，聚全校师生和社会之力，不断实现办学规模、结构、质量、社会效益全面协调快速发展。学校将努力铸造独具特色的优质高职教育，力争实现升格为本科高职院校的腾飞之梦。</t>
  </si>
  <si>
    <t xml:space="preserve">2004年3月，惠州经济职业技术学院创立。2012年，被广东省人力资源和社会保障厅批准学校由“国家职业技能鉴定站”升格为“国家职业技能鉴定所”。
2018年，被教育部认定为“全国国防教育特色学校”。
2021年，被确立为“广东省教育评价改革综合试点高校”
2023年，在“深化教育评价改革综合试点校”项目通过中期检查，获得“继续推进”的评估结果；12月，学校当选“粤港澳大湾区网络空间安全行业产教融合共同体”常务理事单位和“全国人工智能职业教育产教融合共同体”副理事长单位。
2024年，学校当选“粤港澳大湾区康养行业产教融合共同体”“惠健康托育行业产教融合共同体”“惠州市新一代电子信息产教联合体”副理事长单位和“全国智能产品行业产教融合共同体”副理事长单位。 </t>
  </si>
  <si>
    <t>http://www.hzcollege.com/</t>
  </si>
  <si>
    <t>https://www.hzec.edu.cn/zhaoshengban/</t>
  </si>
  <si>
    <t>0752/36198063619808</t>
  </si>
  <si>
    <t>惠州市惠城区马安镇新乐路</t>
  </si>
  <si>
    <t>https://www.720yun.com/t/0d9jz5yarn3</t>
  </si>
  <si>
    <t>https://baike.baidu.com/item/%E6%83%A0%E5%B7%9E%E7%BB%8F%E6%B5%8E%E8%81%8C%E4%B8%9A%E6%8A%80%E6%9C%AF%E5%AD%A6%E9%99%A2</t>
  </si>
  <si>
    <t>https://gaokao.chsi.com.cn/zsgs/zhangcheng/listZszc//schId/1957.dhtml</t>
  </si>
  <si>
    <t>广州珠江职业技术学院</t>
  </si>
  <si>
    <t>广州珠江职业技术学院是2006年经广东省人民政府批准设立，国家教育部备案的一所综合性全日制普通高等职业学院，隶属于广东省教育厅，是省教育厅高等职业院校人才培养工作评估合格院校。现有惠州福田校区和广州增城校区，全日制高等教育以福田校区为主，学校承担国家计划省内招生任务，面向全国招生，专业设置涵盖医药卫生、电子信息、财经商贸、装备制造、土木建筑、公共管理与服务、旅游、文化艺术、教育体育等几大类。有医药健康学院、护理康复学院、教育学院、工程学院、智能光电学院、经济管理学院、信息技术学院、马克思主义学院等教学单位。开设学前教育、中药学、药学、中医康复技术、护理、医疗设备应用技术、汽车检测与维修技术、会计、电子商务、空中乘务、工程造价、工商企业管理等47个专业。在校学生1万余人，专兼职教师520余人，其中具有硕士及以上学历副高以上职称的教师分别占32％和24％，广东省南粤优秀教师3人，广东省民办教育协会优秀教师5人，广州增城区优秀教师11人，国家和省部级行业协会和专业学会正副会长（理事长）10人。学校是中国民办教育协会高等教育专业委员会常务理事单位，是中国城乡融合发展联盟副主席单位，被德育报社评为艺术教育先进集体。福田校区建设项目被广东省发改委列为广东省2014/2019年重点建设项目，同时列入了惠州市2015/2019年重点建设项目。福田校区地处国家5A级罗浮山风景名胜区内，是政府建设罗浮新城集高等教育、职业教育、运动休闲、养生旅游于一体的高等科教集聚区。学校对接罗浮新城打造“世界级康养基地”的资源禀赋优势和紧邻广州增城区的位置优势突显。校内公寓为一体房，阳台、空调、中央热水系统、全自动洗衣机、网络等设施俱全。截止2019年6月，学校组织学生参加校外科技、体育和文化竞赛共获得市级以上奖励共169项，其中全国性奖励34项，省级以上奖励134项。学校积极推行“双证书”考核制度，采取政策措施鼓励学生参加多职业、多工种技能鉴定。2015年以来，累计为在校学生进行技能鉴定及组织相关考试8500多人次，培训人数达12000多人次。近年来我校教师申报和获得国家专利11项，主编参编教材72部，其中教育部“十二五”，“十三五”规划教材20部，共计立项校级科研项目81项，省厅级以上项目14项，教师发表科研论文380余篇。/2016/2018年荣获广东高校校园文化建设优秀成果二等奖；全国职业院校创业技能大赛企业经营管理沙盘模拟赛项全国总决赛一等奖；2017/2018年度广东省职业院校技能大赛二等奖；第十一届“新道杯”广东大学生企业经营模拟沙盘大赛三等奖；2017/2018年度征兵工作先进单位；2018年12月荣获第六届黄炎培职业教育优秀学校奖；2019年6月取得广东省企业经营模拟沙盘大赛高职组一等奖等荣誉。学校的办学宗旨是“立足粤港澳大湾区，面向全国，服务基层”秉承办“服务发展、促进就业、办‘三贴近’的职业教育，建设三个现代服务业人才培养基地，培养学生三方面能力，搭建三个社会服务平台”近年来，工程学院及人力资源开发中心充分发挥专业技术优势，精心实施“警民共建暖心工程”，促进刑满释放和解教人员顺利回归社会，有效地预防和减少刑释解教人员重新违法犯罪，做出了应有的贡献，充分体现了高等院校服务社会，教书育人的本职所在，为构建和谐、美丽、幸福的新时代发挥着积极作用。目前学校正以福田校区为依托积极创办“百名英才、千亩校园、万人学子、4A景区”的现代化高职院校。学校采用普高、专插本、自考本科以及与国内外院校合作办学相结合的模式，分别与泰国西那瓦大学、台湾育达科技大学、日本京都情报大学院大学、群马日本语学院北京航空航天大学、西南大学等院校进行联合办学，形成了以普高教育为主体，自考、专插本、出国留学、继续教育和技能培训协调发展的办学模式。</t>
  </si>
  <si>
    <t>2006年9月19日，经广东省人民政府批准，中华人民共和国教育部备案设立广州珠江职业技术学院。  2016年，学校获评2015年度广东省企业文化建设十佳先进单位。 2018年，学校被评为广东省征兵工作先进单位。 2019年12月，学校当选为广东省秘书学会副会长单位。 2023年，学校被评为2022-2023年度广东省高校心理健康教育与咨询工作先进集体。 2024年，学校获批成为“全国武术进校园试点单位”。</t>
  </si>
  <si>
    <t>http://www.gzzjedu.cn/</t>
  </si>
  <si>
    <t>http://www.gzzjedu.cn</t>
  </si>
  <si>
    <t>020/82719999、82728111、82733019</t>
  </si>
  <si>
    <t>广州校区：广州市增城区增江街塔山大道2号,福田校区：惠州市博罗县福田镇莲塘岗学院路1号</t>
  </si>
  <si>
    <t>https://baike.baidu.com/item/%E5%B9%BF%E5%B7%9E%E7%8F%A0%E6%B1%9F%E8%81%8C%E4%B8%9A%E6%8A%80%E6%9C%AF%E5%AD%A6%E9%99%A2</t>
  </si>
  <si>
    <t>https://gaokao.chsi.com.cn/zsgs/zhangcheng/listZszc//schId/6198757.dhtml</t>
  </si>
  <si>
    <t>广州华商职业学院</t>
  </si>
  <si>
    <t>广州华商职业学院是经广东省人民政府批准成立（粤府函[2009]49号文），国家教育部备案，由太阳城集团投资创办、华商教育集团旗下的一所全日制高等专科院校。学院面向省内外招收普通高等学历教育国家任务生。////学院以先进的办学理念、雄厚的办学实力、科学的培养方案、良好的培养质量赢得了社会各界广泛的认可。实力雄厚的师资队伍、现代化的实验实训大楼、藏书丰富的图书馆、校企共建的特色专业和重点专业。凸显出学院的办学优势和实力；优美的校园环境、标准的体育场馆、一流的学生饭堂、空调房学生宿舍，为学生提供优良的学习和生活条件。////学院现设有9个教学系部，3个二级学院，36个专业，已形成商贸、经管、理工等多科专业协同发展的态势，为地方社会经济发展培养高素质、高技能人才。多年来我校新生报到率在同类院校中稳居省内前列，毕业生就业率保持在97%以上。学院与华南理工大学、广东财经大学、广东工业大学、华南师范大学等多所知名高校合作，为学生提供了多条”专升本”途径，学生在毕业当年可参加普通高校本科插班生招生考试，报考省内本科院校，学习两年即可获得全日制大学本科学历。学院还与十多个国家和地区的大学开展联合办学、校际合作、短期研修等，为学生提供出国学习的机会。////学院坚持以人才培养质量为核心，以提升办学实力为主线，以打造特色和优势为抓手，创新办学思路，改革教学模式，优化教学方法，努力把学院打造成一流的高职高专院校。</t>
  </si>
  <si>
    <t>广州华商职业学院是2009年3月经广东省人民政府批准成立，国家教育部备案， 华商教育集团旗下的一所全日制高等专科院校。2020年11月，广州华商职业学院江门校区动工建设。2023年3月，学校加入广东省“一带一路”职业教育联盟。2024年5月，广州华商职业学院举行广东省博士工作站揭牌仪式。2025年2月18日，广东省科学技术协会和广东省科学技术厅联合公布了“广东省科普教育基地（2025—2029年）”认定名单，广州华商职业学院智能制造科普教育教学基地入选。</t>
  </si>
  <si>
    <t>http://www.gzhsvc.com/</t>
  </si>
  <si>
    <t>http://zsb.gzhsvc.edu.cn/</t>
  </si>
  <si>
    <t>020/32882222</t>
  </si>
  <si>
    <t>广州市增城区荔湖街华商路一号</t>
  </si>
  <si>
    <t>https://baike.baidu.com/item/%E5%B9%BF%E5%B7%9E%E5%8D%8E%E5%95%86%E8%81%8C%E4%B8%9A%E5%AD%A6%E9%99%A2</t>
  </si>
  <si>
    <t>https://gaokao.chsi.com.cn/zsgs/zhangcheng/listZszc//schId/47707836.dhtml</t>
  </si>
  <si>
    <t>潮汕职业技术学院</t>
  </si>
  <si>
    <t>潮汕职业技术学院(简称潮汕学院)创办于1999年8月，是经国家教育部批准(教发[1999]128号)设立的普通高等院校，颁发国家普通高校毕业证书。2006年12月率先通过“国家教育部全国高职高专院校人才培养工作水平评估”。学院座落于著名侨乡、商贸名城普宁市，地理位置优越，交通便利，东临厦深高铁普宁站，北接潮汕机场，背靠八百亩莲花山公园。//目前设有创业学院、信息工程学院、设计工程学院、财会金融学院、经济管理学院、人文学院，共计六个二级学院。为深化产教融合，提升学生动手能力，学院专门成立跨境电商学院、物流产业学院和服装产业学院，同时建有潮汕文化研究中心，VR建模中心、食品药品检测中心、高端服装定制工作室、创客空间等重点实训室26个，校外实训基地32个。//学院坚持探索创新，大胆变革，学生在国家级和广东省大学生技能大赛中，多次荣获一等奖。毕业生在保持高就业率的同时，就业质量逐年提升，电子商务创业教育独树一帜，成果辉煌。各级政府、各类院校、企事业单位、媒体等机构来访络绎不绝，受到社会各界高度赞赏。办学近二十年，已为社会培养一批又一批的优秀学子，学院正朝着“创业名校、就业名校”的目标迈进。</t>
  </si>
  <si>
    <t>学院创办于1999年8月，2006年12月通过“国家教育部全国高职高专院校人才培养工作水平评估”。2009年4月，学校因办学条件不达标被教育部限制招生。2013年，获“2013年度中国创新人才培育示范单位”称号。2018年，通识教育部更名为人文学院。2020年，创业学院获“国家备案众创空间”认定。2021年3月，学院在整合原经济管理学院和财会金融学院的基础上设立工商学院。</t>
  </si>
  <si>
    <t>http://www.chaoshan.cn/</t>
  </si>
  <si>
    <t>http://www.cspi.edu.cn/zsb/</t>
  </si>
  <si>
    <t>0663/2290558</t>
  </si>
  <si>
    <t>广东省普宁市大学路1号</t>
  </si>
  <si>
    <t>https://baike.baidu.com/item/%E6%BD%AE%E6%B1%95%E8%81%8C%E4%B8%9A%E6%8A%80%E6%9C%AF%E5%AD%A6%E9%99%A2</t>
  </si>
  <si>
    <t>https://gaokao.chsi.com.cn/zsgs/zhangcheng/listZszc//schId/680.dhtml</t>
  </si>
  <si>
    <t>广东肇庆航空职业学院</t>
  </si>
  <si>
    <t>广东肇庆航空职业学院是2021年5月经广东省人民政府批准、国家教育部备案、广东省教育厅主管的全日制普通高等职业院校，是广东省唯一一所省属航空类民办高职院校。学校坐落于国家级历史文化名城肇庆市，毗邻白云机场、珠三角枢纽机场等航空产业聚集地，是粤港澳大湾区航空人才培养的重要基地。/岁月流转，初心不改。自创办以来，学校积极响应教育强省、教育强国的号召，立足粤港澳大湾区、服务产业转型升级和社会经济发展，以航空专业为特色，涵盖工、理、经、管、文、艺和医学等学科多专业协调发展。学校占地面积300多亩，设有8个二级学院、马克思主义学院和公共教学部，开设近50个紧贴市场需求的热门专业，现有在校生1.2万人，总校舍面积30多万平方米。目前，学校是中国航空学会第十届理事会会员单位、中国民用航空维修协会会员单位、全国智能飞行器产教融合共同体副理事长单位、全国民用航空器维修行业产教融合共同体理事会成员单位、广东省高等教育学会常务理事单位、深圳无人机行业协会副会长单位等。2025年3月成为香港国际航空学院发起的“民航人才培育联盟”创始成员单位。/师者匠心，德艺双馨。学校师资力量雄厚，拥有一支由教授、博士组成的“双师型”专任教学团队，以及一批行业企业能工巧匠组成的兼职教师队伍，“双师型”教师占比超60%。/启智育德，励学成才。学校坚持“以学生为中心”的教育理念，致力于培养具有家国情怀、国际视野、工匠精神和良好职业素养的高水平技术技能型人才。注重培养学生的实践能力和创新精神。构建了“岗课赛证”综合育人的培养体系，积极组织学生参加各类职业技能大赛、世界机器人大赛等并屡获佳绩。注重校园文化建设和学生社团活动的开展，拥有30多个学生社团组织，定期举办各类校园文化活动和体育赛事，为学生提供了展示自我、锻炼能力的平台。/质量立校，内涵发展。学校现有省级高水平专业群1个，校级高水平专业群5个；教育部职业学校面向社会开展职业技能培训典型案例和优质课程1项；广东省高校科研平台和项目4项等。/突出实训，知行合一。学校高度重视实训条件建设，投入约2亿元采购波音、塞斯纳等飞机建设航空实训基地。目前拥有CCAR/147维修培训基地、CCAR/92无人机驾驶员培训基地和广东省应急管理技能培训基地3个省部级培训基地，为学生提供良好的全链条实战教学环境，实现“教中学、学中做、做中练”。/深化合作，强化服务。学校高度重视校企合作、深化产教融合，与南方航空、香港国际机场等近百家企业建立紧密合作关系，共同开展人才培养、实习实训、科研攻关等工作，为学生就业保驾护航；积极开展各类技能认定和技能培训服务，年社会人员培训认证和科普研学超万人次。/国际交流，拓宽视野。学校积极开展国际交流与合作，与马来西亚敦阿都拉萨大学、泰国皇家园大学、新加坡工艺教育学院等多所国外知名高校和机构建立了合作关系。通过开展师生互访、学术交流、联合培养等活动，拓宽了学生的国际视野和跨文化交流能力。/端砚之都，文脉悠长；西江岸上，英才辈出。作为全省最年轻的高职院校，广东肇庆航空职业学院将继续秉持初心、砥砺前行，努力将学校建设成为一所规模稳定、质量上乘、特色鲜明，国内有影响、行业认可、粤港澳大湾区领先的高水平职业院校。努力为广大学子提供优质的教育教学服务和广阔的职业发展空间，为区域经济和社会发展提供有力的人才支撑和智力支持，为推动我国航空事业的蓬勃发展贡献更多的智慧和力量。</t>
  </si>
  <si>
    <t>https://www.gdzqac.edu.cn/</t>
  </si>
  <si>
    <t>https://www.gdzqac.edu.cn/index/pa</t>
  </si>
  <si>
    <t>0758/6110888、6110088</t>
  </si>
  <si>
    <t>广东省肇庆市高要区蚬岗镇宇浩大道10号</t>
  </si>
  <si>
    <t>https://baike.baidu.com/item/%E5%B9%BF%E4%B8%9C%E8%82%87%E5%BA%86%E8%88%AA%E7%A9%BA%E8%81%8C%E4%B8%9A%E5%AD%A6%E9%99%A2</t>
  </si>
  <si>
    <t>https://gaokao.chsi.com.cn/zsgs/zhangcheng/listZszc//schId/3156259071.dhtml</t>
  </si>
  <si>
    <t>广东南方职业学院</t>
  </si>
  <si>
    <t>广东南方职业学院是经广东省人民政府批准、国家教育部备案的全日制普通高等院校。办学以来，学校坚持以就业为导向，把人才培养质量放在学校工作的首位，针对广东省特别是珠三角区域经济发展需求和新兴人工智能、智能制造的行业发展趋势，不断调整和优化专业结构，形成了工、经、管、文等学科全面发展的专业布局。学院招生代码：14265。//学校坐落在江门市区风景区内，绿道长达6公里，占地面积1400多亩，目前建筑面积30多万平方米，全日制在校生一万多人。毕业生总体就业率每年都在98%以上，校内设立智能系统与大数据研究中心、广东南大机器人有限公司、广东智工机床装备有限公司、广东省博士后创新实践基地、广东省大学生协同创新孵化中心、广东省机器人应用技术创新基地、科技众创空间等多种实践基地。//师资、设备//学校设有建设工程学院、智能制造学院、管理学院、经济贸易学院、信息与计算机学院和马克思主义学院、创新创业学院、国际教育学院等二级学院。全院教职员591人，教授、副教授、工程师、讲师、博士、硕士等学历的教师均按比例配备，其中副高职称以上教师占比25%，中级职称教师占比41.13%，研究生学历教师占比34.66%，双师型教师占比61.37%。教学设施齐备，教学科研设备总值6546.93万元。所有课室均配有多媒体教学设备，各专业均配套相应的实验实训室，建有VBSE虚拟社会商业环境实训中心、工业4.0模拟生产车间、数控加工中心、会计手工模拟实训室、ERP沙盘模拟综合实验室、计算机实训实验室、商务运行实训室、模拟导游室、物流企业运营沙盘实训室、电路基础实训室、土力学实训室、PLC技术实训室、通讯工程实训室、工业机器人智能一体化生产线等50多个大型实训实验室。学校图书馆大楼包含图书馆、阅览室、科技创新创业和国际学术交流等功能，全面引入人工化智能管理，图书馆藏书120万册，各类期刊1000余种，阅览室配备5000余座位。//生活、服务//学校内生活设施一应俱全。设有省级安全示范食堂、超市、银行、医务中心、移动通讯服务厅等生活设施。学生公寓配有独立空调、空气能热水、直饮水、免费互联网。校园环境湖光山色、鸟语花香，是读书治学的好地方。学校交通方便，市中心多路公交车直达学院，珠三角城际轻轨和深茂高铁近在咫尺，可达广州及全省各地，实现全省2小时生活圈。//校园、文化//校内建有人工湖、观光亭、舞蹈健身室、大型演艺舞台、灯光球场、标准运动场、室内体育馆等休闲、体育设施。并开设轮滑、篮球、足球、武术、羽毛球、乒乓球、跆拳道、文学社、动漫社、爱心社、话剧社、英语沙龙、流行前线等40多个社团。丰富的社团活动给学生提供了一个发展自己、展示自己、挑战自己的机会。//创新、特色//学校自办学以来，全面贯彻党的教育方针，以服务社会为宗旨，以就业为导向，产学研孵相结合的人才培养模式，以“励耘明德，止于至善”为校训，培养德、智、体、美全面发展的人才，强调明德，立德树人，德育为先，才从属德。以“求德、求知、求能、求业”为办学理念，培养学生养成良好的社会公德、职业道德、家庭美德、个人品德，在此基础上，培养以专业技能和创新能力为核心的各种能力。为深化教学改革，强化学生实习实践能力，学校创办了广东南大机器人有限公司、广东智工机床装备有限公司和广东新偲投资有限公司等高新科技校办企业，并以校办企业和科技创新孵化基地为基础，引入“新型现代学徒制”的教学模式，打造创新人才培养平台，为企业培养技术性、应用型的综合性人才。2017年，广东南大机器人有限公司被授予了“全国高新科技企业”称号。//获奖、荣誉//为激发学生对知识探索的积极性，使学生迅速成长为高素质技能型人才，学校积极组织学生参与各级职业技能竞赛，仅校内组织的技能竞赛每年奖金就超过百万元。自办校以来，学生在技能竞赛中获奖超过1000项。2018年，我校学生在全国大学生机器人大赛中荣获国家三等奖、在第十四届全国职业院校“新道杯”沙盘模拟经营大赛中荣获一等奖、在全国职业院校财会职业能力大赛（高职组）中荣获二、三等奖、在全国职业技能“南方测绘杯”大赛中荣获一等奖、在第七届“蓝桥杯”全国软件和信息技术专业人才大赛荣获一等奖。除此之外，在国家、省、市各专业类技能竞赛活动获奖近300项。//就业、升学//学校先后与华南师范大学、广东外语外贸大学、广东工业大学、广东财经大学等院校合作举办了相沟通专升本；设立武汉理工大学网络教育专升本学习中心，为学生升本创造条件，并与英国纽曼大学、伦敦摄政大学等国际知名大学合作，为学生提供出国留学机会。学校与1000多家企业建立校企合作关系，打造实训、实习、就业平台，并与部分大型企业合作，设立奖学金，为企业定向培养优秀人才。</t>
  </si>
  <si>
    <t>http://www.gdnfu.com/</t>
  </si>
  <si>
    <t>https://www.gdnfu.edu.cn/a/zhaoshengjiuye/zhaoshengbangongshi/</t>
  </si>
  <si>
    <t>0750/3963333</t>
  </si>
  <si>
    <t>广东省江门市江海区五邑路683号</t>
  </si>
  <si>
    <t>https://baike.baidu.com/item/%E5%B9%BF%E4%B8%9C%E5%8D%97%E6%96%B9%E8%81%8C%E4%B8%9A%E5%AD%A6%E9%99%A2</t>
  </si>
  <si>
    <t>https://gaokao.chsi.com.cn/zsgs/zhangcheng/listZszc//schId/48744058.dhtml</t>
  </si>
  <si>
    <t>广东信息工程职业学院</t>
  </si>
  <si>
    <t>广东信息工程职业学院成立于2012年2月，系经广东省人民政府批准、国家教育部备案，由广东省教育厅主管的全日制普通高等学校，学校代码：14427。历经六年，学院发展成为一所具有一定办学规模，办学定位和培养目标明确，办学特色和追求鲜明，可持续发展的高职学院。现有在校生近5000人，设有立经济管理系、信息技术系、工程技术系、公共课教学部、思想政治理论课教学部和继续教育学院三系两部一院，开设软件技术、机械制造与自动化、电子商务等36个专业。学院占地和规划用地600亩，固定资产总值3.5亿元。//校企融合，工学交替。学院立足珠三角，辐射全省乃至华南地区，为地方经济社会发展培养具有创新意识的应用型高技能专业人才。学院坚定不移走现代职业教育之路，紧贴市场设置专业；改革创新教育教学，加强双师培养，强化双证教学；重视实践教学环节，重视就业创业指导。充分利用地处肇庆高新区的地缘优势，校政企融合，与唯品会、美的家居、达利园、台菱电梯等近百家知名企业建立战略合作关系，已建成40余个校外实训实习就业基地，培养学生的实践动手能力，毕业生就业率和就业满意度高，“下得去、用得上、留得住、干得好”。//立德树人，育人为本。学院坚持社会主义办学方向，重视思想政治理论课教学，重视辅导员队伍建设，每年举办一届科技艺术节和体育文化节，营造文明、绿色、和谐校园文化，着力开展国防和爱国主义教育、中国传统文化教育和法制纪律教育，培养社会主义事业建设者和接班人。校园环境优美，风清气正，是读书做学问的好地方。//回归公益，反哺社会。学院坚持教育的公益性，依法办学，办人民满意、学生满意的教育。在广东省南粤公益基金会的指导下，成立广信南粤公益专项基金和广信南粤志愿服务队。确立“公益+”的办学理念，汇集社会资源加大教育投入，改善办学条件，培养优质人才服务社会。同时，让公益成为校园生态，成为大学生成才的重要手段。//筚路蓝缕，不忘初心。“十三五”期间，学院迎来了最好的发展时机。夯实基础、狠抓管理、锻造队伍、规划未来成为学院工作的重中之重。广信人意气风发，斗志昂扬，行进在职业教育的快车道上，学院各项事业如火如荼、蒸蒸日上。//潮平两岸阔，风正一帆悬。</t>
  </si>
  <si>
    <t>http://www.xxgcxy.cn/main.shtml</t>
  </si>
  <si>
    <t>http://zs.xxgxcxy.cn</t>
  </si>
  <si>
    <t>0758/3630628</t>
  </si>
  <si>
    <t>广东省肇庆（大旺）国家高新技术产业开发区大旺大道21号</t>
  </si>
  <si>
    <t>https://baike.baidu.com/item/%E5%B9%BF%E4%B8%9C%E4%BF%A1%E6%81%AF%E5%B7%A5%E7%A8%8B%E8%81%8C%E4%B8%9A%E5%AD%A6%E9%99%A2</t>
  </si>
  <si>
    <t>https://gaokao.chsi.com.cn/zsgs/zhangcheng/listZszc//schId/374095923.dhtml</t>
  </si>
  <si>
    <t>广东亚视演艺职业学院</t>
  </si>
  <si>
    <t>广东亚视演艺职业学院创办于2000年，是一所经广东省人民政府批准成立、教育部备案、纳入国家统一招生计划的全日制普通高等院校，座落于中国最具魅力、最具经济活力的现代制造业名城、全国文明城市——东莞市塘厦镇。这里距深圳中心区25公里，距深圳北高铁站33公里，距深圳机场51公里，交通方便，风光秀丽。//学院以让学生成为一流人才，让老师成为教育家，让学校成为一流大学为愿景，以培养学生工匠精神，培养应知应会的专业理论和技能技巧，为学生毕业后的生存能力和创新、发展能力夯实基础为目标，贴近市场，把握社会产业发展方向，进行专业设置：设有6个二级学院——音乐舞蹈学院、影学院、艺术设计学院、经济管理学院、信息工程学院、中德建筑技术学院，开设了音乐表演、舞蹈表演、音乐剧、戏剧表演、摄影、编导、主持与播音、摄影摄像技术、电视节目制作、装潢艺术设计、影视动画、服装、化妆、环境艺术设计、数字媒体设计与制作、珠宝等艺术专业，和会计、工商企业管理、人力资源管理和社区管理、电子商务、信息管理、网络技术、计算机多媒体技术等非艺术专业。//学院贴近职业办学，重点培养学生的职业技能、就业能力、竞争力。学院建有计算机室、三维动画制作室、影视实训摄影棚、影视后期编辑室、录音棚、多功能实验剧场、实训演播厅、戏剧排练厅、舞蹈排练厅、琴房等实训实践基地。推行学历证书和职业资格证书相结合的“双证书”教学模式，注重实践教学、强化动手能力培养。//学院实行2+1教学，打造以项目驱动为手段的教学实践载体和平台，成立或计划成立用于学生实训的学院歌舞团、演唱乐队、话剧团、音乐剧团；影视文化制作公司、微电影、网络电视剧、网络电视台、广播站；动漫制作公司、会计师事务所、企业咨询公司、电商平台、微商平台等。与深圳保利剧院、东莞玉兰剧院、深圳市春雨艺术团、东莞塘厦松雷音乐剧团、阿里巴巴（中国）网络技术有限公司等企业单位进行校企合作，深入培养学生的动手操作能力。//学院现有教师多数为“双师型”教师，具有副高级职称及以上的占35%，主要是来自中央戏剧学院、北京电影学院、中国传媒大学、中央音乐学院、西安音乐学院、武汉音乐学院、北京舞蹈学院、莫斯科国立柴可夫斯基音乐学院、俄罗斯NOVOSIBIRSK舞蹈学院、中南财经政法大学、广东财经大学等单位的教授、工程师、艺术家。学院还计划组建学院经纪人公司，对有专业技能的老师、学生实行系统的包装，宣传推广，培养明星教师和明星学生。//学院倡导爱的核心价值观，实施爱的教育。提出以爱立教，以爱促教，以爱立学，以爱促学，让学生能成才，让学院更美好；爱学生，爱老师，帮同事，助伙伴，遵纪守法，厚德为先，行为文明；以标准管事，以制度管人，从严治校，建设健康、快乐、友爱、协作、团结的工作氛围；没有教不好的学生，只有不爱教学生的老师，没有学不好的知识，只有不爱学习的学生，把学院当家业，把职业当事业，共同成长的职业态度；爱心付出必须全情投入的价值导向。//学院毕业生活跃于全国各省市，特别是珠三角地区的企事业单位、文化艺术单位，他们以所学专业从事管理、技术、文艺、设计等工作，为当地的经济社会文化发展作着积极的贡献。//新时期，全院师生正以勤奋进取、积极奉献的态度，努力扩大办学规模，彰显办学特色，提升办学内涵，提高人才培养质量。同时，学院树立了以音乐舞蹈、戏剧影视、艺术设计、传媒类为特色，以经济管理、信息工程类为主体专业建设目标和发展规划，正在朝着创建华南地区高水平应用型本科院校的办学目标不断迈进。</t>
  </si>
  <si>
    <t>学院由孙彦军联合创办于2000年。 2002年8月，学院正式在教育部备案。2004年3月，学院正式具备接受港澳台学生资格。2005年3月，学院正式建立中等职业教学部。2007年，学院通过了教育部专家组的人才培养水平评估。2009年，学院通过了广东省教育厅思想政治理论课的建设教学评估。2010年11月，学院庆祝建院十周年。 2021年，学院列入“教育部首批中外人文交流全媒体产教融合项目首批合作院校”名单。 2022年3月7日，学院整体搬迁至德庆校区。 同年，学院获批广东省职业技能等级认定机构。 2023年12月，学院被教育部人文中心批准入选“中欧教育人文交流服务计划”名单。</t>
  </si>
  <si>
    <t>http://www.atvcn.com/</t>
  </si>
  <si>
    <t>https://www.gdatv.edu.cn/atv/zhengceguizhang/index.html</t>
  </si>
  <si>
    <t>0758/7779881</t>
  </si>
  <si>
    <t>校本部：东莞市塘厦镇138区湖景路1号</t>
  </si>
  <si>
    <t>https://www.720yun.com/t/a56j55yOkn9</t>
  </si>
  <si>
    <t>https://baike.baidu.com/item/%E5%B9%BF%E4%B8%9C%E4%BA%9A%E8%A7%86%E6%BC%94%E8%89%BA%E8%81%8C%E4%B8%9A%E5%AD%A6%E9%99%A2</t>
  </si>
  <si>
    <t>https://gaokao.chsi.com.cn/zsgs/zhangcheng/listZszc//schId/1433.dhtml</t>
  </si>
  <si>
    <t>广东创新科技职业学院</t>
  </si>
  <si>
    <t>私立/高等专科学校</t>
  </si>
  <si>
    <t>广东创新科技职业学院是经广东省人民政府批准、教育部备案、广东省教育厅主管的一所全日制普通高等职业院校。学校创建于2011年，现拥有12000多名学生规模。//学校下设信息工程学院、财经学院、机电工程系、建筑工程系、管理系、艺术设计系、外语系等7个二级学院（系），开设30个专业。//学校位于粤港澳大湾区的东莞市，地理位置优越、便利。学校坐落在“中国会展名镇”、“广东省中心镇”厚街镇的教育文化园区，毗邻包括世界500强企业三星集团、泰科和广东现代国际展览中心、世界鞋业总部基地、联创国际信息产业园等国家级产业园区。名企云集，产业集群，院校聚集，优势突出，人才需求旺盛，为学校办学提供坚实有力的支撑。//学校环境优美恬静，依山傍水，麒麟山、孔子像、亭湖桥柳相互映照，适宜学子学习、学者修学。学校有省内同类院校最大建筑规模的图书馆，文化中心、体育馆、标准化运动场等应有尽有，整个校园布局合理，简约大气。//学校坚持“高起点、高标准、严管理、创新路、铸特色”的办学方针，大力推进教育创新，深化教学改革，实施校企合作、工学结合，突出强化技能训练，提高学生的实践技能水平。校园建有一流的教学、实训实验设施，设备先进，管理规范。已建设近199个实验实训场室，教学仪器设备总值达到4000余万元。学校毕业生以其适应性强、专业技能力强、综合素质好而受到用人单位普遍欢迎和充分肯定，近年学生就业率均在98%以上。//学校高度重视实践教学，坚持“校企合作，工学结合”的人才培养模式，与东莞三星视界有限公司、南兴家具装备制造股份有限公司等数十家知名企业开展校企合作，为学生实习、实训和就业搭建了广阔平台。2012年以来先后有100多名学生参加全国性、全省性等各类技能竞赛中获奖，在省内同类院校中一枝独秀。//学校注重职业教育与学历教育的衔接性，与华南师范大学、华南农业大学、天津大学等国内知名大学合作，构建“中职教育、高职教育、本科教育（专升本）”的升学体系。学校还与美国、新西兰、澳大利亚等国家和台湾地区的大学开展对外交流和合作办学，为学生开辟海外求学的绿色通道。//学校高度重视学生的综合素质和综合能力培养，校园文化活动丰富多彩，每年举办“点子大赛”、“工模活动”、“校园购物节”、“技能比赛”、“校园文化节”等盛大活动，此外还有40多个学生社团供学生锻炼与提升创新力、组织力和沟通力。学校鼓励学生创新创造和创业，不少毕业生创办了自己的公司。//校园功能齐全，学生公寓设施齐备，均配有空调、独立浴室、独立卫生间、热水器等生活设施，生活十分方便。校园实施“一卡通”管理，校园安保措施到位，24小时安全监控，和谐安全。//学校坚持“服务产业转型升级，谋求创新跨越发展”，不断创新举措，利用区域地缘优势、专业优势、师资优势以及多种形式办学优势，致力于为广东省尤其是珠三角地区培养高素质技术技能人才。</t>
  </si>
  <si>
    <t>http://www.gdcxxy.net/</t>
  </si>
  <si>
    <t>http://www.gdcxxy.edu.cn/zsjyb/</t>
  </si>
  <si>
    <t>0769/83076600</t>
  </si>
  <si>
    <t>广东省东莞市厚街镇教育园区学府路</t>
  </si>
  <si>
    <t>https://baike.baidu.com/item/%E5%B9%BF%E4%B8%9C%E5%88%9B%E6%96%B0%E7%A7%91%E6%8A%80%E8%81%8C%E4%B8%9A%E5%AD%A6%E9%99%A2</t>
  </si>
  <si>
    <t>https://gaokao.chsi.com.cn/zsgs/zhangcheng/listZszc//schId/330807682.dhtml</t>
  </si>
  <si>
    <t>珠海艺术职业学院</t>
  </si>
  <si>
    <t>珠海艺术职业学院是南粤大地上一所重要的艺术高等学府。前身为1998年创办的中国舞教学研究院，2003年经广东省人民政府批准，教育部备案，颁发电子注册文凭，纳入国家统一招生计划的全日制普通高等院校(学院代码：12576)。学校二期建设工程项目总投资人民币5.31亿元，已被列入广东省2014年重点建设项目计划，是广东省2014年285个重点建设项目之一，是珠海市2014年27个重点建设项目之一。//学校有独特的地理优势，坐落在珠海特区金湾大学城，依山傍海，环境优美，毗邻港澳，生活方便。学校距离珠海拱北海关25分钟车程（拱北海关步行至澳门只需5分钟）、珠海机场15分钟车程、珠海九洲港码头30分钟车程（九洲港码头至香港只需45分钟船程）。乘坐城际高速列车由珠海至广州只需40分钟车程。随着横琴经济带的飞速发展，港珠澳大桥的建设开通，学校的区位优势将更为凸显。//学校办学定位精准，厚植珠海特区、立足广东、面向全国，专业设置积极对接文化艺术事业和先进第三产业的持续发展需求，为区域经济和社会发展培养应用型高技能专业人才，学校设有音乐舞蹈学院、艺术设计学院、经济管理学院和文化与旅游学院，开设包括广东省首批高职高专品牌专业首饰工艺与设计、省级重点建设专业环境艺术设计、及音乐表演、舞蹈表演、播音与主持、工商企业管理、旅游管理和商务英语等在内的31个专业，涵盖艺术学、管理学、经济学等5大学科门类，形成以艺术教育为特色，文经管协调发展的办学格局。学校面向全国20多个省、市、自治区招收普通高等教育、成人高等教育学生，还与华南师范大学、广州美术学院、广东财经大学等院校合作开展“相沟通”自考本科教育，学生在毕业时可同时获得华南师范大学、广州美术学院、广东财经大学等院校的大学本科毕业证书。学校还与广东工业大学合作开展联合培养工业设计专业硕士研究生项目，与国外多所大学建立联系开展海外留学合作项目。//“所谓大学者,非谓有大楼之谓也,有大师之谓也”。学校高度重视师资队伍建设，其中有40多名来自海内外的博士、教授荟萃校园，另有包括亚洲工艺美术大师、世界著名乐团首席表演家等在内的行业精英作为专任教师在校执教授艺。教师团队中涌现出国家级优秀教师1人，南粤优秀教师3人，省级优秀教师4人，珠海市优秀教师7人。//经过近二十年的发展，学校形成了鲜明的办学特色，取得丰硕的办学成果。学校认为贯彻实施广东省高等教育“创新强校工程”和“质量工程”，不断加强内涵建设，实施以重点专业建设带动整体办学水平提升的战略，特别是学校积极探索和推进“现代师徒制”人才培养模式，在音乐舞蹈类专业践行“院团结合，教演一体“的教学模式，应用美术设计类专业推广”真实项目“教学模式，经管类专业实行产教融合、校企合作共同育人的教学模式，均取得良好效果。目前拥有首饰工艺与设计、环境艺术设计共2个省级品牌（重点）专业，音乐表演等8个校级特色（重点）专业。2014年环境艺术设计专业被列为广东省重点专业建设项目，2015年珠宝首饰工艺及鉴定专业被评为广东省高职高专首批品牌专业（全省30多所民办高校仅有6个专业入选）。2015年至2016年学校荣获省级品牌建设专业、精品资源共享课程和公共实训中心等十二项建设项目。2016年我校《艺术类高职现代师徒制人才培养模式的探索与实践》专业建设案例，喜获2016年度全国民办职业技术教育“十佳”专业建设案例。//学院坚持以就业为导向，注重学生实践动手能力训练和职业意识培养，把校企合作作为加快高素质技能人才培养的有效途径，与广东长隆集团（珠海横琴长隆）、香港中旅（海泉湾）温泉有限公司、澳门维多利亚酒店、珠海中邦艺术酒店、澳门明辉珠宝实业有限公司、台湾豪门雕塑、珠海大剧院、中山泰华集团（伊泰莲娜首饰精品有限公司）、珠海市总工会艺术团等知名企业共建校外实习就业基地，做好毕业生就业指导和就业服务。学院历届毕业生就业率达97%以上，并积极拓展港澳台及海外就业市场，自2013年8月以来，每年都有十多名优秀毕业生经学院推荐获得澳门企业录用通知书。学院不断努力为国内及港、澳、台、东南亚地区的经济和社会发展输送了大批优秀专业人才。//学院注重开放办学，与美国、英国、法国、意大利、加拿大、澳大利亚、新加坡以及港澳台等国家和地区教育机构进行交流和合作办学，学习和吸收国际先进的教育观念和教学资源，学院设有国际教育部，专门负责海外留学及国际通行的资格证书考试等项目，并举办多种海外留学项目，学生在校期间可攻读国外文凭。//学校同时注重艺术熏陶与人格培养，经过近二十年的创新发展，教育教学质量逐年提高，社会美誉度与影响力不断扩大，参加全国、省、市大型文艺演出成绩斐然，多次获得中央电视台、人民日报、珠海电视台及海内外媒体载文报道。特别是近几年，学生生连续五年获澳门中华妈祖基金会的邀请，参加澳门政府主办的最具代表性文化活动——妈祖文化节开幕式的主演。学校合唱团连续两年在省级比赛中荣获一等奖，仅2015年，在广东省大学生声乐、器乐、舞蹈比赛中荣获2金1银8铜，总成绩在全省名列前茅，尤其是学校合唱团成为专业组一等奖中唯一的高职高专学校；2015年广东省水彩画大赛和广东首届中国山水画专业组评奖中，我校三名教师斩获2金1银，尤其在水彩画大赛专设的三项金奖中，独占二项金奖；我校民族乐团连续两年喜获广东省音乐邀请赛一等奖；2016年我校邓晓雯同学荣获广东省第十一届大学生校园文化艺术节（第四、第八赛区）十大校园歌手大赛一等奖；我校原创作品：《今天的女儿明天的妈妈》荣获广东省第十一届大学生校园文化艺术节（第四、第八赛区）舞蹈大赛一等奖；学校的特色化办学得到了社会的满意和认可。2014年，学校被广东省教育厅列为粤港澳教育合作框架中，指定的艺术教育交流的粤方学校之一。为配合和助推“一带一路”沿线国家和地区积极参与文化交流与合作，我校著名指挥家平黎明教授、国际钢琴演奏家沃一杜霍娃.伊琳娜（俄罗斯）博士等名师应邀赴澳门科技大学开坛讲座及赴泰国开展文化艺术交流活动等。2016年，学校被选为中国艺术职业教育学会常务理事单位，同时成为全国六所首批艺术硕士（MFA）专业学位研究生实践教学基地联盟院校之一，与其他联盟院校共同担负起为国家培养高水平艺术专业人才的重任。//文化自信方兴，艺术繁荣风劲，国家文化艺术事业发展风帆正起。衔艺术之使命，擎责任之担当，珠海艺术职业学院将不断锤炼南粤艺术品牌，为国家打造文化社会软实力提供更多的专业人才支撑,努力成为与国外及港、澳、台进行文化艺术交流的一扇窗口。</t>
  </si>
  <si>
    <t>学院前身为1998年创办的中国舞教学研究院，2003年经广东省人民政府批准、教育部备案，颁发电子注册文凭，纳入国家统一招生计划的全日制普通高等院校。 2014年，学院被广东省教育厅列为粤港澳教育合作框架中，指定的艺术教育交流的粤方学校之一。 2019年，成为广东省商业美术学会副会长单位。</t>
  </si>
  <si>
    <t>http://www.zhac.net/xin/index.asp</t>
  </si>
  <si>
    <t>https://zsb.zhac.edu.cn/</t>
  </si>
  <si>
    <t>0756/3982377、3982388</t>
  </si>
  <si>
    <t>校本部：珠海市金湾区广安路2号</t>
  </si>
  <si>
    <t>https://www.720yun.com/t/d2djtz4ksf4</t>
  </si>
  <si>
    <t>https://baike.baidu.com/item/%E7%8F%A0%E6%B5%B7%E8%89%BA%E6%9C%AF%E8%81%8C%E4%B8%9A%E5%AD%A6%E9%99%A2</t>
  </si>
  <si>
    <t>https://gaokao.chsi.com.cn/zsgs/zhangcheng/listZszc//schId/1108.dhtml</t>
  </si>
  <si>
    <t>广州华南商贸职业学院</t>
  </si>
  <si>
    <t>14年办学历史2005年，经广东省人民政府批准，国家教育部备案，具有全日制招生资格的普通高等学校，已有14年的办学历史。3所高校，强强联手2017年8月，并入广东南博教育集团，依托南博教育集团雄厚的办学实力与办学优势，学院的办学规模和办学水平跃上了一个新台阶。南博教育集团旗下有广东3所高校，广东科技学院（本科）、广州南洋理工职业学院（专科）、广州华南商贸职业学院（专科），强强联手，资源共享，人才培养更具有竞争力，就业前景更广阔。2大校区天河校区地处高校林立的广州市天河区，毗邻华南理工大学、华南农业大学、广东工业大学等高校，是广东省唯一一所地处广州CBD的民办高职院校。交通便利，有多条公交线路经过，地铁六号线（长湴站）直达。白云校区地处广州第二大学城，位于白云区钟落潭镇健康城高校园区，毗邻仲恺农业工程学院、广东青年职业学院；交通便利，紧临京珠高速钟落潭出口和广从快速路，地铁14号线钟落潭站，有专车接驳十分钟到校。29个专业学院现有商务管理系、贸易经济系、信息工程系、人文与外语系、财务会计系、人工智能系及思想政治理论教学部（公共课教学部）；开设29个专业，在校生人数6300多名。学院大力引进优质资源，推进教育国际化，与澳大利亚纽卡素大学法商学院、澳洲国际商学院、马来西亚国民大学等国际知名大学开展各项合作。233个校外实习基地学院拥有校内外实训和实习基地233家，覆盖所开设的全部专业，为学生提供广阔的顶岗实习和就业渠道。36个学生社团学院现有学生社团36个，为学生才华施展搭建广阔平台，在各级各类技能竞赛中屡获殊荣。11届毕业生学院已为各行各业生产第一线、管理、服务岗位输送人才逾两万人，毕业生深受用人单位的认可，学院的社会美誉度逐年提升。办学定位以广州国际商贸中心为依托，以立德树人为宗旨，以促进就业为导向，立足广东，面向华南地区，服务地方，服务基层，培养高素质、复合型技术技能人才，把学院办成商贸特色鲜明、社会服务能力较强的省一流高职院校。1./素质为本2./技能为重3./创新为源4./特色为上校风求实创新/自强不息教风为人师表/厚德善导学风乐学多思/知行合一办学特色（一）坚持“品高为上，德厚乃昌”，打造人才培养思想品德上的“人品”特色。（二）坚持“商通世界，贸利民生”，打造人才培养专业技能上的“商贸”特色。专业建设学院以“商贸主线、文贸并举、商工融合”的办学思路加强专业建设，专业的设置和人才培养方案的制订，均经过严谨充分的市场调研，聘请行业企业专家参与决策、进行论证。人才培养方案的设计，注重强化学生文化素养、健康身心、职业精神、适岗通用能力和职业核心能力的培养。教学改革学院深入推进教育教学改革，深化校企合作、践行产教融合，积极实施“教学做”一体化、工学结合的教学模式，强化学生实践能力、创新思维和创新能力的培养。全面推行毕业证书和职业资格证书“双证书”制度，大幅提升学生的创业能力、就业能力和就业质量。课程体系学院贯彻“学生为中心”的教育理念、落实“立德树人”根本任务，课程体系建设坚持育人为本、促进学生德技并修。设置公共基础课、专业基础课、专业核心课、专业拓展课和选修课序列，设置人品塑造工程和综合素质教育项目，立足培养“德智体美劳”全面发展、身心健康的优秀职业人。师资队伍学院具有一支高学历的教师队伍，青年教师已基本实现硕士化，高级职称教师数量大幅增加。学院十分重视专业教师“双师素质”的培养，每年输送大量的专业教师到企业顶岗实践、到国内外著名高校培训学习，引进具有企业工作经验的人员充实教师队伍，聘请行业企业的专业人才和能工巧匠担任兼职教师，形成了一支结构合理的优秀教师队伍。实践条件学院投入重金加强实训中心建设，不断改善和优化实践教学条件，形成了教学、生产、经营、服务相辅相成、相互补充的实训格局；实训中心注重软环境建设和精细化管理，引进企业文化，制定了科学规范的管理制度，打造出管理先进、特色鲜明、卓有成效的实训中心，为提升人才培养质量创造了良好的条件。就业愿景学院与京东、新邦物流、皇冠假日酒店、新宝电器等数百家企业建立了长期的实习、就业、订单培养、双主体培养等深层次合作关系，毕业生就业空间广阔；近年来，毕业生就业满意度、在岗稳定率和就业质量不断提升，专业对口率也稳步提高；大部分毕业生从事经营管理、行政管理等岗位，其良好的综合素质和专业素养得到了用人单位的高度认可，展示了我院毕业生良好的就业竞争力。</t>
  </si>
  <si>
    <t xml:space="preserve">学校于2005年2月21日由广东省人民政府批准成立；2018年3月15日，举办者由许诚、许成宽、许成国、广州市民兵预备役训练基地变更为广东南博教育投资有限公司。 </t>
  </si>
  <si>
    <t>http://www.hnsmxy.cn/</t>
  </si>
  <si>
    <t>https://nzsw.scbt.edu.cn/</t>
  </si>
  <si>
    <t>020/28388105、28388108</t>
  </si>
  <si>
    <t>广州校区：广州市白云区钟落潭镇长腰岭长学路300号</t>
  </si>
  <si>
    <t>https://baike.baidu.com/item/%E5%B9%BF%E5%B7%9E%E5%8D%8E%E5%8D%97%E5%95%86%E8%B4%B8%E8%81%8C%E4%B8%9A%E5%AD%A6%E9%99%A2</t>
  </si>
  <si>
    <t>https://gaokao.chsi.com.cn/zsgs/zhangcheng/listZszc//schId/1245484.dhtml</t>
  </si>
  <si>
    <t>广州华夏职业学院</t>
  </si>
  <si>
    <t>广州华夏职业学院是经广东省人民政府批准成立、教育部备案的全日制普通高等学校。目前，有近1.5万名学子在这所优美的高校中学习和成长。在这里，他们能与广东最优秀的专家、教授们有最直接的接触，包括享受国务院特殊津贴者、省部级重点学科带头人、省级高校教学名师及一大批具有工程实践和创新创业背景的名师名家。学校地处广州市，毗邻京港澳和大广高速公路以及地铁14号线，国道、省道纵横交错，区位优势得天独厚。学校环境优雅，四季如画。校园建筑吸取岭南建筑之精华和神韵，银墙绿瓦搭配和谐，亭台楼榭错落有致，湖光山色处处皆景，配以完善的生活和教学设施，整个华夏校园渗透出书香萦绕、静思求学的修读氛围,让每一个亲临者流连忘返、赞誉有加。遵“厚德、重能、敬业、善事”之校训、重“承华夏文明、育职业英才”之教育理念，循“诚信、勤奋和感恩”的树人标准、扬“一日华夏人、终身华夏情”的校园文化，让学生、家长们放心、开心！学校下设财政经济学院、管理学院、车辆自动化学院、信息工程学院、建筑工程学院、艺术传媒学院、教育学院、卫生健康学院和继续教育学院等9个学院及思政部。学校专业建设成绩斐然，现有1个省重点专业、4个省重点资助建设专业、3个自主招生专业，今年有49个专业招生，几乎涵盖了当今社会上所有热门专业，让学生们学有目标、实践有追求,能充分发挥学用一致、活学活用的积极性和潜能。2016年来，学校教师在教科研方面也取得了丰硕的成果：承担了省部级课题20余项，市厅级课题20余项；已受理各类专利239件（其中发明专利103件），已获得证书45件；公开发表论文400余篇；参加国家及省级各项比赛获奖10余项。另外，在华夏师生的共同努力下，还把“全国职业教育先进单位”、“国防教育特色学校”、“广东省民办非企业5A级单位”、“广东省民办教育最具竞争力提升院校”、“广东省依法治校示范校”、“广东‘五一’劳动奖状”等一系列荣誉奖牌捧进了华夏校园。学校不仅已为社会培养了大批高素质人才，而且办学质量得到了社会的充分肯定，根据广州日报4月10日发布的中国“2019广州日报高职高专排行榜”我校名列全国公民办高职高专第410名，其中在民办高职高专中位列全国第12名。学校坚持以促进就业为导向，毕业生初次就业率连续稳定在98％以上，就业率稳居广东省民办高校前列，2018年就业率名列全省民办高职院校第一名，在公民办高职院校整体排名中位列第三。学校还与华南理工大学、暨南大学和华南师范大学等省内名校建立了长期稳定的“专升本”合作关系，为学子们深造创造了通道；并且还积极开拓国际交流与合作，与美、澳、加、日、韩等国及台湾地区的高校开展了交流与游学项目，为学子们拓宽视野创造了良好的条件。学校生活条件舒适便利，6人学生公寓标准配置：空调、宽带、独立卫生间、冲凉房、衣柜、电脑台、写字台等设施一应俱全，所有教室、图书馆、饭堂等楼堂馆所均配备了空调；塑胶跑道的标准田径运动场，足球场、篮球场、羽毛球场、学生活动中心等文体活动场所一应俱全。学校坚持以以创新为宗旨，大力推行工学结合，已与省内200余家大中型企事业单位建立了紧密的校企合作关系和多个校企合作基地与人才市场供需网络；与国信蓝桥、吉利汽车及捷佳航空技术等企业共建了合作育人特色班；广百物流、白天鹅酒店集团等数个著名企业与我校相关专业签订了“订单”协议……等等，构筑了实习与就业的畅通平台，为莘莘学子铺设了通往职场的快速通道，走上了校企合作办学、合作育人、合作发展的轨道。同时，学校的大学生创业广场能为学生们提供实践场地和创业实践平台。学校拥有40多个各类学生社团组织，涵盖了科技、文化、艺术、体育、公益等领域。丰富多彩的社团生活，让学子们的兴趣与特长得以自由成长，潜能与创造力得以充分迸发。学校致力于学生的全面发展，实施“以党建为引领，半军事管理和传统文化教育相结合”的“三合一”育人模式。该模式注重培养学生爱党、爱国、爱社会主义的理念以及仁爱、感恩、勤奋与诚信之品德。该模式得到中组部、教育部、广东省委、省教育厅、广大学生及其家长、用人单位和兄弟院校的充分肯定和高度评价。让学生“德技双馨、学有所成”、“创建中国最好的职业教育”是我校始至不渝的奋斗目标！</t>
  </si>
  <si>
    <t>2009年3月，广州华夏职业学院成立。 2010年6月，学校党总支及下属党支部成立；12月，党委正式挂牌成立。 2016年1月，华夏图文信息中心大楼落成并投入使用。 2017年3月，学校新农村研究院正式揭牌。 2024年1月12日，广州华夏职业学院国际学术交流中心（华夏·弘博馆）正式开馆。 学校先后获得了“全国职业教育先进单位”“全国国防教育特色学校”“全国教育系统先进集体”“广东省党建工作先进集体”“广东省民办非企业5A级单位”荣誉称号。</t>
  </si>
  <si>
    <t>http://www.gzhxtc.cn/</t>
  </si>
  <si>
    <t>http://zsw.gzhxtc.cn/show.php?id=681</t>
  </si>
  <si>
    <t>020/87865222、020/87864999</t>
  </si>
  <si>
    <t>广东省广州市从化区城鳌大道东772号</t>
  </si>
  <si>
    <t>https://www.720yun.com/t/32d23mbgxtn</t>
  </si>
  <si>
    <t>https://baike.baidu.com/item/%E5%B9%BF%E5%B7%9E%E5%8D%8E%E5%A4%8F%E8%81%8C%E4%B8%9A%E5%AD%A6%E9%99%A2</t>
  </si>
  <si>
    <t>https://gaokao.chsi.com.cn/zsgs/zhangcheng/listZszc//schId/48743431.dhtml</t>
  </si>
  <si>
    <t>广州南洋理工职业学院</t>
  </si>
  <si>
    <t>广州南洋理工职业学院，是经广东省人民政府批准、国家教育部备案的省属全日制普通高等学校，简称“南洋理工”。学校与广东科技学院、广州华南商贸职业学院同属广东南博教育集团旗下的高等院校，依托南博教育集团雄厚的办学实力与集团化办学优势，取得了卓越的办学成绩，赢得了社会各界的一致好评。学校以“创百年学府，育产业精英”为愿景与使命，遵循“育人立校，质量兴校，人才强校，特色荣校，制度治校”的办学理念，立足广州、面向珠三角、服务广东，主动适应珠三角产业结构和区域经济社会发展需求，深入推进基于“产教融合、校企合作、工学结合、顶岗实习”的人才培养模式改革，致力于培养“德才兼备，技能突出，全面发展”的应用型、高素质技术技能人才。2016年底，学校正式确立了“十三五”期间升格为本科院校的发展目标。近年来，学校大力推进由外延式发展向内涵式发展的转变，着力打造“思想道德好、实践技能高、综合素质高和就业质量高”即“一好三高”的人才培养特色。先后被民政部授予“全国民办非企业单位优秀服务品牌”称号；被教育部国防教育办公室、全军学生军训工作办公室授予“优秀组织单位”称号；被广东省教育厅评为“广东省就业工作督查优秀等级”，并荣获“最具竞争力提升院校”称号。学校还先后荣获“广东省民办教育突出贡献奖”、“广东最具就业竞争力民办学院”、“广东最具社会认可度学院”、“广东省国防教育先进工作单位”、教育部“国防教育特色学校”等殊荣。目前，广州南洋理工职业学院正站在新的历史起点上，为把学校建设成为广东一流、全国知名的高水平民办理工类大学而努力奋斗！学校发展历程：广州南洋理工职业学创建于1984年，其前身为“广州南洋自学辅导大学”，后于1996年更名为“广州南洋科技专修学院”，2004年经广东省人民政府批准、国家教育部备案设立“广州南洋理工职业学院”，正式升格为全日制普通高等学校。办学条件基本完善：学校坐落在有“广州后花园”之称的广州市从化区。设有建筑工程学院、机电与汽车学院、信息工程学院、经济管理学院、服装与设计学院、外国语学院、中医健康学院、马克思主义学院、通识教育学院九个二级学院；现有全日制专科在校生11235人，教职工700余人，其中专任教师近500人；校园面积509亩，校舍近20万平方米；拥有先进的专业实验室（场）120个，多媒体教室156间，教学仪器设备总值达/4700多万元，普通课室全部安装空调；图书馆馆藏纸质图书88万多册、电子图书41万册；学生公寓全部装有空调、宽带，提供热水供应等，并在生活区建有商业一条街等生活配套设施，获评“广东省学校卫生管理评价优秀学校”。教育教学改革成效显著：学校专业设置以工科类专业为主，经、管、文、艺类专业协调发展，现有招生专业41个，其中省级品牌专业1个，省财政重点支持专业5个，校级重点专业8个；5项省级教学成果培育项目获省教育厅立项；“高职院校‘技能优先/基础模块’教学改革研究”入选2016年度民办职业技术教育“十佳”案例；依托“学生军政教导队”创新大学生思想政治工作模式，成效显著，先后荣获国家级奖项5项、省级奖项13项、市级奖项5项。人才培养质量不断提高：学校遵循“以赛促学，以赛促教，以赛促改”的原则，积极组织师生参加各级各类技能大赛，在校生在全国职业院校技能大赛、全国网站设计开发大赛、全国跨境电商大赛、全国电子商务类三创大赛等赛事中成绩优异；毕业生就业率一直保持在98%以上。根据第三方调查机构麦可思报告，学校在广东省高职院校毕业生就业现状满意度调查中排名全省第二；根据权威媒体广州日报作为第三方评估机构发布的“2017年全国民办高职高专排行榜”显示，我校位居全国民办高职高专院校排名第29名、广东省民办高职高专院校第3名。科研实力大幅提升：近五年来，学校教科研实力及社会服务能力快速提升，先后有100多项科研课题获立项，科研经费位居全省民办高职院校第二；多次获评“广州市科普先进集体”、“广州市先进企事业科协”。</t>
  </si>
  <si>
    <t>学校前身是创建于1984年的广州南洋自学辅导大学，1998年更名为广州南洋科技专修学院，2004年由广东省人民政府批准、教育部备案设立广州南洋理工职业学院，升格为全日制普通高等学校。</t>
  </si>
  <si>
    <t>http://www.nyjy.cn/</t>
  </si>
  <si>
    <t>https://www.gznylg.edu.cn/zsb</t>
  </si>
  <si>
    <t>020/87992828</t>
  </si>
  <si>
    <t>广州市从化区环市东路1123号</t>
  </si>
  <si>
    <t>https://www.720yun.com/t/536jOztaka7</t>
  </si>
  <si>
    <t>https://baike.baidu.com/item/%E5%B9%BF%E5%B7%9E%E5%8D%97%E6%B4%8B%E7%90%86%E5%B7%A5%E8%81%8C%E4%B8%9A%E5%AD%A6%E9%99%A2</t>
  </si>
  <si>
    <t>https://gaokao.chsi.com.cn/zsgs/zhangcheng/listZszc//schId/1955.dhtml</t>
  </si>
  <si>
    <t>广东碧桂园职业学院</t>
  </si>
  <si>
    <t>办学层次</t>
  </si>
  <si>
    <t>http://www.bgypt.com/</t>
  </si>
  <si>
    <t>http://www.bgypt.com</t>
  </si>
  <si>
    <t>0763/3936013、3918200</t>
  </si>
  <si>
    <t>广东省清远市清城区东城街道大学东路2号</t>
  </si>
  <si>
    <t>https://baike.baidu.com/item/%E5%B9%BF%E4%B8%9C%E7%A2%A7%E6%A1%82%E5%9B%AD%E8%81%8C%E4%B8%9A%E5%AD%A6%E9%99%A2</t>
  </si>
  <si>
    <t>https://gaokao.chsi.com.cn/zsgs/zhangcheng/listZszc//schId/1003562858.dhtml</t>
  </si>
  <si>
    <t>广东文理职业学院</t>
  </si>
  <si>
    <t>广东文理职业学院是广东省人民政府批准成立，国家教育部备案，面向全国招收国家任务生的全日制普通高等院校，隶属广东省教育厅。学院坐落在南海之滨的中国首批对外开放沿海港口城市、中国优秀旅游城市、北部湾新兴科技工业城市——湛江市，这里人文荟萃，景色美丽，交通便利，水陆空交通网络直通全国各地，是莘莘学子理想的求学圆梦之地。千亩生态园林式校园依山傍水，环境优雅，常年绿树成荫，四季繁花飘香，威武将军山、俏丽日月湖把校园点缀得绚丽多姿。学院办学用地1590亩，建筑面积40多万平方米，拥有现代化的教学大楼、图书馆、行政大楼、高标准的学生公寓、高校示范性餐饮中心、艺术馆，网球场、羽毛球馆、乒乓球馆、室内外篮球场、排球场、健身房等。学院实验实训中心10.2万平方米，已具备教学、培训、科技开发、生产四位一体功能。校外实训和顶岗实习基地234家，覆盖所开设的全部专业。基础设施按20000人的办学规模配套建设，为学生提供了一个舒适的学习、生活环境。为支持学院升格为应用型本科院校，国家发改委为我院下拨了专项实训设施建设资金。学院将建成一流的“广东奥克体育中心”，内设“劳丽诗跳水馆”。学院秉承“生态文理、人文文理、特色文理、品牌文理”的办学理念，设有教学单位“七系一部三院”，50个专业。现有学生11191人，教职员工901人，专任教师658人，“双师型”教师402名。正、副教授等高级专业技术职称教师占39.5%，博士、硕士学位教师占47.8%，聘请了30多名著名专家、教授为学院的特聘教授和学科带头人；引进了50多名知名度高的专家、教授为各专业课程带头人；每年邀请海内外专家、学者来校讲学交流，使教育教学充满活力，让学生拓展视野，提升文化涵养。一大批优秀青年教师迅速成长，16人次荣获全国优秀教师、南粤优秀教师、南粤优秀教育工作者等称号。学院高度重视教研与科研工作，设置有“粤西区域经济发展研究中心”“岭南文化研究中心”“廉江市电子电器研发中心”“广东文理发展研究中心”“茗龙茶学研究所”“岭南廉江红橙研究所”“汽车与物流研究院”等“四中心两所一院”，并制订相关政策，对教师取得教研、科研项目及成果给予经费支持与奖励。近年来教师17项课题获得省级立项，形成了良好的科研氛围。近年来，师生在各级各类期刊上发表学术论文361篇，编写教材16种，申请国家发明专利和实用新型专利132项，其中“太阳能LED广告牌”、“节能印刷机装置”等十多项已被企业转化应用。学生参加全国职业院校技能大赛获奖200多人次。学院坚持以就业为导向，致力推进校企合作，建有6个校办工厂和一大批校外实训基地，培养的学生专业基础知识扎实、实践动手能力强、综合素质高，富有敬业创新精神，特别在组织管理能力、协调沟通能力和语言表达能力等方面深受用人单位好评，近年来就业率达98%以上。学院一直坚持“全环境育人”，致力于打造园林意境生态校园，种植有来自世界各地的名贵植物3000多种20多万株，山水花木、石桥楼阁，皆是具有审美价值的景观元素，构成了丰富多彩、有意味的校园景观。学院致力于培育健康、和谐、向上的校园文化，每年举行一次大型校园文化艺术节，33个学生社团积极开展一系列主题鲜明、富有特色的校园文化活动，让学生懂得感恩，善于分享，学会发展。学院“醒狮队”多次参与社会大型活动；每年组队参与“香港国际武术节”“湛江国际龙舟邀请赛”“珠海全国龙舟邀请赛”并取得好成绩；组织学生参与“广东省运动会”“东盟博览会”“中国国际海洋博览会”“红橙旅游文化节”等大型活动担任志愿者，拓展了学生的视野，提升了学生服务社会的意识和综合素质。学院对品学兼优、家境贫困的学生，一律免去其学杂费和食宿费；设立“学院奖学金”奖励品学兼优学生，2018年共奖励750人次合计130多万元；资助贫困生近300人完成学业，合计近60万元。学院还设立了“劳丽诗奖学金”，表彰奖励品学兼优、创新创业、国际交流和各级职业技能大赛中表现突出的学生。2006年以来，学院获得“全国文明单位”“军民共建社会主义精神文明先进单位”“全省爱国拥军模范单位”“广东省文明单位”“广东省军民共建先进单位”“安全文明校园”“园林式单位”等荣誉，广东省教育厅领导和教育界专家多次来校视察，对学院的立体育人环境和人才培养特色非常赞赏。大批德才兼备的毕业生受到社会广泛赞誉，学生、家长、社会给予学院高度的评价。2016年7月10日，时任中央政治局委员、广东省委书记，现任国务院副总理胡春华同志莅临学院考察时，对学院的建设和发展给予充分肯定，认为学院的办学定位和发展方向正确，学院建设上档次、很大气；学院专业发展以理工科为主，为广东省的建设急需大量理工科人才提供了保障；学院在全国招生，有利于不同地区学生之间的交流和学习，更好地为全国各地培养人才。学院升格本科院校纳入《广东省高等学校设置“十三五”规划》。2017年10月，学院的升本工作通过了广东省教育厅专家组的现场考核，经省高等学校设置专家委员会评议通过，并将学院的升格材料上报教育部。目前，学院深入学习贯彻党的“十九大”精神、全国教育大会精神和习近平总书记视察广东的重要讲话精神，以习近平新时代中国特色社会主义思想为指导，以昂扬的斗志，科学、务实的态度，和“以申促建、以申促改、以申促管、申建结合、重在建设”的求进精神，全面提升教育教学水平和人才培养质量，以建设一流本科职业院校为奋斗目标，致力办人民满意的大学！</t>
  </si>
  <si>
    <t>http://www.gdwlxy.cn/</t>
  </si>
  <si>
    <t>http://www.gdwlxy.edu.cn/Html/Article/list_533.html</t>
  </si>
  <si>
    <t>0759/6655555</t>
  </si>
  <si>
    <t>广东廉江市九洲江大道78号</t>
  </si>
  <si>
    <t>https://baike.baidu.com/item/%E5%B9%BF%E4%B8%9C%E6%96%87%E7%90%86%E8%81%8C%E4%B8%9A%E5%AD%A6%E9%99%A2</t>
  </si>
  <si>
    <t>https://gaokao.chsi.com.cn/zsgs/zhangcheng/listZszc//schId/5309679.dhtml</t>
  </si>
  <si>
    <t>广州东华职业学院</t>
  </si>
  <si>
    <t>广州东华职业学院是经广东省人民政府批准设立，教育部备案，广东省教育厅主管的一所全日制普通高等院校。学院坐落于广州市白云区帽峰山风景区东侧，毗邻广州天河软件园和广州黄埔科学城，环境优美，交通便利。既是“一处都市里的学府”，也是“一所风景区里的大学”。校园占地面积758亩，基础设施完备，是读书治学、修心养性的圣地。现有在校生10000余人。学院坚持以立德树人为核心，以服务经济社会发展为宗旨，以“以真･实求知，以善･美修行”为校训，以就业为导向，突出职业道德、职业技能和就业创业能力培养，促进知识、技能、素质的协调发展。学院设有软件工程学院、工商管理学院、智能机电学院、会计与金融学院、建筑工程学院、语言与传媒学院、信息工程学院、创新创业学院、公共理论学院、继续教育学院共10个学院，开设了经管类、建筑类、艺术类、信息类、会计类等41个专业(方向)。拥有一支师德高尚、业务精湛、结构合理的教师队伍和管理队伍，同时聘请广州地区高校专家学者、行业企业能工巧匠担任学生的企业及职业导师。学院积极推动办学内涵建设，大力加强“创新强校工程”和“质量工程建设”，教学科研水平不断提高，取得了一批教学科研成果，具有多项专利技术。学院积极推行专业设置与产业需求、课程内容与职业标准、教学过程与生产过程“三对接”，学历和职业资格“双证书”制度。学院建有数控摸具、汽车维修车间，以及移动互联机器人、信工小发明、物联智能、CAD/CAM、PRO/E建筑材料等69个实训室，为学生提供良好的实训条件。学院与行业企业深度融合，与广州地铁、中国建设银行、中铁集团、广汽集团、高新技术开发区等百家企业建立了良好的校企合作关系，形成校外实训基地网络，为学生的实习与就业搭建起广阔的平台。依托实习基地，探索人才协同培养机制，开展创新创业实践，努力办出职教特色。坚持依法治校，规范管理，加强校风建设，党建工作、团学工作和社团活动有序开展，校园文化生活丰富多彩。毕业生素质好，社会评价高。毕业生总体就业率达97%以上，用人单位对我院毕业生满意度及毕业生对就业满意度均达96%以上。“大潮起珠江，敢为天下先”。目前，东华学院正以全面贯彻习近平总书记视察广东重要讲话精神为契机，实施“十三五”发展规划，进一步扩大办学规模，优化办学条件，加快内涵建设，提升人才培养质量，为把学院打造成广东高职教育的辉煌品牌而努力奋斗！</t>
  </si>
  <si>
    <t>http://www.gzdhxy.com/</t>
  </si>
  <si>
    <t>http://www.gzdhxy.edu.cn/zszx/index.aspx</t>
  </si>
  <si>
    <t>020/87470138</t>
  </si>
  <si>
    <t>广州市白云区太和镇穗丰水均田路363号</t>
  </si>
  <si>
    <t>https://www.720yun.com/t/9802daikjnf</t>
  </si>
  <si>
    <t>https://baike.baidu.com/item/%E5%B9%BF%E5%B7%9E%E4%B8%9C%E5%8D%8E%E8%81%8C%E4%B8%9A%E5%AD%A6%E9%99%A2</t>
  </si>
  <si>
    <t>https://gaokao.chsi.com.cn/zsgs/zhangcheng/listZszc//schId/374385542.dhtml</t>
  </si>
  <si>
    <t>广东酒店管理职业技术学院</t>
  </si>
  <si>
    <t>广东酒店管理职业技术学院是经广东省人民政府批准设立，国家教育部备案全日制普通高等职业院校，2016年纳入国家普通高考招生计划，颁发国家普通高校毕业证书。学院位处东莞—粤港澳大湾区科创经济带核心区域，香港、深圳、广州半小时生活圈内。学院规划占地面积908亩，总投资近20亿人民币。学院以“低碳环保/绿色清新”为建设理念，由中国工程院何镜堂院士亲自主持规划设计，建筑格调和空间布局和谐大气。学院教学实训设施完善，学生公寓配置和服务优于全国同类高校，教师公寓按星级酒店标准配置和管理。学院“双师型”教师队伍来自海内外，60%具有硕士以上学历（学位），还特聘一批业界资深高管。学院以培养现代服务业中端技能人才为目标，2019年开设酒店管理、旅游管理、餐饮管理、物业管理、会展策划与管理、商务英语、烹饪工艺与营养、西餐工艺、中西面点工艺、会计、金融管理、工商管理、市场营销、电子商务、物流管理、计算机应用技术、机电设备维护、大数据分析与应用、人工智能、消防技术与工程、护理、健康管理、幼儿发展与健康管理、老年服务与管理、空中乘务、艺术设计等33个专业。2018年全日制在校学生为5238人,根据学院发展规划，到2022年，全日制在校生规模将达到12000人。学院构建国际化、开放型的办学格局,与万豪、洲际、凯悦、希尔顿等国际品牌酒店集团和驻广深莞世界500强企业集团亲密合作、协同育人；与澳大利亚、芬兰、泰国、马来西亚等国外知名高校和我国香港理工大学酒店与旅游业管理学院、台湾弘光科技大学、高雄餐旅大学等建立合作关系，为学生留学深造提供便利。学院还为在校生提供专升本多渠道选择。广酒毕业生就业路径宽、起薪高，正成为粤港澳大湾区现代服务业德技双优、潜力巨大的人力资源。</t>
  </si>
  <si>
    <t>http://www.gdjdxy.com/</t>
  </si>
  <si>
    <t>http://zsb.gdjdxy.edu.cn/info/1007/1664.htm</t>
  </si>
  <si>
    <t>0769/89989601、89989602</t>
  </si>
  <si>
    <t>广东省东莞市厚街镇学府路1号</t>
  </si>
  <si>
    <t>https://baike.baidu.com/item/%E5%B9%BF%E4%B8%9C%E9%85%92%E5%BA%97%E7%AE%A1%E7%90%86%E8%81%8C%E4%B8%9A%E6%8A%80%E6%9C%AF%E5%AD%A6%E9%99%A2</t>
  </si>
  <si>
    <t>https://gaokao.chsi.com.cn/zsgs/zhangcheng/listZszc//schId/1689626780.dhtml</t>
  </si>
  <si>
    <t>-</t>
  </si>
  <si>
    <t>3+证书</t>
  </si>
  <si>
    <t>广东科技学院</t>
  </si>
  <si>
    <t>区域知名大学,民办大学</t>
  </si>
  <si>
    <t>广东科技学院创建于2003年，是国家教育部批准设立的一所以工学为主，管理学、经济学、文学、艺术学等多学科协调发展的民办全日制普通本科院校，坐落于“历史文化和先进制造业名城”“粤港澳大湾区重要节点城市”──东莞，现有东莞南城和东莞松山湖两个校区。///自办学以来，学校坚守“创百年学府，育产业精英”的办学目标，经过16年的发展，现已跻身广东省一流民办本科高校之列。2011年学校升格为本科院校，并更名为“广东科技学院”。2015年，学校取得学士学位授予权。2018年，学校顺利通过教育部本科教学工作合格评估。2019年9月，学校松山湖校区启用，正式开启“一校两区”运行模式。学校两个校区总占地面积2000余亩，图书馆藏书310.85万册，教学仪器设备总值13039.90万元。///目前，学校共有全日制在校生20760人，其中本科生18884人，占比90.96%。学校设有计算机学院、机电工程学院、财经学院、管理学院、外国语学院、艺术设计学院、继续教育学院、国际教育学院、创新创业学院、公共基础课部、思想政治理论课教学部等九院两部。学校以培养高素质应用型人才为己任，2019年共开设本科专业32个、专科专业18个，对接了东莞“十三五”规划重点建设的六大产业中的五大产业，积极服务于东莞及粤港澳大湾区经济建设。学校软件工程入选省级重点培育学科，软件工程、汽车服务工程、财务管理专业通过省级综合改革试点专业验收，服装设计与工程专业入选省级特色培育专业，网络工程专业通过IEET工程教育CAC认证，软件工程和网络工程专业顺利进入2019年广东省推荐申报国家级一流本科专业建设点名单。///学校以信息技术和网络平台为抓手，全力打造教育信息化强校。学校建有规模庞大的私有云计算平台，有云桌面系统3800个，同时引入“世界大学城”云平台用于教学，建设精品资源共享课程66门、网络空间课程300余门及32个本科专业教学资源库。2017年经教育部批准，学校成为“网络学习空间人人通”专项培训基地，是全国唯一的本科基地学校。///学校始终坚持“人才强校”战略，引进和培养了一支数量充足、结构合理、素质过硬的教师队伍，现有教职工1153人，其中专任教师862人，硕士及以上学位教师701人，占比81.32%。自学校升本以来，学校教职工在各类学术期刊发表学术论文6491篇，其中四大检索及中文核心期刊共563篇；获得市厅级及以上科研奖励332项，其中省部级113项；出版教材和学术著作174部；立项主持市级及以上科研项目204项，其中省级重点重大项目65项。学校获国家新工科研究实践项目立项2项，获教育部人文社会科学研究项目立项1项，2018、2019连续两年在“中国民办本科院校科研竞争力评价结果”中排名广东省民办高校第1位。///学校十分重视学生实践能力的提升，致力于培养高技能应用型人才，与步步高等300多家知名企业开展校企合作，立项教育部产学合作协同育人项目7项，建立了32个校外实践基地（其中省级基地9个），开设了15个创新班和4个产业学院，不断提高人才培养质量。自升本以来，学生在各级各类竞赛中获奖1407项，毕业生年均就业率99%。自建校以来，学校为国家和社会共培养了42369名应用型人才。///学校高度重视学生思想政治工作和健康素质教育，落实立德树人根本任务，锻造了思政和体育教学品牌。学校制定了一系列思政工作实施方案，着力构建“党委引领、党政统一、分工协作、课堂支撑、全员参与”的“大思政”育人格局，推进“十大育人体系”建设。学校以体育作为素质教育的突破口，将竞技体育和“阳光体育”相结合，逐渐形成“以体育文化引领积极向上的校园文化”的文化特色，形成了独有的体育教学品牌。学校篮球队、足球队、田径队、定向越野队在各级各类大赛中均名列前茅。篮球队更是连续两年获得CUBA（阳光组）全国总决赛季军，在省、市大学生篮球联赛中都曾勇夺冠军。学校体育工作受到上级教育主管部门及社会的广泛好评。///学校大力推进对外交流及教育国际化工作，先后与美、英、澳、日、韩及港澳台地区近30所高校建立了交流合作关系，协同开展本升硕、交换生、双学位、语言培训等合作项目，先后有100余名学生赴国（境）外知名高校学习深造。学校积极开展赴台湾高校研修、莞台大学生夏令营、莞港学生双向交流、暑期赴美带薪社会实践、中美大学生文化交流营等短期文化交流。2017年起，学校创新开办了中英3+1双学位国际班，积极探索国际化人才培养模式。///学校先后获得了中国民办高等教育优秀院校、广东省普通高校毕业生就业工作先进集体、广东省“‘两新’百强党组织”、广东省民办高校竞争力十强单位等荣誉，连续获得第八、九届广东省教学成果二等奖。近年来，学校在各类民办高校排行榜中名列前茅。在中国社会信用研究院发布的《2018中国民办高校信用发展观察报告》中，学校位列中国民办高校信用指数榜单广东省第1位。在艾瑞深中国校友会网发布的“2019中国民办大学排名150强”中，学校跻身中国华南地区民办大学五强，并持续获得区域一流民办大学称号。在中国科教评价网发布的“2019/2020年综合竞争力排行榜——民办院校竞争力排行榜”中，学校位列2019中国民办本科院校竞争力排行榜全国第40位、广东省第2位。///学校将秉承“崇德、尚学、精艺、笃行”的校训，始终坚持“立德树人、以生为本、产教融合、服务区域、协同发展”的办学方略，不断加强内涵建设，持续提升教育教学水平，努力实现高水平应用型大学的建设目标。</t>
  </si>
  <si>
    <t>http://www.gdst.cc/</t>
  </si>
  <si>
    <t>0769/86211555、86211666、86211777</t>
  </si>
  <si>
    <t>东莞市南城区西湖路99号</t>
  </si>
  <si>
    <t>https://www.720yun.com/t/2fb28jOOxbs</t>
  </si>
  <si>
    <t>https://baike.baidu.com/item/%E5%B9%BF%E4%B8%9C%E7%A7%91%E6%8A%80%E5%AD%A6%E9%99%A2</t>
  </si>
  <si>
    <t>https://gaokao.chsi.com.cn/zsgs/zhangcheng/listZszc//schId/1958.dhtml</t>
  </si>
  <si>
    <t xml:space="preserve">对初选方案进行排序后，在此栏输入最终志愿顺序可自动生成最终志愿表
</t>
  </si>
  <si>
    <t>序号</t>
  </si>
  <si>
    <t>高考志愿填报初选方案</t>
  </si>
  <si>
    <t>请选择区域横向打印</t>
  </si>
  <si>
    <t>请勿双击内容框，双击内容框会造成公式失效，</t>
  </si>
  <si>
    <t>志愿
标记数字禁止修改</t>
  </si>
  <si>
    <t>性质</t>
  </si>
  <si>
    <t>投档人数</t>
  </si>
  <si>
    <t>最低分</t>
  </si>
  <si>
    <t>最低位</t>
  </si>
  <si>
    <t>志愿1</t>
  </si>
  <si>
    <t>志愿2</t>
  </si>
  <si>
    <t>志愿3</t>
  </si>
  <si>
    <t>志愿4</t>
  </si>
  <si>
    <t>志愿5</t>
  </si>
  <si>
    <t>志愿6</t>
  </si>
  <si>
    <t>志愿7</t>
  </si>
  <si>
    <t>志愿8</t>
  </si>
  <si>
    <t>志愿9</t>
  </si>
  <si>
    <t>志愿10</t>
  </si>
  <si>
    <t>志愿11</t>
  </si>
  <si>
    <t>志愿12</t>
  </si>
  <si>
    <t>志愿13</t>
  </si>
  <si>
    <t>志愿14</t>
  </si>
  <si>
    <t>志愿15</t>
  </si>
  <si>
    <t>志愿16</t>
  </si>
  <si>
    <t>志愿17</t>
  </si>
  <si>
    <t>志愿18</t>
  </si>
  <si>
    <t>志愿19</t>
  </si>
  <si>
    <t>志愿20</t>
  </si>
  <si>
    <t>普通本科批志愿填报</t>
  </si>
  <si>
    <t>平行志愿（20+6服从调剂）</t>
  </si>
  <si>
    <t>志愿数量</t>
  </si>
  <si>
    <t>院校和专业组</t>
  </si>
  <si>
    <t>专业</t>
  </si>
  <si>
    <t>是否调剂</t>
  </si>
  <si>
    <t>院校代号</t>
  </si>
  <si>
    <t>代码</t>
  </si>
  <si>
    <t>名称</t>
  </si>
  <si>
    <t>专业1</t>
  </si>
  <si>
    <r>
      <rPr>
        <sz val="11"/>
        <color theme="1"/>
        <rFont val="Wingdings"/>
        <charset val="134"/>
      </rPr>
      <t>þ</t>
    </r>
    <r>
      <rPr>
        <sz val="11"/>
        <color theme="1"/>
        <rFont val="宋体"/>
        <charset val="134"/>
        <scheme val="minor"/>
      </rPr>
      <t>是</t>
    </r>
    <r>
      <rPr>
        <sz val="11"/>
        <color theme="1"/>
        <rFont val="Wingdings"/>
        <charset val="134"/>
      </rPr>
      <t xml:space="preserve">  ¨</t>
    </r>
    <r>
      <rPr>
        <sz val="11"/>
        <color theme="1"/>
        <rFont val="宋体"/>
        <charset val="134"/>
        <scheme val="minor"/>
      </rPr>
      <t>否</t>
    </r>
  </si>
  <si>
    <t>专业2</t>
  </si>
  <si>
    <t>专业3</t>
  </si>
  <si>
    <t>专业4</t>
  </si>
  <si>
    <t>专业5</t>
  </si>
  <si>
    <t>专业6</t>
  </si>
  <si>
    <t>广东省2024年普通高校春季依据学考录取普通类投档情况</t>
  </si>
  <si>
    <t>院校代码</t>
  </si>
  <si>
    <t>计划数</t>
  </si>
  <si>
    <t>投档最低分</t>
  </si>
  <si>
    <t>投档最低排位</t>
  </si>
  <si>
    <t>顺德职业技术学院</t>
  </si>
  <si>
    <t>广州番禺职业技术学院</t>
  </si>
  <si>
    <t>深圳信息职业技术学院</t>
  </si>
  <si>
    <t>广东理工学院</t>
  </si>
  <si>
    <r>
      <rPr>
        <b/>
        <sz val="16"/>
        <color rgb="FF000000"/>
        <rFont val="宋体"/>
        <charset val="204"/>
      </rPr>
      <t>广东省</t>
    </r>
    <r>
      <rPr>
        <b/>
        <sz val="16"/>
        <color rgb="FF000000"/>
        <rFont val="Times New Roman"/>
        <charset val="204"/>
      </rPr>
      <t>2025</t>
    </r>
    <r>
      <rPr>
        <b/>
        <sz val="16"/>
        <color rgb="FF000000"/>
        <rFont val="宋体"/>
        <charset val="204"/>
      </rPr>
      <t>年普通高校春季依据学考录取普通类投档情况</t>
    </r>
  </si>
  <si>
    <r>
      <rPr>
        <sz val="11"/>
        <rFont val="宋体"/>
        <charset val="134"/>
      </rPr>
      <t>院校代码</t>
    </r>
  </si>
  <si>
    <r>
      <rPr>
        <sz val="11"/>
        <rFont val="宋体"/>
        <charset val="134"/>
      </rPr>
      <t>院校名称</t>
    </r>
  </si>
  <si>
    <r>
      <rPr>
        <sz val="11"/>
        <rFont val="宋体"/>
        <charset val="134"/>
      </rPr>
      <t>专业组代码</t>
    </r>
  </si>
  <si>
    <r>
      <rPr>
        <sz val="11"/>
        <rFont val="宋体"/>
        <charset val="134"/>
      </rPr>
      <t>计划数</t>
    </r>
  </si>
  <si>
    <r>
      <rPr>
        <sz val="11"/>
        <rFont val="宋体"/>
        <charset val="134"/>
      </rPr>
      <t>投档人数</t>
    </r>
  </si>
  <si>
    <r>
      <rPr>
        <sz val="11"/>
        <rFont val="宋体"/>
        <charset val="134"/>
      </rPr>
      <t>投档最低分</t>
    </r>
  </si>
  <si>
    <r>
      <rPr>
        <sz val="11"/>
        <rFont val="宋体"/>
        <charset val="134"/>
      </rPr>
      <t>投档最低排位</t>
    </r>
  </si>
  <si>
    <r>
      <rPr>
        <sz val="11"/>
        <rFont val="宋体"/>
        <charset val="134"/>
      </rPr>
      <t>顺德职业技术学院</t>
    </r>
  </si>
  <si>
    <r>
      <rPr>
        <sz val="11"/>
        <rFont val="宋体"/>
        <charset val="134"/>
      </rPr>
      <t>广东轻工职业技术大学</t>
    </r>
  </si>
  <si>
    <r>
      <rPr>
        <sz val="11"/>
        <rFont val="宋体"/>
        <charset val="134"/>
      </rPr>
      <t>广东交通职业技术学院</t>
    </r>
  </si>
  <si>
    <r>
      <rPr>
        <sz val="11"/>
        <rFont val="宋体"/>
        <charset val="134"/>
      </rPr>
      <t>广东水利电力职业技术学院</t>
    </r>
  </si>
  <si>
    <r>
      <rPr>
        <sz val="11"/>
        <rFont val="宋体"/>
        <charset val="134"/>
      </rPr>
      <t>潮汕职业技术学院</t>
    </r>
  </si>
  <si>
    <r>
      <rPr>
        <sz val="11"/>
        <rFont val="宋体"/>
        <charset val="134"/>
      </rPr>
      <t>深圳职业技术大学</t>
    </r>
  </si>
  <si>
    <r>
      <rPr>
        <sz val="11"/>
        <rFont val="宋体"/>
        <charset val="134"/>
      </rPr>
      <t>广东南华工商职业学院</t>
    </r>
  </si>
  <si>
    <r>
      <rPr>
        <sz val="11"/>
        <rFont val="宋体"/>
        <charset val="134"/>
      </rPr>
      <t>私立华联学院</t>
    </r>
  </si>
  <si>
    <r>
      <rPr>
        <sz val="11"/>
        <rFont val="宋体"/>
        <charset val="134"/>
      </rPr>
      <t>广州民航职业技术学院</t>
    </r>
  </si>
  <si>
    <r>
      <rPr>
        <sz val="11"/>
        <rFont val="宋体"/>
        <charset val="134"/>
      </rPr>
      <t>广州番禺职业技术学院</t>
    </r>
  </si>
  <si>
    <r>
      <rPr>
        <sz val="11"/>
        <rFont val="宋体"/>
        <charset val="134"/>
      </rPr>
      <t>广东松山职业技术学院</t>
    </r>
  </si>
  <si>
    <r>
      <rPr>
        <sz val="11"/>
        <rFont val="宋体"/>
        <charset val="134"/>
      </rPr>
      <t>广东农工商职业技术学院</t>
    </r>
  </si>
  <si>
    <r>
      <rPr>
        <sz val="11"/>
        <rFont val="宋体"/>
        <charset val="134"/>
      </rPr>
      <t>广东新安职业技术学院</t>
    </r>
  </si>
  <si>
    <r>
      <rPr>
        <sz val="11"/>
        <rFont val="宋体"/>
        <charset val="134"/>
      </rPr>
      <t>佛山职业技术学院</t>
    </r>
  </si>
  <si>
    <r>
      <rPr>
        <sz val="11"/>
        <rFont val="宋体"/>
        <charset val="134"/>
      </rPr>
      <t>广东科学技术职业学院</t>
    </r>
  </si>
  <si>
    <r>
      <rPr>
        <sz val="11"/>
        <rFont val="宋体"/>
        <charset val="134"/>
      </rPr>
      <t>广东食品药品职业学院</t>
    </r>
  </si>
  <si>
    <r>
      <rPr>
        <sz val="11"/>
        <rFont val="宋体"/>
        <charset val="134"/>
      </rPr>
      <t>广州康大职业技术学院</t>
    </r>
  </si>
  <si>
    <r>
      <rPr>
        <sz val="11"/>
        <rFont val="宋体"/>
        <charset val="134"/>
      </rPr>
      <t>珠海艺术职业学院</t>
    </r>
  </si>
  <si>
    <r>
      <rPr>
        <sz val="11"/>
        <rFont val="宋体"/>
        <charset val="134"/>
      </rPr>
      <t>广东行政职业学院</t>
    </r>
  </si>
  <si>
    <r>
      <rPr>
        <sz val="11"/>
        <rFont val="宋体"/>
        <charset val="134"/>
      </rPr>
      <t>广东体育职业技术学院</t>
    </r>
  </si>
  <si>
    <r>
      <rPr>
        <sz val="11"/>
        <rFont val="宋体"/>
        <charset val="134"/>
      </rPr>
      <t>广东职业技术学院</t>
    </r>
  </si>
  <si>
    <r>
      <rPr>
        <sz val="11"/>
        <rFont val="宋体"/>
        <charset val="134"/>
      </rPr>
      <t>广东建设职业技术学院</t>
    </r>
  </si>
  <si>
    <r>
      <rPr>
        <sz val="11"/>
        <rFont val="宋体"/>
        <charset val="134"/>
      </rPr>
      <t>广东女子职业技术学院</t>
    </r>
  </si>
  <si>
    <r>
      <rPr>
        <sz val="11"/>
        <rFont val="宋体"/>
        <charset val="134"/>
      </rPr>
      <t>广东机电职业技术学院</t>
    </r>
  </si>
  <si>
    <r>
      <rPr>
        <sz val="11"/>
        <rFont val="宋体"/>
        <charset val="134"/>
      </rPr>
      <t>广东岭南职业技术学院</t>
    </r>
  </si>
  <si>
    <r>
      <rPr>
        <sz val="11"/>
        <rFont val="宋体"/>
        <charset val="134"/>
      </rPr>
      <t>汕尾职业技术学院</t>
    </r>
  </si>
  <si>
    <r>
      <rPr>
        <sz val="11"/>
        <rFont val="宋体"/>
        <charset val="134"/>
      </rPr>
      <t>罗定职业技术学院</t>
    </r>
  </si>
  <si>
    <r>
      <rPr>
        <sz val="11"/>
        <rFont val="宋体"/>
        <charset val="134"/>
      </rPr>
      <t>阳江职业技术学院</t>
    </r>
  </si>
  <si>
    <r>
      <rPr>
        <sz val="11"/>
        <rFont val="宋体"/>
        <charset val="134"/>
      </rPr>
      <t>河源职业技术学院</t>
    </r>
  </si>
  <si>
    <r>
      <rPr>
        <sz val="11"/>
        <rFont val="宋体"/>
        <charset val="134"/>
      </rPr>
      <t>广东邮电职业技术学院</t>
    </r>
  </si>
  <si>
    <r>
      <rPr>
        <sz val="11"/>
        <rFont val="宋体"/>
        <charset val="134"/>
      </rPr>
      <t>汕头职业技术学院</t>
    </r>
  </si>
  <si>
    <r>
      <rPr>
        <sz val="11"/>
        <rFont val="宋体"/>
        <charset val="134"/>
      </rPr>
      <t>揭阳职业技术学院</t>
    </r>
  </si>
  <si>
    <r>
      <rPr>
        <sz val="11"/>
        <rFont val="宋体"/>
        <charset val="134"/>
      </rPr>
      <t>深圳信息职业技术学院</t>
    </r>
  </si>
  <si>
    <r>
      <rPr>
        <sz val="11"/>
        <rFont val="宋体"/>
        <charset val="134"/>
      </rPr>
      <t>清远职业技术学院</t>
    </r>
  </si>
  <si>
    <r>
      <rPr>
        <sz val="11"/>
        <rFont val="宋体"/>
        <charset val="134"/>
      </rPr>
      <t>广东工贸职业技术学院</t>
    </r>
  </si>
  <si>
    <r>
      <rPr>
        <sz val="11"/>
        <rFont val="宋体"/>
        <charset val="134"/>
      </rPr>
      <t>广东司法警官职业学院</t>
    </r>
  </si>
  <si>
    <r>
      <rPr>
        <sz val="11"/>
        <rFont val="宋体"/>
        <charset val="134"/>
      </rPr>
      <t>广东亚视演艺职业学院</t>
    </r>
  </si>
  <si>
    <r>
      <rPr>
        <sz val="11"/>
        <rFont val="宋体"/>
        <charset val="134"/>
      </rPr>
      <t>广东省外语艺术职业学院</t>
    </r>
  </si>
  <si>
    <r>
      <rPr>
        <sz val="11"/>
        <rFont val="宋体"/>
        <charset val="134"/>
      </rPr>
      <t>广东文艺职业学院</t>
    </r>
  </si>
  <si>
    <r>
      <rPr>
        <sz val="11"/>
        <rFont val="宋体"/>
        <charset val="134"/>
      </rPr>
      <t>广州体育职业技术学院</t>
    </r>
  </si>
  <si>
    <r>
      <rPr>
        <sz val="11"/>
        <rFont val="宋体"/>
        <charset val="134"/>
      </rPr>
      <t>广州工程技术职业学院</t>
    </r>
  </si>
  <si>
    <r>
      <rPr>
        <sz val="11"/>
        <rFont val="宋体"/>
        <charset val="134"/>
      </rPr>
      <t>中山火炬职业技术学院</t>
    </r>
  </si>
  <si>
    <r>
      <rPr>
        <sz val="11"/>
        <rFont val="宋体"/>
        <charset val="134"/>
      </rPr>
      <t>江门职业技术学院</t>
    </r>
  </si>
  <si>
    <r>
      <rPr>
        <sz val="11"/>
        <rFont val="宋体"/>
        <charset val="134"/>
      </rPr>
      <t>茂名职业技术学院</t>
    </r>
  </si>
  <si>
    <r>
      <rPr>
        <sz val="11"/>
        <rFont val="宋体"/>
        <charset val="134"/>
      </rPr>
      <t>珠海城市职业技术学院</t>
    </r>
  </si>
  <si>
    <r>
      <rPr>
        <sz val="11"/>
        <rFont val="宋体"/>
        <charset val="134"/>
      </rPr>
      <t>广州涉外经济职业技术学院</t>
    </r>
  </si>
  <si>
    <r>
      <rPr>
        <sz val="11"/>
        <rFont val="宋体"/>
        <charset val="134"/>
      </rPr>
      <t>广州南洋理工职业学院</t>
    </r>
  </si>
  <si>
    <r>
      <rPr>
        <sz val="11"/>
        <rFont val="宋体"/>
        <charset val="134"/>
      </rPr>
      <t>广州科技职业技术大学</t>
    </r>
  </si>
  <si>
    <r>
      <rPr>
        <sz val="11"/>
        <rFont val="宋体"/>
        <charset val="134"/>
      </rPr>
      <t>惠州经济职业技术学院</t>
    </r>
  </si>
  <si>
    <r>
      <rPr>
        <sz val="11"/>
        <rFont val="宋体"/>
        <charset val="134"/>
      </rPr>
      <t>广东工商职业技术大学</t>
    </r>
  </si>
  <si>
    <r>
      <rPr>
        <sz val="11"/>
        <rFont val="宋体"/>
        <charset val="134"/>
      </rPr>
      <t>肇庆医学院</t>
    </r>
  </si>
  <si>
    <r>
      <rPr>
        <sz val="11"/>
        <rFont val="宋体"/>
        <charset val="134"/>
      </rPr>
      <t>广州现代信息工程职业技术学院</t>
    </r>
  </si>
  <si>
    <r>
      <rPr>
        <sz val="11"/>
        <rFont val="宋体"/>
        <charset val="134"/>
      </rPr>
      <t>广东理工职业学院</t>
    </r>
  </si>
  <si>
    <r>
      <rPr>
        <sz val="11"/>
        <rFont val="宋体"/>
        <charset val="134"/>
      </rPr>
      <t>广州华南商贸职业学院</t>
    </r>
  </si>
  <si>
    <r>
      <rPr>
        <sz val="11"/>
        <rFont val="宋体"/>
        <charset val="134"/>
      </rPr>
      <t>广州华立科技职业学院</t>
    </r>
  </si>
  <si>
    <r>
      <rPr>
        <sz val="11"/>
        <rFont val="宋体"/>
        <charset val="134"/>
      </rPr>
      <t>广州城市职业学院</t>
    </r>
  </si>
  <si>
    <r>
      <rPr>
        <sz val="11"/>
        <rFont val="宋体"/>
        <charset val="134"/>
      </rPr>
      <t>广东工程职业技术学院</t>
    </r>
  </si>
  <si>
    <r>
      <rPr>
        <sz val="11"/>
        <rFont val="宋体"/>
        <charset val="134"/>
      </rPr>
      <t>广州铁路职业技术学院</t>
    </r>
  </si>
  <si>
    <r>
      <rPr>
        <sz val="11"/>
        <rFont val="宋体"/>
        <charset val="134"/>
      </rPr>
      <t>广东科贸职业学院</t>
    </r>
  </si>
  <si>
    <r>
      <rPr>
        <sz val="11"/>
        <rFont val="宋体"/>
        <charset val="134"/>
      </rPr>
      <t>广州科技贸易职业学院</t>
    </r>
  </si>
  <si>
    <r>
      <rPr>
        <sz val="11"/>
        <rFont val="宋体"/>
        <charset val="134"/>
      </rPr>
      <t>中山职业技术学院</t>
    </r>
  </si>
  <si>
    <r>
      <rPr>
        <sz val="11"/>
        <rFont val="宋体"/>
        <charset val="134"/>
      </rPr>
      <t>广州珠江职业技术学院</t>
    </r>
  </si>
  <si>
    <r>
      <rPr>
        <sz val="11"/>
        <rFont val="宋体"/>
        <charset val="134"/>
      </rPr>
      <t>广州松田职业学院</t>
    </r>
  </si>
  <si>
    <r>
      <rPr>
        <sz val="11"/>
        <rFont val="宋体"/>
        <charset val="134"/>
      </rPr>
      <t>广东文理职业学院</t>
    </r>
  </si>
  <si>
    <r>
      <rPr>
        <sz val="11"/>
        <rFont val="宋体"/>
        <charset val="134"/>
      </rPr>
      <t>-</t>
    </r>
  </si>
  <si>
    <r>
      <rPr>
        <sz val="11"/>
        <rFont val="宋体"/>
        <charset val="134"/>
      </rPr>
      <t>广州城建职业学院</t>
    </r>
  </si>
  <si>
    <r>
      <rPr>
        <sz val="11"/>
        <rFont val="宋体"/>
        <charset val="134"/>
      </rPr>
      <t>东莞职业技术学院</t>
    </r>
  </si>
  <si>
    <r>
      <rPr>
        <sz val="11"/>
        <rFont val="宋体"/>
        <charset val="134"/>
      </rPr>
      <t>广东南方职业学院</t>
    </r>
  </si>
  <si>
    <r>
      <rPr>
        <sz val="11"/>
        <rFont val="宋体"/>
        <charset val="134"/>
      </rPr>
      <t>广州华商职业学院</t>
    </r>
  </si>
  <si>
    <r>
      <rPr>
        <sz val="11"/>
        <rFont val="宋体"/>
        <charset val="134"/>
      </rPr>
      <t>广州华夏职业学院</t>
    </r>
  </si>
  <si>
    <r>
      <rPr>
        <sz val="11"/>
        <rFont val="宋体"/>
        <charset val="134"/>
      </rPr>
      <t>广东环境保护工程职业学院</t>
    </r>
  </si>
  <si>
    <r>
      <rPr>
        <sz val="11"/>
        <rFont val="宋体"/>
        <charset val="134"/>
      </rPr>
      <t>广州东华职业学院</t>
    </r>
  </si>
  <si>
    <r>
      <rPr>
        <sz val="11"/>
        <rFont val="宋体"/>
        <charset val="134"/>
      </rPr>
      <t>广东创新科技职业学院</t>
    </r>
  </si>
  <si>
    <r>
      <rPr>
        <sz val="11"/>
        <rFont val="宋体"/>
        <charset val="134"/>
      </rPr>
      <t>广东艺术职业学院</t>
    </r>
  </si>
  <si>
    <r>
      <rPr>
        <sz val="11"/>
        <rFont val="宋体"/>
        <charset val="134"/>
      </rPr>
      <t>惠州卫生职业技术学院</t>
    </r>
  </si>
  <si>
    <r>
      <rPr>
        <sz val="11"/>
        <rFont val="宋体"/>
        <charset val="134"/>
      </rPr>
      <t>广东信息工程职业学院</t>
    </r>
  </si>
  <si>
    <r>
      <rPr>
        <sz val="11"/>
        <rFont val="宋体"/>
        <charset val="134"/>
      </rPr>
      <t>广东生态工程职业学院</t>
    </r>
  </si>
  <si>
    <r>
      <rPr>
        <sz val="11"/>
        <rFont val="宋体"/>
        <charset val="134"/>
      </rPr>
      <t>惠州城市职业学院</t>
    </r>
  </si>
  <si>
    <r>
      <rPr>
        <sz val="11"/>
        <rFont val="宋体"/>
        <charset val="134"/>
      </rPr>
      <t>广东碧桂园职业学院</t>
    </r>
  </si>
  <si>
    <r>
      <rPr>
        <sz val="11"/>
        <rFont val="宋体"/>
        <charset val="134"/>
      </rPr>
      <t>广东茂名健康职业学院</t>
    </r>
  </si>
  <si>
    <r>
      <rPr>
        <sz val="11"/>
        <rFont val="宋体"/>
        <charset val="134"/>
      </rPr>
      <t>广东酒店管理职业技术学院</t>
    </r>
  </si>
  <si>
    <r>
      <rPr>
        <sz val="11"/>
        <rFont val="宋体"/>
        <charset val="134"/>
      </rPr>
      <t>广东茂名幼儿师范专科学校</t>
    </r>
  </si>
  <si>
    <r>
      <rPr>
        <sz val="11"/>
        <rFont val="宋体"/>
        <charset val="134"/>
      </rPr>
      <t>广州卫生职业技术学院</t>
    </r>
  </si>
  <si>
    <r>
      <rPr>
        <sz val="11"/>
        <rFont val="宋体"/>
        <charset val="134"/>
      </rPr>
      <t>惠州工程职业学院</t>
    </r>
  </si>
  <si>
    <r>
      <rPr>
        <sz val="11"/>
        <rFont val="宋体"/>
        <charset val="134"/>
      </rPr>
      <t>广东江门中医药职业学院</t>
    </r>
  </si>
  <si>
    <r>
      <rPr>
        <sz val="11"/>
        <rFont val="宋体"/>
        <charset val="134"/>
      </rPr>
      <t>广东茂名农林科技职业学院</t>
    </r>
  </si>
  <si>
    <r>
      <rPr>
        <sz val="11"/>
        <rFont val="宋体"/>
        <charset val="134"/>
      </rPr>
      <t>广东江门幼儿师范高等专科学校</t>
    </r>
  </si>
  <si>
    <r>
      <rPr>
        <sz val="11"/>
        <rFont val="宋体"/>
        <charset val="134"/>
      </rPr>
      <t>广东财贸职业学院</t>
    </r>
  </si>
  <si>
    <r>
      <rPr>
        <sz val="11"/>
        <rFont val="宋体"/>
        <charset val="134"/>
      </rPr>
      <t>广州幼儿师范高等专科学校</t>
    </r>
  </si>
  <si>
    <r>
      <rPr>
        <sz val="11"/>
        <rFont val="宋体"/>
        <charset val="134"/>
      </rPr>
      <t>广东汕头幼儿师范高等专科学校</t>
    </r>
  </si>
  <si>
    <r>
      <rPr>
        <sz val="11"/>
        <rFont val="宋体"/>
        <charset val="134"/>
      </rPr>
      <t>广东梅州职业技术学院</t>
    </r>
  </si>
  <si>
    <r>
      <rPr>
        <sz val="11"/>
        <rFont val="宋体"/>
        <charset val="134"/>
      </rPr>
      <t>广东潮州卫生健康职业学院</t>
    </r>
  </si>
  <si>
    <r>
      <rPr>
        <sz val="11"/>
        <rFont val="宋体"/>
        <charset val="134"/>
      </rPr>
      <t>广东云浮中医药职业学院</t>
    </r>
  </si>
  <si>
    <r>
      <rPr>
        <sz val="11"/>
        <rFont val="宋体"/>
        <charset val="134"/>
      </rPr>
      <t>广东肇庆航空职业学院</t>
    </r>
  </si>
  <si>
    <r>
      <rPr>
        <sz val="11"/>
        <rFont val="宋体"/>
        <charset val="134"/>
      </rPr>
      <t>深圳城市职业学院</t>
    </r>
  </si>
  <si>
    <r>
      <rPr>
        <sz val="11"/>
        <rFont val="宋体"/>
        <charset val="134"/>
      </rPr>
      <t>湛江幼儿师范专科学校</t>
    </r>
  </si>
  <si>
    <t>广东省2024年普通高校春季“3+证书”录取专科投档情况</t>
  </si>
  <si>
    <t>韩山师范学院</t>
  </si>
  <si>
    <r>
      <rPr>
        <b/>
        <sz val="16"/>
        <color rgb="FF000000"/>
        <rFont val="宋体"/>
        <charset val="204"/>
      </rPr>
      <t>广东省</t>
    </r>
    <r>
      <rPr>
        <b/>
        <sz val="16"/>
        <color rgb="FF000000"/>
        <rFont val="Times New Roman"/>
        <charset val="204"/>
      </rPr>
      <t>2025</t>
    </r>
    <r>
      <rPr>
        <b/>
        <sz val="16"/>
        <color rgb="FF000000"/>
        <rFont val="宋体"/>
        <charset val="204"/>
      </rPr>
      <t>年普通高校春季</t>
    </r>
    <r>
      <rPr>
        <b/>
        <sz val="16"/>
        <color rgb="FF000000"/>
        <rFont val="Times New Roman"/>
        <charset val="204"/>
      </rPr>
      <t>“3+</t>
    </r>
    <r>
      <rPr>
        <b/>
        <sz val="16"/>
        <color rgb="FF000000"/>
        <rFont val="宋体"/>
        <charset val="204"/>
      </rPr>
      <t>证书</t>
    </r>
    <r>
      <rPr>
        <b/>
        <sz val="16"/>
        <color rgb="FF000000"/>
        <rFont val="Times New Roman"/>
        <charset val="204"/>
      </rPr>
      <t>”</t>
    </r>
    <r>
      <rPr>
        <b/>
        <sz val="16"/>
        <color rgb="FF000000"/>
        <rFont val="宋体"/>
        <charset val="204"/>
      </rPr>
      <t>录取专科投档情况</t>
    </r>
  </si>
  <si>
    <r>
      <rPr>
        <sz val="11"/>
        <rFont val="宋体"/>
        <charset val="134"/>
      </rPr>
      <t>广东科技学院</t>
    </r>
  </si>
</sst>
</file>

<file path=xl/styles.xml><?xml version="1.0" encoding="utf-8"?>
<styleSheet xmlns="http://schemas.openxmlformats.org/spreadsheetml/2006/main">
  <numFmts count="38">
    <numFmt numFmtId="6" formatCode="&quot;￥&quot;#,##0;[Red]&quot;￥&quot;\-#,##0"/>
    <numFmt numFmtId="176" formatCode="\¥#,##0.00;[Red]\¥\-#,##0.00"/>
    <numFmt numFmtId="23" formatCode="\$#,##0_);\(\$#,##0\)"/>
    <numFmt numFmtId="177" formatCode="mmmm\-yy"/>
    <numFmt numFmtId="24" formatCode="\$#,##0_);[Red]\(\$#,##0\)"/>
    <numFmt numFmtId="7" formatCode="&quot;￥&quot;#,##0.00;&quot;￥&quot;\-#,##0.00"/>
    <numFmt numFmtId="178" formatCode="#\ ?/?"/>
    <numFmt numFmtId="25" formatCode="\$#,##0.00_);\(\$#,##0.00\)"/>
    <numFmt numFmtId="179" formatCode="h:mm:ss\ AM/PM"/>
    <numFmt numFmtId="180" formatCode="[DBNum1][$-804]yyyy&quot;年&quot;m&quot;月&quot;"/>
    <numFmt numFmtId="181" formatCode="[DBNum1]上午/下午h&quot;时&quot;mm&quot;分&quot;"/>
    <numFmt numFmtId="8" formatCode="&quot;￥&quot;#,##0.00;[Red]&quot;￥&quot;\-#,##0.00"/>
    <numFmt numFmtId="182" formatCode="[$-804]aaaa"/>
    <numFmt numFmtId="183" formatCode="yyyy/m/d\ h:mm\ AM/PM"/>
    <numFmt numFmtId="184" formatCode="mm/dd/yy"/>
    <numFmt numFmtId="185" formatCode="[DBNum1][$-804]yyyy&quot;年&quot;m&quot;月&quot;d&quot;日&quot;"/>
    <numFmt numFmtId="186" formatCode="yy/m/d"/>
    <numFmt numFmtId="187" formatCode="m/d"/>
    <numFmt numFmtId="188" formatCode="mmmmm\-yy"/>
    <numFmt numFmtId="189" formatCode="[DBNum1][$-804]m&quot;月&quot;d&quot;日&quot;"/>
    <numFmt numFmtId="190" formatCode="\¥#,##0.00;\¥\-#,##0.00"/>
    <numFmt numFmtId="191" formatCode="[DBNum1]h&quot;时&quot;mm&quot;分&quot;"/>
    <numFmt numFmtId="192" formatCode="mmmmm"/>
    <numFmt numFmtId="26" formatCode="\$#,##0.00_);[Red]\(\$#,##0.00\)"/>
    <numFmt numFmtId="5" formatCode="&quot;￥&quot;#,##0;&quot;￥&quot;\-#,##0"/>
    <numFmt numFmtId="193" formatCode="[$-804]aaa"/>
    <numFmt numFmtId="194" formatCode="\¥#,##0;\¥\-#,##0"/>
    <numFmt numFmtId="195" formatCode="dd\-mmm\-yy"/>
    <numFmt numFmtId="196" formatCode="0_ "/>
    <numFmt numFmtId="197" formatCode="#\ ??"/>
    <numFmt numFmtId="198" formatCode="00"/>
    <numFmt numFmtId="199" formatCode="#\ ??/??"/>
    <numFmt numFmtId="200" formatCode="h:mm\ AM/PM"/>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 numFmtId="201" formatCode="\¥#,##0;[Red]\¥\-#,##0"/>
  </numFmts>
  <fonts count="48">
    <font>
      <sz val="11"/>
      <color theme="1"/>
      <name val="宋体"/>
      <charset val="134"/>
      <scheme val="minor"/>
    </font>
    <font>
      <b/>
      <sz val="16"/>
      <color rgb="FF000000"/>
      <name val="宋体"/>
      <charset val="204"/>
    </font>
    <font>
      <b/>
      <sz val="16"/>
      <color rgb="FF000000"/>
      <name val="Times New Roman"/>
      <charset val="204"/>
    </font>
    <font>
      <sz val="11"/>
      <name val="宋体"/>
      <charset val="134"/>
    </font>
    <font>
      <sz val="11"/>
      <color rgb="FF000000"/>
      <name val="宋体"/>
      <charset val="134"/>
    </font>
    <font>
      <sz val="14"/>
      <color theme="1"/>
      <name val="宋体"/>
      <charset val="134"/>
      <scheme val="minor"/>
    </font>
    <font>
      <b/>
      <sz val="12"/>
      <color rgb="FFFF0000"/>
      <name val="宋体"/>
      <charset val="134"/>
      <scheme val="minor"/>
    </font>
    <font>
      <b/>
      <sz val="12"/>
      <color rgb="FF00B0F0"/>
      <name val="宋体"/>
      <charset val="134"/>
      <scheme val="minor"/>
    </font>
    <font>
      <sz val="11"/>
      <name val="宋体"/>
      <charset val="134"/>
      <scheme val="minor"/>
    </font>
    <font>
      <sz val="11"/>
      <color theme="1"/>
      <name val="Wingdings"/>
      <charset val="134"/>
    </font>
    <font>
      <b/>
      <sz val="20"/>
      <color theme="0"/>
      <name val="宋体"/>
      <charset val="134"/>
      <scheme val="minor"/>
    </font>
    <font>
      <sz val="14"/>
      <name val="宋体"/>
      <charset val="134"/>
      <scheme val="minor"/>
    </font>
    <font>
      <b/>
      <sz val="11"/>
      <color rgb="FFFF0000"/>
      <name val="宋体"/>
      <charset val="134"/>
      <scheme val="minor"/>
    </font>
    <font>
      <b/>
      <sz val="28"/>
      <color theme="4" tint="-0.25"/>
      <name val="微软雅黑"/>
      <charset val="134"/>
    </font>
    <font>
      <b/>
      <sz val="28"/>
      <color rgb="FFFF0000"/>
      <name val="微软雅黑"/>
      <charset val="134"/>
    </font>
    <font>
      <b/>
      <sz val="26"/>
      <color rgb="FFFF0000"/>
      <name val="微软雅黑"/>
      <charset val="0"/>
    </font>
    <font>
      <b/>
      <sz val="20"/>
      <color theme="4" tint="-0.25"/>
      <name val="微软雅黑"/>
      <charset val="134"/>
    </font>
    <font>
      <b/>
      <sz val="24"/>
      <color theme="4" tint="-0.25"/>
      <name val="微软雅黑"/>
      <charset val="134"/>
    </font>
    <font>
      <b/>
      <sz val="36"/>
      <color rgb="FFFF0000"/>
      <name val="微软雅黑"/>
      <charset val="134"/>
    </font>
    <font>
      <b/>
      <sz val="30"/>
      <color theme="0"/>
      <name val="宋体"/>
      <charset val="134"/>
      <scheme val="minor"/>
    </font>
    <font>
      <b/>
      <sz val="14"/>
      <color theme="1"/>
      <name val="微软雅黑"/>
      <charset val="134"/>
    </font>
    <font>
      <b/>
      <sz val="11"/>
      <color theme="1"/>
      <name val="微软雅黑"/>
      <charset val="134"/>
    </font>
    <font>
      <b/>
      <sz val="11"/>
      <color rgb="FF0070C0"/>
      <name val="微软雅黑"/>
      <charset val="134"/>
    </font>
    <font>
      <b/>
      <sz val="11"/>
      <color theme="9"/>
      <name val="微软雅黑"/>
      <charset val="134"/>
    </font>
    <font>
      <b/>
      <sz val="11"/>
      <color theme="9" tint="-0.25"/>
      <name val="微软雅黑"/>
      <charset val="134"/>
    </font>
    <font>
      <sz val="11"/>
      <color rgb="FFFA7D00"/>
      <name val="宋体"/>
      <charset val="0"/>
      <scheme val="minor"/>
    </font>
    <font>
      <sz val="11"/>
      <color theme="1"/>
      <name val="宋体"/>
      <charset val="0"/>
      <scheme val="minor"/>
    </font>
    <font>
      <u/>
      <sz val="11"/>
      <color rgb="FF0000FF"/>
      <name val="宋体"/>
      <charset val="0"/>
      <scheme val="minor"/>
    </font>
    <font>
      <sz val="11"/>
      <color theme="0"/>
      <name val="宋体"/>
      <charset val="0"/>
      <scheme val="minor"/>
    </font>
    <font>
      <b/>
      <sz val="13"/>
      <color theme="3"/>
      <name val="宋体"/>
      <charset val="134"/>
      <scheme val="minor"/>
    </font>
    <font>
      <u/>
      <sz val="11"/>
      <color rgb="FF800080"/>
      <name val="宋体"/>
      <charset val="0"/>
      <scheme val="minor"/>
    </font>
    <font>
      <b/>
      <sz val="11"/>
      <color theme="3"/>
      <name val="宋体"/>
      <charset val="134"/>
      <scheme val="minor"/>
    </font>
    <font>
      <b/>
      <sz val="18"/>
      <color theme="3"/>
      <name val="宋体"/>
      <charset val="134"/>
      <scheme val="minor"/>
    </font>
    <font>
      <sz val="11"/>
      <color rgb="FFFF0000"/>
      <name val="宋体"/>
      <charset val="0"/>
      <scheme val="minor"/>
    </font>
    <font>
      <i/>
      <sz val="11"/>
      <color rgb="FF7F7F7F"/>
      <name val="宋体"/>
      <charset val="0"/>
      <scheme val="minor"/>
    </font>
    <font>
      <sz val="11"/>
      <color rgb="FF9C0006"/>
      <name val="宋体"/>
      <charset val="0"/>
      <scheme val="minor"/>
    </font>
    <font>
      <b/>
      <sz val="11"/>
      <color rgb="FF3F3F3F"/>
      <name val="宋体"/>
      <charset val="0"/>
      <scheme val="minor"/>
    </font>
    <font>
      <b/>
      <sz val="11"/>
      <color theme="1"/>
      <name val="宋体"/>
      <charset val="0"/>
      <scheme val="minor"/>
    </font>
    <font>
      <sz val="10"/>
      <name val="宋体"/>
      <charset val="134"/>
    </font>
    <font>
      <b/>
      <sz val="15"/>
      <color theme="3"/>
      <name val="宋体"/>
      <charset val="134"/>
      <scheme val="minor"/>
    </font>
    <font>
      <sz val="11"/>
      <color rgb="FF9C6500"/>
      <name val="宋体"/>
      <charset val="0"/>
      <scheme val="minor"/>
    </font>
    <font>
      <b/>
      <sz val="11"/>
      <color rgb="FFFFFFFF"/>
      <name val="宋体"/>
      <charset val="0"/>
      <scheme val="minor"/>
    </font>
    <font>
      <sz val="11"/>
      <color rgb="FF006100"/>
      <name val="宋体"/>
      <charset val="0"/>
      <scheme val="minor"/>
    </font>
    <font>
      <sz val="11"/>
      <color rgb="FF3F3F76"/>
      <name val="宋体"/>
      <charset val="0"/>
      <scheme val="minor"/>
    </font>
    <font>
      <b/>
      <sz val="11"/>
      <color rgb="FFFA7D00"/>
      <name val="宋体"/>
      <charset val="0"/>
      <scheme val="minor"/>
    </font>
    <font>
      <sz val="11"/>
      <color theme="1"/>
      <name val="微软雅黑"/>
      <charset val="134"/>
    </font>
    <font>
      <sz val="12"/>
      <name val="宋体"/>
      <charset val="134"/>
    </font>
    <font>
      <b/>
      <sz val="12"/>
      <name val="宋体"/>
      <charset val="134"/>
    </font>
  </fonts>
  <fills count="50">
    <fill>
      <patternFill patternType="none"/>
    </fill>
    <fill>
      <patternFill patternType="gray125"/>
    </fill>
    <fill>
      <patternFill patternType="solid">
        <fgColor theme="5" tint="0.8"/>
        <bgColor indexed="64"/>
      </patternFill>
    </fill>
    <fill>
      <patternFill patternType="solid">
        <fgColor theme="2" tint="-0.1"/>
        <bgColor indexed="64"/>
      </patternFill>
    </fill>
    <fill>
      <patternFill patternType="solid">
        <fgColor theme="5" tint="0.4"/>
        <bgColor indexed="64"/>
      </patternFill>
    </fill>
    <fill>
      <patternFill patternType="solid">
        <fgColor rgb="FFC00000"/>
        <bgColor indexed="64"/>
      </patternFill>
    </fill>
    <fill>
      <patternFill patternType="solid">
        <fgColor rgb="FFFFFF00"/>
        <bgColor indexed="64"/>
      </patternFill>
    </fill>
    <fill>
      <patternFill patternType="solid">
        <fgColor rgb="FF0070C0"/>
        <bgColor indexed="64"/>
      </patternFill>
    </fill>
    <fill>
      <patternFill patternType="solid">
        <fgColor rgb="FFFF0000"/>
        <bgColor indexed="64"/>
      </patternFill>
    </fill>
    <fill>
      <patternFill patternType="solid">
        <fgColor theme="7" tint="0.4"/>
        <bgColor indexed="64"/>
      </patternFill>
    </fill>
    <fill>
      <patternFill patternType="solid">
        <fgColor theme="9" tint="0.8"/>
        <bgColor indexed="64"/>
      </patternFill>
    </fill>
    <fill>
      <patternFill patternType="solid">
        <fgColor theme="8" tint="0.8"/>
        <bgColor indexed="64"/>
      </patternFill>
    </fill>
    <fill>
      <patternFill patternType="solid">
        <fgColor theme="4"/>
        <bgColor indexed="64"/>
      </patternFill>
    </fill>
    <fill>
      <patternFill patternType="solid">
        <fgColor theme="5" tint="0.6"/>
        <bgColor indexed="64"/>
      </patternFill>
    </fill>
    <fill>
      <patternFill patternType="solid">
        <fgColor theme="0"/>
        <bgColor indexed="64"/>
      </patternFill>
    </fill>
    <fill>
      <patternFill patternType="solid">
        <fgColor theme="3" tint="0.6"/>
        <bgColor indexed="64"/>
      </patternFill>
    </fill>
    <fill>
      <patternFill patternType="solid">
        <fgColor theme="4" tint="0.8"/>
        <bgColor indexed="64"/>
      </patternFill>
    </fill>
    <fill>
      <patternFill patternType="solid">
        <fgColor theme="4" tint="0.4"/>
        <bgColor indexed="64"/>
      </patternFill>
    </fill>
    <fill>
      <patternFill patternType="solid">
        <fgColor theme="8" tint="0.4"/>
        <bgColor indexed="64"/>
      </patternFill>
    </fill>
    <fill>
      <patternFill patternType="solid">
        <fgColor rgb="FF00B050"/>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bgColor indexed="64"/>
      </patternFill>
    </fill>
    <fill>
      <patternFill patternType="solid">
        <fgColor rgb="FFFFFFCC"/>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5"/>
        <bgColor indexed="64"/>
      </patternFill>
    </fill>
    <fill>
      <patternFill patternType="solid">
        <fgColor rgb="FFFFC7CE"/>
        <bgColor indexed="64"/>
      </patternFill>
    </fill>
    <fill>
      <patternFill patternType="solid">
        <fgColor theme="8" tint="0.799981688894314"/>
        <bgColor indexed="64"/>
      </patternFill>
    </fill>
    <fill>
      <patternFill patternType="solid">
        <fgColor rgb="FFF2F2F2"/>
        <bgColor indexed="64"/>
      </patternFill>
    </fill>
    <fill>
      <patternFill patternType="solid">
        <fgColor theme="7" tint="0.399975585192419"/>
        <bgColor indexed="64"/>
      </patternFill>
    </fill>
    <fill>
      <patternFill patternType="solid">
        <fgColor theme="7"/>
        <bgColor indexed="64"/>
      </patternFill>
    </fill>
    <fill>
      <patternFill patternType="solid">
        <fgColor rgb="FFFFEB9C"/>
        <bgColor indexed="64"/>
      </patternFill>
    </fill>
    <fill>
      <patternFill patternType="solid">
        <fgColor rgb="FFA5A5A5"/>
        <bgColor indexed="64"/>
      </patternFill>
    </fill>
    <fill>
      <patternFill patternType="solid">
        <fgColor theme="8" tint="0.399975585192419"/>
        <bgColor indexed="64"/>
      </patternFill>
    </fill>
    <fill>
      <patternFill patternType="solid">
        <fgColor rgb="FFC6EFCE"/>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rgb="FFFFCC9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8"/>
        <bgColor indexed="64"/>
      </patternFill>
    </fill>
  </fills>
  <borders count="24">
    <border>
      <left/>
      <right/>
      <top/>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s>
  <cellStyleXfs count="51">
    <xf numFmtId="0" fontId="0" fillId="0" borderId="0">
      <alignment vertical="center"/>
    </xf>
    <xf numFmtId="0" fontId="0" fillId="0" borderId="0">
      <alignment vertical="center"/>
    </xf>
    <xf numFmtId="0" fontId="28" fillId="44" borderId="0" applyNumberFormat="0" applyBorder="0" applyAlignment="0" applyProtection="0">
      <alignment vertical="center"/>
    </xf>
    <xf numFmtId="0" fontId="26" fillId="48" borderId="0" applyNumberFormat="0" applyBorder="0" applyAlignment="0" applyProtection="0">
      <alignment vertical="center"/>
    </xf>
    <xf numFmtId="0" fontId="28" fillId="34" borderId="0" applyNumberFormat="0" applyBorder="0" applyAlignment="0" applyProtection="0">
      <alignment vertical="center"/>
    </xf>
    <xf numFmtId="0" fontId="43" fillId="46" borderId="23" applyNumberFormat="0" applyAlignment="0" applyProtection="0">
      <alignment vertical="center"/>
    </xf>
    <xf numFmtId="0" fontId="26" fillId="45" borderId="0" applyNumberFormat="0" applyBorder="0" applyAlignment="0" applyProtection="0">
      <alignment vertical="center"/>
    </xf>
    <xf numFmtId="0" fontId="26" fillId="41" borderId="0" applyNumberFormat="0" applyBorder="0" applyAlignment="0" applyProtection="0">
      <alignment vertical="center"/>
    </xf>
    <xf numFmtId="44" fontId="0" fillId="0" borderId="0" applyFont="0" applyFill="0" applyBorder="0" applyAlignment="0" applyProtection="0">
      <alignment vertical="center"/>
    </xf>
    <xf numFmtId="0" fontId="28" fillId="43" borderId="0" applyNumberFormat="0" applyBorder="0" applyAlignment="0" applyProtection="0">
      <alignment vertical="center"/>
    </xf>
    <xf numFmtId="9" fontId="0" fillId="0" borderId="0" applyFont="0" applyFill="0" applyBorder="0" applyAlignment="0" applyProtection="0">
      <alignment vertical="center"/>
    </xf>
    <xf numFmtId="0" fontId="28" fillId="42" borderId="0" applyNumberFormat="0" applyBorder="0" applyAlignment="0" applyProtection="0">
      <alignment vertical="center"/>
    </xf>
    <xf numFmtId="0" fontId="28" fillId="37" borderId="0" applyNumberFormat="0" applyBorder="0" applyAlignment="0" applyProtection="0">
      <alignment vertical="center"/>
    </xf>
    <xf numFmtId="0" fontId="28" fillId="29" borderId="0" applyNumberFormat="0" applyBorder="0" applyAlignment="0" applyProtection="0">
      <alignment vertical="center"/>
    </xf>
    <xf numFmtId="0" fontId="28" fillId="40" borderId="0" applyNumberFormat="0" applyBorder="0" applyAlignment="0" applyProtection="0">
      <alignment vertical="center"/>
    </xf>
    <xf numFmtId="0" fontId="28" fillId="33" borderId="0" applyNumberFormat="0" applyBorder="0" applyAlignment="0" applyProtection="0">
      <alignment vertical="center"/>
    </xf>
    <xf numFmtId="0" fontId="44" fillId="32" borderId="23" applyNumberFormat="0" applyAlignment="0" applyProtection="0">
      <alignment vertical="center"/>
    </xf>
    <xf numFmtId="0" fontId="28" fillId="12" borderId="0" applyNumberFormat="0" applyBorder="0" applyAlignment="0" applyProtection="0">
      <alignment vertical="center"/>
    </xf>
    <xf numFmtId="0" fontId="40" fillId="35" borderId="0" applyNumberFormat="0" applyBorder="0" applyAlignment="0" applyProtection="0">
      <alignment vertical="center"/>
    </xf>
    <xf numFmtId="0" fontId="26" fillId="31" borderId="0" applyNumberFormat="0" applyBorder="0" applyAlignment="0" applyProtection="0">
      <alignment vertical="center"/>
    </xf>
    <xf numFmtId="0" fontId="42" fillId="38" borderId="0" applyNumberFormat="0" applyBorder="0" applyAlignment="0" applyProtection="0">
      <alignment vertical="center"/>
    </xf>
    <xf numFmtId="0" fontId="26" fillId="27" borderId="0" applyNumberFormat="0" applyBorder="0" applyAlignment="0" applyProtection="0">
      <alignment vertical="center"/>
    </xf>
    <xf numFmtId="0" fontId="37" fillId="0" borderId="21" applyNumberFormat="0" applyFill="0" applyAlignment="0" applyProtection="0">
      <alignment vertical="center"/>
    </xf>
    <xf numFmtId="0" fontId="35" fillId="30" borderId="0" applyNumberFormat="0" applyBorder="0" applyAlignment="0" applyProtection="0">
      <alignment vertical="center"/>
    </xf>
    <xf numFmtId="0" fontId="41" fillId="36" borderId="22" applyNumberFormat="0" applyAlignment="0" applyProtection="0">
      <alignment vertical="center"/>
    </xf>
    <xf numFmtId="0" fontId="36" fillId="32" borderId="20" applyNumberFormat="0" applyAlignment="0" applyProtection="0">
      <alignment vertical="center"/>
    </xf>
    <xf numFmtId="0" fontId="39" fillId="0" borderId="18" applyNumberFormat="0" applyFill="0" applyAlignment="0" applyProtection="0">
      <alignment vertical="center"/>
    </xf>
    <xf numFmtId="0" fontId="34" fillId="0" borderId="0" applyNumberFormat="0" applyFill="0" applyBorder="0" applyAlignment="0" applyProtection="0">
      <alignment vertical="center"/>
    </xf>
    <xf numFmtId="0" fontId="26" fillId="25" borderId="0" applyNumberFormat="0" applyBorder="0" applyAlignment="0" applyProtection="0">
      <alignment vertical="center"/>
    </xf>
    <xf numFmtId="0" fontId="31" fillId="0" borderId="0" applyNumberFormat="0" applyFill="0" applyBorder="0" applyAlignment="0" applyProtection="0">
      <alignment vertical="center"/>
    </xf>
    <xf numFmtId="42" fontId="0" fillId="0" borderId="0" applyFont="0" applyFill="0" applyBorder="0" applyAlignment="0" applyProtection="0">
      <alignment vertical="center"/>
    </xf>
    <xf numFmtId="0" fontId="26" fillId="28" borderId="0" applyNumberFormat="0" applyBorder="0" applyAlignment="0" applyProtection="0">
      <alignment vertical="center"/>
    </xf>
    <xf numFmtId="43"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6" fillId="26" borderId="0" applyNumberFormat="0" applyBorder="0" applyAlignment="0" applyProtection="0">
      <alignment vertical="center"/>
    </xf>
    <xf numFmtId="0" fontId="33" fillId="0" borderId="0" applyNumberFormat="0" applyFill="0" applyBorder="0" applyAlignment="0" applyProtection="0">
      <alignment vertical="center"/>
    </xf>
    <xf numFmtId="0" fontId="28" fillId="24" borderId="0" applyNumberFormat="0" applyBorder="0" applyAlignment="0" applyProtection="0">
      <alignment vertical="center"/>
    </xf>
    <xf numFmtId="0" fontId="0" fillId="23" borderId="17" applyNumberFormat="0" applyFont="0" applyAlignment="0" applyProtection="0">
      <alignment vertical="center"/>
    </xf>
    <xf numFmtId="0" fontId="26" fillId="39" borderId="0" applyNumberFormat="0" applyBorder="0" applyAlignment="0" applyProtection="0">
      <alignment vertical="center"/>
    </xf>
    <xf numFmtId="0" fontId="28" fillId="49" borderId="0" applyNumberFormat="0" applyBorder="0" applyAlignment="0" applyProtection="0">
      <alignment vertical="center"/>
    </xf>
    <xf numFmtId="0" fontId="26" fillId="47" borderId="0" applyNumberFormat="0" applyBorder="0" applyAlignment="0" applyProtection="0">
      <alignment vertical="center"/>
    </xf>
    <xf numFmtId="0" fontId="27" fillId="0" borderId="0" applyNumberFormat="0" applyFill="0" applyBorder="0" applyAlignment="0" applyProtection="0">
      <alignment vertical="center"/>
    </xf>
    <xf numFmtId="41" fontId="0" fillId="0" borderId="0" applyFont="0" applyFill="0" applyBorder="0" applyAlignment="0" applyProtection="0">
      <alignment vertical="center"/>
    </xf>
    <xf numFmtId="0" fontId="29" fillId="0" borderId="18" applyNumberFormat="0" applyFill="0" applyAlignment="0" applyProtection="0">
      <alignment vertical="center"/>
    </xf>
    <xf numFmtId="0" fontId="26" fillId="21" borderId="0" applyNumberFormat="0" applyBorder="0" applyAlignment="0" applyProtection="0">
      <alignment vertical="center"/>
    </xf>
    <xf numFmtId="0" fontId="31" fillId="0" borderId="19" applyNumberFormat="0" applyFill="0" applyAlignment="0" applyProtection="0">
      <alignment vertical="center"/>
    </xf>
    <xf numFmtId="0" fontId="28" fillId="22" borderId="0" applyNumberFormat="0" applyBorder="0" applyAlignment="0" applyProtection="0">
      <alignment vertical="center"/>
    </xf>
    <xf numFmtId="0" fontId="26" fillId="20" borderId="0" applyNumberFormat="0" applyBorder="0" applyAlignment="0" applyProtection="0">
      <alignment vertical="center"/>
    </xf>
    <xf numFmtId="0" fontId="38" fillId="0" borderId="0"/>
    <xf numFmtId="0" fontId="25" fillId="0" borderId="16" applyNumberFormat="0" applyFill="0" applyAlignment="0" applyProtection="0">
      <alignment vertical="center"/>
    </xf>
  </cellStyleXfs>
  <cellXfs count="105">
    <xf numFmtId="0" fontId="0" fillId="0" borderId="0" xfId="0">
      <alignment vertical="center"/>
    </xf>
    <xf numFmtId="0" fontId="1" fillId="2" borderId="0" xfId="0" applyFont="1" applyFill="1" applyBorder="1" applyAlignment="1">
      <alignment horizontal="center" vertical="center"/>
    </xf>
    <xf numFmtId="0" fontId="2" fillId="2" borderId="0" xfId="0" applyFont="1" applyFill="1" applyBorder="1" applyAlignment="1">
      <alignment horizontal="center" vertical="center"/>
    </xf>
    <xf numFmtId="0" fontId="3" fillId="0" borderId="1" xfId="0" applyFont="1" applyFill="1" applyBorder="1" applyAlignment="1">
      <alignment horizontal="center" vertical="top" wrapText="1"/>
    </xf>
    <xf numFmtId="1" fontId="4" fillId="0" borderId="2" xfId="0" applyNumberFormat="1" applyFont="1" applyFill="1" applyBorder="1" applyAlignment="1">
      <alignment horizontal="center" vertical="top" shrinkToFit="1"/>
    </xf>
    <xf numFmtId="0" fontId="3" fillId="0" borderId="2" xfId="0" applyFont="1" applyFill="1" applyBorder="1" applyAlignment="1">
      <alignment horizontal="center" vertical="top" wrapText="1"/>
    </xf>
    <xf numFmtId="0" fontId="5" fillId="0" borderId="0" xfId="0" applyFont="1" applyFill="1" applyBorder="1" applyAlignment="1">
      <alignment horizontal="center" vertical="center"/>
    </xf>
    <xf numFmtId="0" fontId="0" fillId="0" borderId="3" xfId="0" applyFill="1" applyBorder="1" applyAlignment="1">
      <alignment horizontal="center" vertical="center"/>
    </xf>
    <xf numFmtId="0" fontId="0" fillId="0" borderId="3" xfId="0" applyNumberFormat="1" applyFill="1" applyBorder="1" applyAlignment="1">
      <alignment horizontal="center" vertical="center"/>
    </xf>
    <xf numFmtId="0" fontId="3" fillId="0" borderId="4" xfId="0" applyFont="1" applyFill="1" applyBorder="1" applyAlignment="1">
      <alignment horizontal="center" vertical="top" wrapText="1"/>
    </xf>
    <xf numFmtId="0" fontId="0" fillId="0" borderId="0" xfId="0" applyFill="1" applyBorder="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3" borderId="3" xfId="0" applyFont="1" applyFill="1" applyBorder="1" applyAlignment="1">
      <alignment horizontal="center" vertical="center"/>
    </xf>
    <xf numFmtId="0" fontId="0" fillId="3" borderId="3" xfId="0" applyFill="1" applyBorder="1" applyAlignment="1">
      <alignment horizontal="center" vertical="center"/>
    </xf>
    <xf numFmtId="0" fontId="8" fillId="4" borderId="3" xfId="0" applyFont="1" applyFill="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9" fillId="0" borderId="3" xfId="0" applyFont="1" applyBorder="1" applyAlignment="1">
      <alignment horizontal="center" vertical="center" wrapText="1"/>
    </xf>
    <xf numFmtId="0" fontId="0" fillId="0" borderId="3" xfId="0" applyBorder="1" applyAlignment="1">
      <alignment horizontal="center" vertical="center" wrapText="1"/>
    </xf>
    <xf numFmtId="0" fontId="9" fillId="3" borderId="3" xfId="0" applyFont="1" applyFill="1" applyBorder="1" applyAlignment="1">
      <alignment horizontal="center" vertical="center" wrapText="1"/>
    </xf>
    <xf numFmtId="0" fontId="0" fillId="3" borderId="3" xfId="0" applyFill="1" applyBorder="1" applyAlignment="1">
      <alignment horizontal="center" vertical="center" wrapText="1"/>
    </xf>
    <xf numFmtId="0" fontId="0" fillId="0" borderId="0" xfId="0" applyFill="1" applyBorder="1">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0" fillId="5" borderId="5" xfId="0" applyFill="1" applyBorder="1" applyAlignment="1">
      <alignment horizontal="center" vertical="center" wrapText="1"/>
    </xf>
    <xf numFmtId="0" fontId="0" fillId="6" borderId="0" xfId="0" applyFill="1" applyAlignment="1">
      <alignment horizontal="center" vertical="center" wrapText="1"/>
    </xf>
    <xf numFmtId="0" fontId="10" fillId="7" borderId="0" xfId="0" applyFont="1" applyFill="1" applyAlignment="1">
      <alignment horizontal="center" vertical="center"/>
    </xf>
    <xf numFmtId="0" fontId="0" fillId="5" borderId="6" xfId="0" applyFill="1" applyBorder="1" applyAlignment="1">
      <alignment horizontal="center" vertical="center" wrapText="1"/>
    </xf>
    <xf numFmtId="0" fontId="11" fillId="8" borderId="8" xfId="0" applyFont="1" applyFill="1" applyBorder="1" applyAlignment="1">
      <alignment horizontal="center" vertical="center" wrapText="1"/>
    </xf>
    <xf numFmtId="0" fontId="3" fillId="0" borderId="5" xfId="0" applyFont="1" applyFill="1" applyBorder="1" applyAlignment="1">
      <alignment horizontal="center" vertical="center" wrapText="1" shrinkToFit="1"/>
    </xf>
    <xf numFmtId="0" fontId="0" fillId="6" borderId="0" xfId="0" applyFill="1" applyBorder="1" applyAlignment="1">
      <alignment horizontal="center" vertical="center" wrapText="1"/>
    </xf>
    <xf numFmtId="0" fontId="11" fillId="8" borderId="9" xfId="0" applyFont="1" applyFill="1" applyBorder="1" applyAlignment="1">
      <alignment horizontal="center" vertical="center" wrapText="1"/>
    </xf>
    <xf numFmtId="0" fontId="3" fillId="0" borderId="6" xfId="0" applyFont="1" applyFill="1" applyBorder="1" applyAlignment="1">
      <alignment horizontal="center" vertical="center" wrapText="1" shrinkToFit="1"/>
    </xf>
    <xf numFmtId="0" fontId="0" fillId="9" borderId="7" xfId="0" applyFill="1" applyBorder="1" applyAlignment="1">
      <alignment horizontal="center" vertical="center" wrapText="1"/>
    </xf>
    <xf numFmtId="0" fontId="0" fillId="4" borderId="7" xfId="0" applyFill="1" applyBorder="1" applyAlignment="1">
      <alignment horizontal="center" vertical="center" wrapText="1"/>
    </xf>
    <xf numFmtId="0" fontId="0" fillId="8" borderId="7" xfId="0" applyFill="1" applyBorder="1" applyAlignment="1" applyProtection="1">
      <alignment horizontal="center" vertical="center"/>
      <protection hidden="1"/>
    </xf>
    <xf numFmtId="0" fontId="0" fillId="10" borderId="7" xfId="0" applyFont="1" applyFill="1" applyBorder="1" applyAlignment="1">
      <alignment horizontal="center" vertical="center"/>
    </xf>
    <xf numFmtId="0" fontId="0" fillId="4" borderId="3" xfId="0" applyFill="1" applyBorder="1" applyAlignment="1">
      <alignment horizontal="center" vertical="center" wrapText="1"/>
    </xf>
    <xf numFmtId="0" fontId="0" fillId="8" borderId="3" xfId="0" applyFill="1" applyBorder="1" applyAlignment="1" applyProtection="1">
      <alignment horizontal="center" vertical="center"/>
      <protection hidden="1"/>
    </xf>
    <xf numFmtId="0" fontId="0" fillId="9" borderId="3" xfId="0" applyFill="1" applyBorder="1" applyAlignment="1">
      <alignment horizontal="center" vertical="center" wrapText="1"/>
    </xf>
    <xf numFmtId="0" fontId="0" fillId="11" borderId="7" xfId="0" applyFont="1" applyFill="1" applyBorder="1" applyAlignment="1">
      <alignment horizontal="center" vertical="center"/>
    </xf>
    <xf numFmtId="0" fontId="10" fillId="7" borderId="0" xfId="0" applyFont="1" applyFill="1" applyAlignment="1">
      <alignment horizontal="center" vertical="center" wrapText="1"/>
    </xf>
    <xf numFmtId="0" fontId="0" fillId="0" borderId="10" xfId="0" applyFont="1" applyFill="1" applyBorder="1" applyAlignment="1">
      <alignment horizontal="center" vertical="center"/>
    </xf>
    <xf numFmtId="0" fontId="0" fillId="0" borderId="5" xfId="0" applyFont="1" applyFill="1" applyBorder="1" applyAlignment="1">
      <alignment horizontal="center" vertical="center"/>
    </xf>
    <xf numFmtId="0" fontId="0" fillId="11" borderId="7" xfId="0" applyFont="1" applyFill="1" applyBorder="1" applyAlignment="1">
      <alignment horizontal="center" vertical="center" wrapText="1"/>
    </xf>
    <xf numFmtId="0" fontId="0" fillId="0" borderId="11" xfId="0" applyFont="1" applyFill="1" applyBorder="1" applyAlignment="1">
      <alignment horizontal="center" vertical="center"/>
    </xf>
    <xf numFmtId="0" fontId="0" fillId="0" borderId="3" xfId="0" applyFont="1" applyFill="1" applyBorder="1" applyAlignment="1">
      <alignment horizontal="center" vertical="center"/>
    </xf>
    <xf numFmtId="0" fontId="0" fillId="10" borderId="7" xfId="0" applyNumberFormat="1" applyFont="1" applyFill="1" applyBorder="1" applyAlignment="1">
      <alignment horizontal="center" vertical="center"/>
    </xf>
    <xf numFmtId="0" fontId="0" fillId="6" borderId="3" xfId="0" applyFont="1" applyFill="1" applyBorder="1" applyAlignment="1" applyProtection="1">
      <alignment horizontal="center" vertical="center" wrapText="1"/>
      <protection locked="0" hidden="1"/>
    </xf>
    <xf numFmtId="0" fontId="12" fillId="0" borderId="0" xfId="0" applyFont="1" applyFill="1" applyAlignment="1" applyProtection="1">
      <alignment horizontal="left" vertical="center" wrapText="1"/>
      <protection locked="0" hidden="1"/>
    </xf>
    <xf numFmtId="0" fontId="0" fillId="0" borderId="0" xfId="0" applyFill="1">
      <alignment vertical="center"/>
    </xf>
    <xf numFmtId="0" fontId="0" fillId="0" borderId="0" xfId="0" applyFill="1" applyAlignment="1">
      <alignment horizontal="left" vertical="center"/>
    </xf>
    <xf numFmtId="0" fontId="0" fillId="0" borderId="0" xfId="0" applyFill="1" applyBorder="1" applyAlignment="1">
      <alignment horizontal="center" vertical="center"/>
    </xf>
    <xf numFmtId="0" fontId="0" fillId="0" borderId="0" xfId="0" applyFill="1" applyBorder="1" applyAlignment="1">
      <alignment horizontal="left" vertical="center"/>
    </xf>
    <xf numFmtId="0" fontId="0" fillId="0" borderId="0" xfId="0" applyFill="1" applyBorder="1" applyAlignment="1">
      <alignment horizontal="center" vertical="center" wrapText="1"/>
    </xf>
    <xf numFmtId="0" fontId="10" fillId="12" borderId="3" xfId="0" applyFont="1" applyFill="1" applyBorder="1" applyAlignment="1">
      <alignment horizontal="center" vertical="center" wrapText="1"/>
    </xf>
    <xf numFmtId="0" fontId="0" fillId="0" borderId="0" xfId="0" applyFill="1" applyAlignment="1">
      <alignment vertical="center"/>
    </xf>
    <xf numFmtId="0" fontId="13" fillId="13" borderId="3" xfId="0" applyFont="1" applyFill="1" applyBorder="1" applyAlignment="1">
      <alignment horizontal="center" vertical="center"/>
    </xf>
    <xf numFmtId="0" fontId="10" fillId="12" borderId="10" xfId="0" applyFont="1" applyFill="1" applyBorder="1" applyAlignment="1">
      <alignment horizontal="center" vertical="center" wrapText="1"/>
    </xf>
    <xf numFmtId="0" fontId="0" fillId="13" borderId="3" xfId="0" applyFill="1" applyBorder="1" applyAlignment="1">
      <alignment horizontal="center" vertical="center" wrapText="1"/>
    </xf>
    <xf numFmtId="0" fontId="13" fillId="13" borderId="12" xfId="0" applyFont="1" applyFill="1" applyBorder="1" applyAlignment="1">
      <alignment horizontal="center" vertical="center"/>
    </xf>
    <xf numFmtId="0" fontId="13" fillId="13" borderId="0" xfId="0" applyFont="1" applyFill="1" applyBorder="1" applyAlignment="1">
      <alignment horizontal="center" vertical="center"/>
    </xf>
    <xf numFmtId="0" fontId="8" fillId="6" borderId="13" xfId="0" applyFont="1" applyFill="1" applyBorder="1" applyAlignment="1">
      <alignment horizontal="center" vertical="center"/>
    </xf>
    <xf numFmtId="0" fontId="0" fillId="8" borderId="0" xfId="0" applyFill="1" applyBorder="1" applyAlignment="1">
      <alignment horizontal="center" vertical="center"/>
    </xf>
    <xf numFmtId="0" fontId="0" fillId="4" borderId="3" xfId="0" applyFont="1" applyFill="1" applyBorder="1" applyAlignment="1">
      <alignment horizontal="center" vertical="center"/>
    </xf>
    <xf numFmtId="0" fontId="13" fillId="13" borderId="3" xfId="0" applyFont="1" applyFill="1" applyBorder="1" applyAlignment="1">
      <alignment horizontal="left" vertical="center"/>
    </xf>
    <xf numFmtId="0" fontId="13" fillId="13" borderId="8" xfId="0" applyFont="1" applyFill="1" applyBorder="1" applyAlignment="1">
      <alignment horizontal="left" vertical="center"/>
    </xf>
    <xf numFmtId="0" fontId="14" fillId="13" borderId="3" xfId="0" applyFont="1" applyFill="1" applyBorder="1" applyAlignment="1">
      <alignment horizontal="center" vertical="center" wrapText="1"/>
    </xf>
    <xf numFmtId="0" fontId="13" fillId="13" borderId="9" xfId="0" applyFont="1" applyFill="1" applyBorder="1" applyAlignment="1">
      <alignment horizontal="left" vertical="center"/>
    </xf>
    <xf numFmtId="198" fontId="15" fillId="14" borderId="5" xfId="0" applyNumberFormat="1" applyFont="1" applyFill="1" applyBorder="1" applyAlignment="1" applyProtection="1">
      <alignment horizontal="center" vertical="center" wrapText="1"/>
      <protection hidden="1"/>
    </xf>
    <xf numFmtId="0" fontId="16" fillId="0" borderId="5" xfId="0" applyFont="1" applyFill="1" applyBorder="1" applyAlignment="1">
      <alignment horizontal="center" vertical="center"/>
    </xf>
    <xf numFmtId="0" fontId="8" fillId="6" borderId="3" xfId="0" applyFont="1" applyFill="1" applyBorder="1" applyAlignment="1">
      <alignment horizontal="center" vertical="center" wrapText="1"/>
    </xf>
    <xf numFmtId="0" fontId="8" fillId="6" borderId="3" xfId="0" applyFont="1" applyFill="1" applyBorder="1" applyAlignment="1">
      <alignment horizontal="center" vertical="center"/>
    </xf>
    <xf numFmtId="0" fontId="8" fillId="15" borderId="3" xfId="0" applyFont="1" applyFill="1" applyBorder="1" applyAlignment="1">
      <alignment horizontal="center" vertical="center" wrapText="1" shrinkToFit="1"/>
    </xf>
    <xf numFmtId="0" fontId="0" fillId="16" borderId="0" xfId="0" applyFont="1" applyFill="1" applyBorder="1" applyAlignment="1">
      <alignment horizontal="center" vertical="center"/>
    </xf>
    <xf numFmtId="0" fontId="17" fillId="13" borderId="3" xfId="0" applyFont="1" applyFill="1" applyBorder="1" applyAlignment="1">
      <alignment horizontal="center" vertical="center"/>
    </xf>
    <xf numFmtId="0" fontId="18" fillId="0" borderId="5" xfId="0" applyFont="1" applyFill="1" applyBorder="1" applyAlignment="1">
      <alignment horizontal="center" vertical="center"/>
    </xf>
    <xf numFmtId="0" fontId="8" fillId="4" borderId="3" xfId="0" applyFont="1" applyFill="1" applyBorder="1" applyAlignment="1">
      <alignment horizontal="center" vertical="center" wrapText="1" shrinkToFit="1"/>
    </xf>
    <xf numFmtId="0" fontId="8" fillId="9" borderId="3" xfId="0" applyFont="1" applyFill="1" applyBorder="1" applyAlignment="1">
      <alignment horizontal="center" vertical="center" wrapText="1" shrinkToFit="1"/>
    </xf>
    <xf numFmtId="0" fontId="0" fillId="17" borderId="0" xfId="0" applyFont="1" applyFill="1" applyBorder="1" applyAlignment="1">
      <alignment horizontal="center" vertical="center"/>
    </xf>
    <xf numFmtId="0" fontId="8" fillId="18" borderId="3" xfId="0" applyFont="1" applyFill="1" applyBorder="1" applyAlignment="1">
      <alignment horizontal="center" vertical="center" wrapText="1" shrinkToFit="1"/>
    </xf>
    <xf numFmtId="0" fontId="8" fillId="4" borderId="3" xfId="0" applyFont="1" applyFill="1" applyBorder="1" applyAlignment="1">
      <alignment horizontal="center" vertical="center" wrapText="1"/>
    </xf>
    <xf numFmtId="196" fontId="0" fillId="4" borderId="0" xfId="0" applyNumberFormat="1" applyFont="1" applyFill="1" applyBorder="1" applyAlignment="1">
      <alignment horizontal="center" vertical="center"/>
    </xf>
    <xf numFmtId="0" fontId="13" fillId="13" borderId="0" xfId="0" applyFont="1" applyFill="1" applyBorder="1" applyAlignment="1">
      <alignment vertical="center"/>
    </xf>
    <xf numFmtId="0" fontId="13" fillId="13" borderId="0" xfId="0" applyFont="1" applyFill="1" applyAlignment="1">
      <alignment horizontal="left" vertical="center"/>
    </xf>
    <xf numFmtId="0" fontId="19" fillId="12" borderId="12" xfId="0" applyFont="1" applyFill="1" applyBorder="1" applyAlignment="1">
      <alignment horizontal="center" vertical="center" wrapText="1"/>
    </xf>
    <xf numFmtId="0" fontId="19" fillId="12" borderId="14" xfId="0" applyFont="1" applyFill="1" applyBorder="1" applyAlignment="1">
      <alignment horizontal="center" vertical="center" wrapText="1"/>
    </xf>
    <xf numFmtId="0" fontId="0" fillId="9" borderId="3" xfId="0" applyFont="1" applyFill="1" applyBorder="1" applyAlignment="1">
      <alignment horizontal="center" vertical="center" wrapText="1"/>
    </xf>
    <xf numFmtId="0" fontId="0" fillId="6" borderId="3" xfId="0" applyFont="1" applyFill="1" applyBorder="1" applyAlignment="1">
      <alignment horizontal="center" vertical="center" wrapText="1"/>
    </xf>
    <xf numFmtId="0" fontId="0" fillId="0" borderId="0" xfId="0" applyFont="1" applyFill="1" applyBorder="1" applyAlignment="1">
      <alignment horizontal="left" vertical="center"/>
    </xf>
    <xf numFmtId="0" fontId="19" fillId="12" borderId="8" xfId="0" applyFont="1" applyFill="1" applyBorder="1" applyAlignment="1">
      <alignment horizontal="center" vertical="center" wrapText="1"/>
    </xf>
    <xf numFmtId="0" fontId="19" fillId="12" borderId="15" xfId="0" applyFont="1" applyFill="1" applyBorder="1" applyAlignment="1">
      <alignment horizontal="center" vertical="center" wrapText="1"/>
    </xf>
    <xf numFmtId="0" fontId="0" fillId="19" borderId="0" xfId="0" applyFill="1" applyBorder="1" applyAlignment="1">
      <alignment horizontal="center" vertical="center"/>
    </xf>
    <xf numFmtId="0" fontId="20" fillId="0" borderId="0" xfId="0" applyFont="1" applyAlignment="1">
      <alignment horizontal="center" vertical="center"/>
    </xf>
    <xf numFmtId="0" fontId="21" fillId="0" borderId="0" xfId="0" applyFont="1">
      <alignment vertical="center"/>
    </xf>
    <xf numFmtId="0" fontId="22" fillId="0" borderId="0" xfId="0" applyFont="1" applyAlignment="1">
      <alignment vertical="center" wrapText="1"/>
    </xf>
    <xf numFmtId="0" fontId="23" fillId="0" borderId="0" xfId="0" applyFont="1">
      <alignment vertical="center"/>
    </xf>
    <xf numFmtId="0" fontId="24" fillId="0" borderId="0" xfId="0" applyFont="1">
      <alignment vertical="center"/>
    </xf>
  </cellXfs>
  <cellStyles count="51">
    <cellStyle name="常规" xfId="0" builtinId="0"/>
    <cellStyle name="常规 5" xfId="1"/>
    <cellStyle name="60% - 强调文字颜色 6" xfId="2" builtinId="52"/>
    <cellStyle name="20% - 强调文字颜色 4" xfId="3" builtinId="42"/>
    <cellStyle name="强调文字颜色 4" xfId="4" builtinId="41"/>
    <cellStyle name="输入" xfId="5" builtinId="20"/>
    <cellStyle name="40% - 强调文字颜色 3" xfId="6" builtinId="39"/>
    <cellStyle name="20% - 强调文字颜色 3" xfId="7" builtinId="38"/>
    <cellStyle name="货币" xfId="8" builtinId="4"/>
    <cellStyle name="强调文字颜色 3" xfId="9" builtinId="37"/>
    <cellStyle name="百分比" xfId="10" builtinId="5"/>
    <cellStyle name="60% - 强调文字颜色 2" xfId="11" builtinId="36"/>
    <cellStyle name="60% - 强调文字颜色 5" xfId="12" builtinId="48"/>
    <cellStyle name="强调文字颜色 2" xfId="13" builtinId="33"/>
    <cellStyle name="60% - 强调文字颜色 1" xfId="14" builtinId="32"/>
    <cellStyle name="60% - 强调文字颜色 4" xfId="15" builtinId="44"/>
    <cellStyle name="计算" xfId="16" builtinId="22"/>
    <cellStyle name="强调文字颜色 1" xfId="17" builtinId="29"/>
    <cellStyle name="适中" xfId="18" builtinId="28"/>
    <cellStyle name="20% - 强调文字颜色 5" xfId="19" builtinId="46"/>
    <cellStyle name="好" xfId="20" builtinId="26"/>
    <cellStyle name="20% - 强调文字颜色 1" xfId="21" builtinId="30"/>
    <cellStyle name="汇总" xfId="22" builtinId="25"/>
    <cellStyle name="差" xfId="23" builtinId="27"/>
    <cellStyle name="检查单元格" xfId="24" builtinId="23"/>
    <cellStyle name="输出" xfId="25" builtinId="21"/>
    <cellStyle name="标题 1" xfId="26" builtinId="16"/>
    <cellStyle name="解释性文本" xfId="27" builtinId="53"/>
    <cellStyle name="20% - 强调文字颜色 2" xfId="28" builtinId="34"/>
    <cellStyle name="标题 4" xfId="29" builtinId="19"/>
    <cellStyle name="货币[0]" xfId="30" builtinId="7"/>
    <cellStyle name="40% - 强调文字颜色 4" xfId="31" builtinId="43"/>
    <cellStyle name="千位分隔" xfId="32" builtinId="3"/>
    <cellStyle name="已访问的超链接" xfId="33" builtinId="9"/>
    <cellStyle name="标题" xfId="34" builtinId="15"/>
    <cellStyle name="40% - 强调文字颜色 2" xfId="35" builtinId="35"/>
    <cellStyle name="警告文本" xfId="36" builtinId="11"/>
    <cellStyle name="60% - 强调文字颜色 3" xfId="37" builtinId="40"/>
    <cellStyle name="注释" xfId="38" builtinId="10"/>
    <cellStyle name="20% - 强调文字颜色 6" xfId="39" builtinId="50"/>
    <cellStyle name="强调文字颜色 5" xfId="40" builtinId="45"/>
    <cellStyle name="40% - 强调文字颜色 6" xfId="41" builtinId="51"/>
    <cellStyle name="超链接" xfId="42" builtinId="8"/>
    <cellStyle name="千位分隔[0]" xfId="43" builtinId="6"/>
    <cellStyle name="标题 2" xfId="44" builtinId="17"/>
    <cellStyle name="40% - 强调文字颜色 5" xfId="45" builtinId="47"/>
    <cellStyle name="标题 3" xfId="46" builtinId="18"/>
    <cellStyle name="强调文字颜色 6" xfId="47" builtinId="49"/>
    <cellStyle name="40% - 强调文字颜色 1" xfId="48" builtinId="31"/>
    <cellStyle name="常规 3" xfId="49"/>
    <cellStyle name="链接单元格" xfId="50" builtinId="24"/>
  </cellStyles>
  <dxfs count="14">
    <dxf>
      <fill>
        <patternFill patternType="none"/>
      </fill>
      <alignment horizontal="center" vertical="center"/>
      <border>
        <left/>
        <right/>
        <top/>
        <bottom/>
      </border>
    </dxf>
    <dxf>
      <fill>
        <patternFill patternType="none"/>
      </fill>
      <alignment horizontal="left" vertical="center"/>
      <border>
        <left/>
        <right/>
        <top/>
        <bottom/>
      </border>
    </dxf>
    <dxf>
      <fill>
        <patternFill patternType="none"/>
      </fill>
      <alignment vertical="center"/>
      <border>
        <left/>
        <right/>
        <top/>
        <bottom/>
      </border>
    </dxf>
    <dxf>
      <fill>
        <patternFill patternType="none"/>
      </fill>
      <alignment horizontal="left" vertical="center"/>
      <border>
        <left/>
        <right/>
        <top/>
        <bottom/>
      </border>
    </dxf>
    <dxf>
      <font>
        <name val="宋体"/>
        <scheme val="none"/>
        <charset val="134"/>
        <family val="0"/>
        <b val="0"/>
        <i val="0"/>
        <strike val="0"/>
        <u val="none"/>
        <sz val="11"/>
        <color theme="1"/>
      </font>
      <fill>
        <patternFill patternType="solid">
          <bgColor theme="4" tint="0.8"/>
        </patternFill>
      </fill>
      <alignment horizontal="center" vertical="center"/>
      <border>
        <left/>
        <right/>
        <top/>
        <bottom/>
      </border>
    </dxf>
    <dxf>
      <font>
        <name val="宋体"/>
        <scheme val="none"/>
        <charset val="134"/>
        <family val="0"/>
        <b val="0"/>
        <i val="0"/>
        <strike val="0"/>
        <u val="none"/>
        <sz val="11"/>
        <color theme="1"/>
      </font>
      <fill>
        <patternFill patternType="solid">
          <bgColor theme="4" tint="0.4"/>
        </patternFill>
      </fill>
      <alignment horizontal="center" vertical="center"/>
      <border>
        <left/>
        <right/>
        <top/>
        <bottom/>
      </border>
    </dxf>
    <dxf>
      <font>
        <name val="宋体"/>
        <scheme val="none"/>
        <charset val="134"/>
        <family val="0"/>
        <b val="0"/>
        <i val="0"/>
        <strike val="0"/>
        <u val="none"/>
        <sz val="11"/>
        <color theme="1"/>
      </font>
      <fill>
        <patternFill patternType="solid">
          <bgColor theme="4" tint="0.8"/>
        </patternFill>
      </fill>
      <alignment horizontal="center" vertical="center"/>
      <border>
        <left/>
        <right/>
        <top/>
        <bottom/>
      </border>
    </dxf>
    <dxf>
      <font>
        <name val="宋体"/>
        <scheme val="none"/>
        <charset val="134"/>
        <family val="0"/>
        <b val="0"/>
        <i val="0"/>
        <strike val="0"/>
        <u val="none"/>
        <sz val="11"/>
        <color theme="1"/>
      </font>
      <fill>
        <patternFill patternType="solid">
          <bgColor theme="4" tint="0.4"/>
        </patternFill>
      </fill>
      <alignment horizontal="center" vertical="center"/>
      <border>
        <left/>
        <right/>
        <top/>
        <bottom/>
      </border>
    </dxf>
    <dxf>
      <font>
        <name val="宋体"/>
        <scheme val="none"/>
        <charset val="134"/>
        <family val="0"/>
        <b val="0"/>
        <i val="0"/>
        <strike val="0"/>
        <u val="none"/>
        <sz val="11"/>
        <color theme="1"/>
      </font>
      <fill>
        <patternFill patternType="solid">
          <bgColor theme="4" tint="0.8"/>
        </patternFill>
      </fill>
      <alignment horizontal="center" vertical="center"/>
      <border>
        <left/>
        <right/>
        <top/>
        <bottom/>
      </border>
    </dxf>
    <dxf>
      <font>
        <name val="宋体"/>
        <scheme val="none"/>
        <charset val="134"/>
        <family val="0"/>
        <b val="0"/>
        <i val="0"/>
        <strike val="0"/>
        <u val="none"/>
        <sz val="11"/>
        <color theme="1"/>
      </font>
      <fill>
        <patternFill patternType="solid">
          <bgColor theme="4" tint="0.4"/>
        </patternFill>
      </fill>
      <alignment horizontal="center" vertical="center"/>
      <border>
        <left/>
        <right/>
        <top/>
        <bottom/>
      </border>
    </dxf>
    <dxf>
      <font>
        <name val="宋体"/>
        <scheme val="none"/>
        <charset val="134"/>
        <family val="0"/>
        <b val="0"/>
        <i val="0"/>
        <strike val="0"/>
        <u val="none"/>
        <sz val="11"/>
        <color theme="1"/>
      </font>
      <fill>
        <patternFill patternType="solid">
          <bgColor theme="4" tint="0.8"/>
        </patternFill>
      </fill>
      <alignment horizontal="center" vertical="center"/>
      <border>
        <left/>
        <right/>
        <top/>
        <bottom/>
      </border>
    </dxf>
    <dxf>
      <font>
        <name val="宋体"/>
        <scheme val="none"/>
        <charset val="134"/>
        <family val="0"/>
        <b val="0"/>
        <i val="0"/>
        <strike val="0"/>
        <u val="none"/>
        <sz val="11"/>
        <color theme="1"/>
      </font>
      <fill>
        <patternFill patternType="solid">
          <bgColor theme="4" tint="0.4"/>
        </patternFill>
      </fill>
      <alignment horizontal="center" vertical="center"/>
      <border>
        <left/>
        <right/>
        <top/>
        <bottom/>
      </border>
    </dxf>
    <dxf>
      <font>
        <name val="宋体"/>
        <scheme val="none"/>
        <charset val="134"/>
        <family val="0"/>
        <b val="0"/>
        <i val="0"/>
        <strike val="0"/>
        <u val="none"/>
        <sz val="11"/>
        <color theme="1"/>
      </font>
      <numFmt numFmtId="196" formatCode="0_ "/>
      <fill>
        <patternFill patternType="solid">
          <bgColor theme="5" tint="0.4"/>
        </patternFill>
      </fill>
      <alignment horizontal="center" vertical="center"/>
      <border>
        <left/>
        <right/>
        <top/>
        <bottom/>
      </border>
    </dxf>
    <dxf>
      <font>
        <name val="宋体"/>
        <scheme val="none"/>
        <charset val="134"/>
        <family val="0"/>
        <b val="0"/>
        <i val="0"/>
        <strike val="0"/>
        <u val="none"/>
        <sz val="11"/>
        <color theme="1"/>
      </font>
      <numFmt numFmtId="196" formatCode="0_ "/>
      <fill>
        <patternFill patternType="solid">
          <bgColor theme="5" tint="0.4"/>
        </patternFill>
      </fill>
      <alignment horizontal="center" vertical="center"/>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customXml" Target="../customXml/item4.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157480</xdr:colOff>
      <xdr:row>2</xdr:row>
      <xdr:rowOff>85725</xdr:rowOff>
    </xdr:from>
    <xdr:to>
      <xdr:col>5</xdr:col>
      <xdr:colOff>2007235</xdr:colOff>
      <xdr:row>2</xdr:row>
      <xdr:rowOff>892175</xdr:rowOff>
    </xdr:to>
    <xdr:sp>
      <xdr:nvSpPr>
        <xdr:cNvPr id="2" name="类型"/>
        <xdr:cNvSpPr/>
      </xdr:nvSpPr>
      <xdr:spPr>
        <a:xfrm>
          <a:off x="4358640" y="1647825"/>
          <a:ext cx="1849755" cy="806450"/>
        </a:xfrm>
      </xdr:spPr>
    </xdr:sp>
    <xdr:clientData/>
  </xdr:twoCellAnchor>
  <xdr:twoCellAnchor editAs="absolute">
    <xdr:from>
      <xdr:col>3</xdr:col>
      <xdr:colOff>22860</xdr:colOff>
      <xdr:row>2</xdr:row>
      <xdr:rowOff>937260</xdr:rowOff>
    </xdr:from>
    <xdr:to>
      <xdr:col>5</xdr:col>
      <xdr:colOff>2019935</xdr:colOff>
      <xdr:row>3</xdr:row>
      <xdr:rowOff>2064385</xdr:rowOff>
    </xdr:to>
    <xdr:sp>
      <xdr:nvSpPr>
        <xdr:cNvPr id="3" name="2025最低分"/>
        <xdr:cNvSpPr/>
      </xdr:nvSpPr>
      <xdr:spPr>
        <a:xfrm>
          <a:off x="2059305" y="2499360"/>
          <a:ext cx="4161790" cy="2066925"/>
        </a:xfrm>
      </xdr:spPr>
    </xdr:sp>
    <xdr:clientData/>
  </xdr:twoCellAnchor>
  <xdr:twoCellAnchor editAs="absolute">
    <xdr:from>
      <xdr:col>11</xdr:col>
      <xdr:colOff>412750</xdr:colOff>
      <xdr:row>3</xdr:row>
      <xdr:rowOff>0</xdr:rowOff>
    </xdr:from>
    <xdr:to>
      <xdr:col>16</xdr:col>
      <xdr:colOff>704850</xdr:colOff>
      <xdr:row>3</xdr:row>
      <xdr:rowOff>2062480</xdr:rowOff>
    </xdr:to>
    <xdr:sp>
      <xdr:nvSpPr>
        <xdr:cNvPr id="8" name="平均最低分"/>
        <xdr:cNvSpPr/>
      </xdr:nvSpPr>
      <xdr:spPr>
        <a:xfrm>
          <a:off x="10868025" y="2501900"/>
          <a:ext cx="3775710" cy="2062480"/>
        </a:xfrm>
      </xdr:spPr>
    </xdr:sp>
    <xdr:clientData/>
  </xdr:twoCellAnchor>
  <xdr:twoCellAnchor editAs="absolute">
    <xdr:from>
      <xdr:col>5</xdr:col>
      <xdr:colOff>2008505</xdr:colOff>
      <xdr:row>3</xdr:row>
      <xdr:rowOff>0</xdr:rowOff>
    </xdr:from>
    <xdr:to>
      <xdr:col>11</xdr:col>
      <xdr:colOff>437515</xdr:colOff>
      <xdr:row>3</xdr:row>
      <xdr:rowOff>2058035</xdr:rowOff>
    </xdr:to>
    <xdr:sp>
      <xdr:nvSpPr>
        <xdr:cNvPr id="4" name="2024最低分"/>
        <xdr:cNvSpPr>
          <a:spLocks noChangeAspect="1"/>
        </xdr:cNvSpPr>
      </xdr:nvSpPr>
      <xdr:spPr>
        <a:xfrm>
          <a:off x="6209665" y="2501900"/>
          <a:ext cx="4683125" cy="2058035"/>
        </a:xfrm>
      </xdr:spPr>
    </xdr:sp>
    <xdr:clientData/>
  </xdr:twoCellAnchor>
</xdr:wsDr>
</file>

<file path=xl/tables/table1.xml><?xml version="1.0" encoding="utf-8"?>
<table xmlns="http://schemas.openxmlformats.org/spreadsheetml/2006/main" id="2" name="表2" displayName="表2" ref="D5:Q738" totalsRowShown="0">
  <autoFilter ref="D5:Q738"/>
  <tableColumns count="14">
    <tableColumn id="1" name="类型" dataDxfId="0"/>
    <tableColumn id="2" name="院校&#10;代码" dataDxfId="1"/>
    <tableColumn id="3" name="院校名称" dataDxfId="2"/>
    <tableColumn id="4" name="专业组代码" dataDxfId="3"/>
    <tableColumn id="5" name="2025计划数" dataDxfId="4"/>
    <tableColumn id="6" name="2024计划数" dataDxfId="5"/>
    <tableColumn id="7" name="2025投档数" dataDxfId="6"/>
    <tableColumn id="8" name="2024投档数" dataDxfId="7"/>
    <tableColumn id="9" name="2025最低分" dataDxfId="8"/>
    <tableColumn id="10" name="2024最低分" dataDxfId="9"/>
    <tableColumn id="11" name="2025最低位次" dataDxfId="10"/>
    <tableColumn id="12" name="2024最低位次" dataDxfId="11"/>
    <tableColumn id="13" name="平均最低分" dataDxfId="12"/>
    <tableColumn id="14" name="平均最低位次" dataDxfId="13"/>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4" Type="http://schemas.openxmlformats.org/officeDocument/2006/relationships/table" Target="../tables/table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9"/>
  <sheetViews>
    <sheetView zoomScale="90" zoomScaleNormal="90" workbookViewId="0">
      <selection activeCell="C17" sqref="C17"/>
    </sheetView>
  </sheetViews>
  <sheetFormatPr defaultColWidth="8.89166666666667" defaultRowHeight="13.5"/>
  <cols>
    <col min="1" max="1" width="103" customWidth="1"/>
    <col min="4" max="4" width="12.8916666666667"/>
  </cols>
  <sheetData>
    <row r="1" ht="29" customHeight="1" spans="1:1">
      <c r="A1" s="100" t="s">
        <v>0</v>
      </c>
    </row>
    <row r="2" ht="20" customHeight="1" spans="1:1">
      <c r="A2" s="101" t="s">
        <v>1</v>
      </c>
    </row>
    <row r="3" ht="20" customHeight="1" spans="1:1">
      <c r="A3" s="101" t="s">
        <v>2</v>
      </c>
    </row>
    <row r="4" ht="20" customHeight="1" spans="1:1">
      <c r="A4" t="s">
        <v>3</v>
      </c>
    </row>
    <row r="5" ht="20" customHeight="1" spans="1:1">
      <c r="A5" t="s">
        <v>4</v>
      </c>
    </row>
    <row r="6" ht="20" customHeight="1" spans="1:1">
      <c r="A6" s="101" t="s">
        <v>5</v>
      </c>
    </row>
    <row r="7" ht="20" customHeight="1" spans="1:1">
      <c r="A7" t="s">
        <v>6</v>
      </c>
    </row>
    <row r="8" ht="20" customHeight="1" spans="1:1">
      <c r="A8" t="s">
        <v>7</v>
      </c>
    </row>
    <row r="9" ht="20" customHeight="1" spans="1:1">
      <c r="A9" t="s">
        <v>8</v>
      </c>
    </row>
    <row r="10" ht="20" customHeight="1" spans="1:1">
      <c r="A10" s="101" t="s">
        <v>9</v>
      </c>
    </row>
    <row r="11" ht="20" customHeight="1" spans="1:1">
      <c r="A11" t="s">
        <v>10</v>
      </c>
    </row>
    <row r="12" ht="20" customHeight="1" spans="1:1">
      <c r="A12" s="101" t="s">
        <v>11</v>
      </c>
    </row>
    <row r="13" ht="20" customHeight="1" spans="1:1">
      <c r="A13" t="s">
        <v>12</v>
      </c>
    </row>
    <row r="14" ht="20" customHeight="1" spans="1:1">
      <c r="A14" t="s">
        <v>13</v>
      </c>
    </row>
    <row r="15" ht="20" customHeight="1" spans="1:1">
      <c r="A15" t="s">
        <v>14</v>
      </c>
    </row>
    <row r="16" ht="20" customHeight="1" spans="1:1">
      <c r="A16" t="s">
        <v>15</v>
      </c>
    </row>
    <row r="17" ht="20" customHeight="1" spans="1:1">
      <c r="A17" s="101" t="s">
        <v>16</v>
      </c>
    </row>
    <row r="18" ht="20" customHeight="1" spans="1:1">
      <c r="A18" t="s">
        <v>17</v>
      </c>
    </row>
    <row r="19" ht="20" customHeight="1" spans="1:1">
      <c r="A19" t="s">
        <v>13</v>
      </c>
    </row>
    <row r="20" ht="20" customHeight="1" spans="1:1">
      <c r="A20" t="s">
        <v>14</v>
      </c>
    </row>
    <row r="21" ht="20" customHeight="1" spans="1:1">
      <c r="A21" t="s">
        <v>15</v>
      </c>
    </row>
    <row r="22" ht="20" customHeight="1" spans="1:1">
      <c r="A22" s="101" t="s">
        <v>18</v>
      </c>
    </row>
    <row r="23" ht="20" customHeight="1" spans="1:1">
      <c r="A23" t="s">
        <v>19</v>
      </c>
    </row>
    <row r="24" ht="20" customHeight="1" spans="1:1">
      <c r="A24" t="s">
        <v>20</v>
      </c>
    </row>
    <row r="25" ht="20" customHeight="1" spans="1:1">
      <c r="A25" t="s">
        <v>21</v>
      </c>
    </row>
    <row r="26" ht="20" customHeight="1" spans="1:1">
      <c r="A26" t="s">
        <v>22</v>
      </c>
    </row>
    <row r="27" ht="20" customHeight="1" spans="1:1">
      <c r="A27" s="101" t="s">
        <v>23</v>
      </c>
    </row>
    <row r="28" ht="20" customHeight="1" spans="1:1">
      <c r="A28" t="s">
        <v>24</v>
      </c>
    </row>
    <row r="29" ht="20" customHeight="1" spans="1:1">
      <c r="A29" t="s">
        <v>25</v>
      </c>
    </row>
    <row r="30" ht="20" customHeight="1" spans="1:1">
      <c r="A30" t="s">
        <v>21</v>
      </c>
    </row>
    <row r="31" ht="20" customHeight="1" spans="1:1">
      <c r="A31" t="s">
        <v>26</v>
      </c>
    </row>
    <row r="32" ht="20" customHeight="1" spans="1:1">
      <c r="A32" s="101" t="s">
        <v>27</v>
      </c>
    </row>
    <row r="33" ht="20" customHeight="1" spans="1:1">
      <c r="A33" t="s">
        <v>28</v>
      </c>
    </row>
    <row r="34" ht="20" customHeight="1" spans="1:1">
      <c r="A34" t="s">
        <v>13</v>
      </c>
    </row>
    <row r="35" ht="20" customHeight="1" spans="1:1">
      <c r="A35" t="s">
        <v>29</v>
      </c>
    </row>
    <row r="36" ht="20" customHeight="1" spans="1:1">
      <c r="A36" s="101" t="s">
        <v>30</v>
      </c>
    </row>
    <row r="37" ht="20" customHeight="1" spans="1:1">
      <c r="A37" t="s">
        <v>31</v>
      </c>
    </row>
    <row r="38" ht="20" customHeight="1" spans="1:1">
      <c r="A38" t="s">
        <v>13</v>
      </c>
    </row>
    <row r="39" ht="20" customHeight="1" spans="1:1">
      <c r="A39" t="s">
        <v>29</v>
      </c>
    </row>
    <row r="40" ht="49" customHeight="1" spans="1:1">
      <c r="A40" s="102" t="s">
        <v>32</v>
      </c>
    </row>
    <row r="41" ht="20" customHeight="1" spans="1:1">
      <c r="A41" s="101" t="s">
        <v>33</v>
      </c>
    </row>
    <row r="42" ht="20" customHeight="1" spans="1:1">
      <c r="A42" t="s">
        <v>34</v>
      </c>
    </row>
    <row r="43" ht="20" customHeight="1" spans="1:1">
      <c r="A43" t="s">
        <v>35</v>
      </c>
    </row>
    <row r="44" ht="20" customHeight="1" spans="1:1">
      <c r="A44" t="s">
        <v>36</v>
      </c>
    </row>
    <row r="45" ht="20" customHeight="1" spans="1:1">
      <c r="A45" s="103" t="s">
        <v>37</v>
      </c>
    </row>
    <row r="46" ht="20" customHeight="1" spans="1:1">
      <c r="A46" s="101" t="s">
        <v>38</v>
      </c>
    </row>
    <row r="47" ht="20" customHeight="1" spans="1:1">
      <c r="A47" t="s">
        <v>39</v>
      </c>
    </row>
    <row r="48" ht="20" customHeight="1" spans="1:1">
      <c r="A48" s="101" t="s">
        <v>40</v>
      </c>
    </row>
    <row r="49" ht="20" customHeight="1" spans="1:1">
      <c r="A49" s="101" t="s">
        <v>41</v>
      </c>
    </row>
    <row r="50" ht="20" customHeight="1" spans="1:1">
      <c r="A50" t="s">
        <v>42</v>
      </c>
    </row>
    <row r="51" ht="20" customHeight="1" spans="1:1">
      <c r="A51" t="s">
        <v>43</v>
      </c>
    </row>
    <row r="52" ht="20" customHeight="1" spans="1:1">
      <c r="A52" t="s">
        <v>44</v>
      </c>
    </row>
    <row r="53" ht="20" customHeight="1" spans="1:1">
      <c r="A53" s="104" t="s">
        <v>45</v>
      </c>
    </row>
    <row r="54" ht="48" customHeight="1" spans="1:1">
      <c r="A54" s="30" t="s">
        <v>46</v>
      </c>
    </row>
    <row r="55" ht="20" customHeight="1" spans="1:1">
      <c r="A55" t="s">
        <v>47</v>
      </c>
    </row>
    <row r="56" ht="20" customHeight="1" spans="1:1">
      <c r="A56" t="s">
        <v>48</v>
      </c>
    </row>
    <row r="57" ht="20" customHeight="1" spans="1:1">
      <c r="A57" t="s">
        <v>49</v>
      </c>
    </row>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sheetData>
  <sheetProtection formatCells="0" insertHyperlinks="0" autoFilter="0"/>
  <pageMargins left="0.393055555555556" right="0.393055555555556" top="0.409027777777778" bottom="0" header="0" footer="0"/>
  <pageSetup paperSize="9" orientation="portrait"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739"/>
  <sheetViews>
    <sheetView tabSelected="1" zoomScale="70" zoomScaleNormal="70" workbookViewId="0">
      <selection activeCell="C12" sqref="C12:C30"/>
    </sheetView>
  </sheetViews>
  <sheetFormatPr defaultColWidth="9" defaultRowHeight="13.5"/>
  <cols>
    <col min="1" max="2" width="9" style="59" customWidth="1"/>
    <col min="3" max="3" width="8.725" style="59" customWidth="1"/>
    <col min="4" max="4" width="14.4333333333333" style="59" customWidth="1"/>
    <col min="5" max="5" width="13.975" style="60" customWidth="1"/>
    <col min="6" max="6" width="32.1083333333333" style="59" customWidth="1"/>
    <col min="7" max="7" width="8.775" style="59" customWidth="1"/>
    <col min="8" max="8" width="8.88333333333333" style="59" customWidth="1"/>
    <col min="9" max="9" width="9.19166666666667" style="59" customWidth="1"/>
    <col min="10" max="11" width="11.5583333333333" style="59" customWidth="1"/>
    <col min="12" max="13" width="9.44166666666667" style="59" customWidth="1"/>
    <col min="14" max="14" width="9.05" style="59" customWidth="1"/>
    <col min="15" max="16" width="8.89166666666667" style="59" customWidth="1"/>
    <col min="17" max="17" width="10.7833333333333" style="59" customWidth="1"/>
    <col min="18" max="18" width="9.66666666666667" style="59" customWidth="1" outlineLevel="1"/>
    <col min="19" max="19" width="14.1083333333333" style="59" customWidth="1" outlineLevel="1"/>
    <col min="20" max="20" width="18.6666666666667" style="59" customWidth="1" outlineLevel="1"/>
    <col min="21" max="21" width="8.775" style="59" customWidth="1" outlineLevel="1"/>
    <col min="22" max="22" width="13.0083333333333" style="59" customWidth="1" outlineLevel="1"/>
    <col min="23" max="23" width="7.46666666666667" style="59" customWidth="1" outlineLevel="1"/>
    <col min="24" max="24" width="13.6083333333333" style="59" customWidth="1" outlineLevel="1"/>
    <col min="25" max="25" width="13.3333333333333" style="59" customWidth="1" outlineLevel="1"/>
    <col min="26" max="26" width="13.0166666666667" style="59" customWidth="1" outlineLevel="1"/>
    <col min="27" max="27" width="10.95" style="59" customWidth="1" outlineLevel="1"/>
    <col min="28" max="28" width="14.275" style="59" customWidth="1" outlineLevel="1"/>
    <col min="29" max="29" width="11.9" style="59" customWidth="1" outlineLevel="1"/>
    <col min="30" max="30" width="28.4083333333333" style="59" customWidth="1" outlineLevel="1"/>
    <col min="31" max="31" width="16.6666666666667" style="59" customWidth="1" outlineLevel="1"/>
    <col min="32" max="33" width="15.7166666666667" style="59" customWidth="1" outlineLevel="1"/>
    <col min="34" max="34" width="7.66666666666667" style="59" customWidth="1" outlineLevel="1"/>
    <col min="35" max="35" width="6.78333333333333" style="59" customWidth="1" outlineLevel="1"/>
    <col min="36" max="36" width="35.2333333333333" style="61" customWidth="1" outlineLevel="1"/>
    <col min="37" max="16384" width="9" style="27"/>
  </cols>
  <sheetData>
    <row r="1" s="57" customFormat="1" ht="40" customHeight="1" spans="1:36">
      <c r="A1" s="62" t="s">
        <v>50</v>
      </c>
      <c r="B1" s="62"/>
      <c r="C1" s="63"/>
      <c r="D1" s="64" t="s">
        <v>51</v>
      </c>
      <c r="E1" s="72"/>
      <c r="F1" s="64"/>
      <c r="G1" s="64"/>
      <c r="H1" s="64"/>
      <c r="I1" s="64"/>
      <c r="J1" s="64"/>
      <c r="K1" s="64"/>
      <c r="L1" s="64"/>
      <c r="M1" s="64"/>
      <c r="N1" s="64"/>
      <c r="O1" s="64"/>
      <c r="P1" s="64"/>
      <c r="Q1" s="64"/>
      <c r="R1" s="90"/>
      <c r="S1" s="90"/>
      <c r="T1" s="90"/>
      <c r="U1" s="90"/>
      <c r="V1" s="90"/>
      <c r="W1" s="90"/>
      <c r="X1" s="90"/>
      <c r="Y1" s="90"/>
      <c r="Z1" s="90"/>
      <c r="AA1" s="90"/>
      <c r="AB1" s="90"/>
      <c r="AC1" s="90"/>
      <c r="AD1" s="90"/>
      <c r="AE1" s="90"/>
      <c r="AF1" s="90"/>
      <c r="AG1" s="90"/>
      <c r="AH1" s="90"/>
      <c r="AI1" s="90"/>
      <c r="AJ1" s="90"/>
    </row>
    <row r="2" s="57" customFormat="1" ht="83" customHeight="1" spans="1:36">
      <c r="A2" s="62"/>
      <c r="B2" s="65"/>
      <c r="C2" s="66" t="s">
        <v>52</v>
      </c>
      <c r="D2" s="67"/>
      <c r="E2" s="73"/>
      <c r="F2" s="74" t="s">
        <v>53</v>
      </c>
      <c r="G2" s="74"/>
      <c r="H2" s="74"/>
      <c r="I2" s="74"/>
      <c r="J2" s="74"/>
      <c r="K2" s="74"/>
      <c r="L2" s="82" t="s">
        <v>54</v>
      </c>
      <c r="M2" s="82"/>
      <c r="N2" s="82"/>
      <c r="O2" s="82"/>
      <c r="P2" s="82"/>
      <c r="Q2" s="82"/>
      <c r="R2" s="91"/>
      <c r="S2" s="91"/>
      <c r="T2" s="91"/>
      <c r="U2" s="91"/>
      <c r="V2" s="91"/>
      <c r="W2" s="91"/>
      <c r="X2" s="91"/>
      <c r="Y2" s="91"/>
      <c r="Z2" s="91"/>
      <c r="AA2" s="91"/>
      <c r="AB2" s="91"/>
      <c r="AC2" s="91"/>
      <c r="AD2" s="91"/>
      <c r="AE2" s="91"/>
      <c r="AF2" s="91"/>
      <c r="AG2" s="91"/>
      <c r="AH2" s="91"/>
      <c r="AI2" s="91"/>
      <c r="AJ2" s="91"/>
    </row>
    <row r="3" customFormat="1" ht="74" customHeight="1" spans="1:36">
      <c r="A3" s="62"/>
      <c r="B3" s="65"/>
      <c r="C3" s="66"/>
      <c r="D3" s="68"/>
      <c r="E3" s="75"/>
      <c r="F3" s="76" t="s">
        <v>55</v>
      </c>
      <c r="G3" s="77" t="s">
        <v>56</v>
      </c>
      <c r="H3" s="77"/>
      <c r="I3" s="83">
        <v>370</v>
      </c>
      <c r="J3" s="83"/>
      <c r="K3" s="77" t="s">
        <v>57</v>
      </c>
      <c r="L3" s="77"/>
      <c r="M3" s="83">
        <v>9367</v>
      </c>
      <c r="N3" s="83"/>
      <c r="O3" s="83"/>
      <c r="P3" s="83"/>
      <c r="Q3" s="83"/>
      <c r="R3" s="92" t="s">
        <v>58</v>
      </c>
      <c r="S3" s="92"/>
      <c r="T3" s="92"/>
      <c r="U3" s="92"/>
      <c r="V3" s="92"/>
      <c r="W3" s="92"/>
      <c r="X3" s="92"/>
      <c r="Y3" s="92"/>
      <c r="Z3" s="92"/>
      <c r="AA3" s="92"/>
      <c r="AB3" s="92"/>
      <c r="AC3" s="92"/>
      <c r="AD3" s="92"/>
      <c r="AE3" s="92"/>
      <c r="AF3" s="92"/>
      <c r="AG3" s="92"/>
      <c r="AH3" s="92"/>
      <c r="AI3" s="92"/>
      <c r="AJ3" s="97"/>
    </row>
    <row r="4" customFormat="1" ht="163" customHeight="1" spans="1:36">
      <c r="A4" s="62"/>
      <c r="B4" s="65"/>
      <c r="C4" s="66"/>
      <c r="D4" s="64"/>
      <c r="E4" s="64"/>
      <c r="F4" s="64"/>
      <c r="G4" s="64"/>
      <c r="H4" s="64"/>
      <c r="I4" s="64"/>
      <c r="J4" s="64"/>
      <c r="K4" s="64"/>
      <c r="L4" s="64"/>
      <c r="M4" s="64"/>
      <c r="N4" s="64"/>
      <c r="O4" s="64"/>
      <c r="P4" s="64"/>
      <c r="Q4" s="64"/>
      <c r="R4" s="93"/>
      <c r="S4" s="93"/>
      <c r="T4" s="93"/>
      <c r="U4" s="93"/>
      <c r="V4" s="93"/>
      <c r="W4" s="93"/>
      <c r="X4" s="93"/>
      <c r="Y4" s="93"/>
      <c r="Z4" s="93"/>
      <c r="AA4" s="93"/>
      <c r="AB4" s="93"/>
      <c r="AC4" s="93"/>
      <c r="AD4" s="93"/>
      <c r="AE4" s="93"/>
      <c r="AF4" s="93"/>
      <c r="AG4" s="93"/>
      <c r="AH4" s="93"/>
      <c r="AI4" s="93"/>
      <c r="AJ4" s="98"/>
    </row>
    <row r="5" customFormat="1" ht="38" customHeight="1" spans="1:36">
      <c r="A5" s="62"/>
      <c r="B5" s="65"/>
      <c r="C5" s="66"/>
      <c r="D5" s="69" t="s">
        <v>59</v>
      </c>
      <c r="E5" s="78" t="s">
        <v>60</v>
      </c>
      <c r="F5" s="79" t="s">
        <v>61</v>
      </c>
      <c r="G5" s="78" t="s">
        <v>62</v>
      </c>
      <c r="H5" s="80" t="s">
        <v>63</v>
      </c>
      <c r="I5" s="80" t="s">
        <v>64</v>
      </c>
      <c r="J5" s="84" t="s">
        <v>65</v>
      </c>
      <c r="K5" s="84" t="s">
        <v>66</v>
      </c>
      <c r="L5" s="85" t="s">
        <v>67</v>
      </c>
      <c r="M5" s="85" t="s">
        <v>68</v>
      </c>
      <c r="N5" s="87" t="s">
        <v>69</v>
      </c>
      <c r="O5" s="87" t="s">
        <v>70</v>
      </c>
      <c r="P5" s="88" t="s">
        <v>71</v>
      </c>
      <c r="Q5" s="88" t="s">
        <v>72</v>
      </c>
      <c r="R5" s="94" t="s">
        <v>73</v>
      </c>
      <c r="S5" s="95" t="s">
        <v>74</v>
      </c>
      <c r="T5" s="94" t="s">
        <v>75</v>
      </c>
      <c r="U5" s="95" t="s">
        <v>76</v>
      </c>
      <c r="V5" s="95" t="s">
        <v>77</v>
      </c>
      <c r="W5" s="94" t="s">
        <v>78</v>
      </c>
      <c r="X5" s="95" t="s">
        <v>79</v>
      </c>
      <c r="Y5" s="94" t="s">
        <v>80</v>
      </c>
      <c r="Z5" s="95" t="s">
        <v>81</v>
      </c>
      <c r="AA5" s="95" t="s">
        <v>82</v>
      </c>
      <c r="AB5" s="95" t="s">
        <v>83</v>
      </c>
      <c r="AC5" s="95" t="s">
        <v>84</v>
      </c>
      <c r="AD5" s="95" t="s">
        <v>85</v>
      </c>
      <c r="AE5" s="95" t="s">
        <v>86</v>
      </c>
      <c r="AF5" s="95" t="s">
        <v>87</v>
      </c>
      <c r="AG5" s="95" t="s">
        <v>88</v>
      </c>
      <c r="AH5" s="95" t="s">
        <v>89</v>
      </c>
      <c r="AI5" s="95" t="s">
        <v>90</v>
      </c>
      <c r="AJ5" s="95" t="s">
        <v>91</v>
      </c>
    </row>
    <row r="6" s="58" customFormat="1" spans="1:37">
      <c r="A6" s="70">
        <v>1</v>
      </c>
      <c r="B6" s="70">
        <f t="shared" ref="B6:B69" si="0">C6</f>
        <v>1</v>
      </c>
      <c r="C6" s="71">
        <v>1</v>
      </c>
      <c r="D6" s="59" t="s">
        <v>92</v>
      </c>
      <c r="E6" s="60">
        <v>11113</v>
      </c>
      <c r="F6" s="10" t="s">
        <v>93</v>
      </c>
      <c r="G6" s="60">
        <v>601</v>
      </c>
      <c r="H6" s="81">
        <v>449</v>
      </c>
      <c r="I6" s="86">
        <v>545</v>
      </c>
      <c r="J6" s="81">
        <v>449</v>
      </c>
      <c r="K6" s="86">
        <v>545</v>
      </c>
      <c r="L6" s="81">
        <v>403</v>
      </c>
      <c r="M6" s="86">
        <v>409</v>
      </c>
      <c r="N6" s="81">
        <v>2426</v>
      </c>
      <c r="O6" s="86">
        <v>2276</v>
      </c>
      <c r="P6" s="89">
        <f>IFERROR(AVERAGE(L6:M6),"/")</f>
        <v>406</v>
      </c>
      <c r="Q6" s="89">
        <f>IFERROR(AVERAGE(N6:O6),"/")</f>
        <v>2351</v>
      </c>
      <c r="R6" s="96" t="s">
        <v>94</v>
      </c>
      <c r="S6" s="96" t="s">
        <v>95</v>
      </c>
      <c r="T6" s="96" t="s">
        <v>94</v>
      </c>
      <c r="U6" s="96" t="s">
        <v>96</v>
      </c>
      <c r="V6" s="96" t="s">
        <v>94</v>
      </c>
      <c r="W6" s="96" t="s">
        <v>97</v>
      </c>
      <c r="X6" s="96" t="s">
        <v>98</v>
      </c>
      <c r="Y6" s="96" t="s">
        <v>99</v>
      </c>
      <c r="Z6" s="96" t="s">
        <v>100</v>
      </c>
      <c r="AA6" s="96" t="s">
        <v>101</v>
      </c>
      <c r="AB6" s="96" t="s">
        <v>102</v>
      </c>
      <c r="AC6" s="96" t="s">
        <v>103</v>
      </c>
      <c r="AD6" s="96" t="s">
        <v>104</v>
      </c>
      <c r="AE6" s="96" t="s">
        <v>105</v>
      </c>
      <c r="AF6" s="96" t="s">
        <v>106</v>
      </c>
      <c r="AG6" s="96" t="s">
        <v>107</v>
      </c>
      <c r="AH6" s="96">
        <v>158</v>
      </c>
      <c r="AI6" s="96" t="s">
        <v>108</v>
      </c>
      <c r="AJ6" s="96" t="s">
        <v>109</v>
      </c>
      <c r="AK6" s="58" t="s">
        <v>110</v>
      </c>
    </row>
    <row r="7" s="58" customFormat="1" spans="1:37">
      <c r="A7" s="70">
        <v>2</v>
      </c>
      <c r="B7" s="70">
        <f t="shared" si="0"/>
        <v>2</v>
      </c>
      <c r="C7" s="71">
        <v>2</v>
      </c>
      <c r="D7" s="59" t="s">
        <v>92</v>
      </c>
      <c r="E7" s="60">
        <v>11113</v>
      </c>
      <c r="F7" s="10" t="s">
        <v>93</v>
      </c>
      <c r="G7" s="60">
        <v>606</v>
      </c>
      <c r="H7" s="81">
        <v>165</v>
      </c>
      <c r="I7" s="86">
        <v>221</v>
      </c>
      <c r="J7" s="81">
        <v>165</v>
      </c>
      <c r="K7" s="86">
        <v>221</v>
      </c>
      <c r="L7" s="81">
        <v>396</v>
      </c>
      <c r="M7" s="86">
        <v>405</v>
      </c>
      <c r="N7" s="81">
        <v>5357</v>
      </c>
      <c r="O7" s="86">
        <v>4329</v>
      </c>
      <c r="P7" s="89">
        <f t="shared" ref="P7:P70" si="1">IFERROR(AVERAGE(L7:M7),"/")</f>
        <v>400.5</v>
      </c>
      <c r="Q7" s="89">
        <f t="shared" ref="Q7:Q70" si="2">IFERROR(AVERAGE(N7:O7),"/")</f>
        <v>4843</v>
      </c>
      <c r="R7" s="96" t="s">
        <v>94</v>
      </c>
      <c r="S7" s="96" t="s">
        <v>95</v>
      </c>
      <c r="T7" s="96" t="s">
        <v>94</v>
      </c>
      <c r="U7" s="96" t="s">
        <v>96</v>
      </c>
      <c r="V7" s="96" t="s">
        <v>94</v>
      </c>
      <c r="W7" s="96" t="s">
        <v>97</v>
      </c>
      <c r="X7" s="96" t="s">
        <v>98</v>
      </c>
      <c r="Y7" s="96" t="s">
        <v>99</v>
      </c>
      <c r="Z7" s="96" t="s">
        <v>100</v>
      </c>
      <c r="AA7" s="96" t="s">
        <v>101</v>
      </c>
      <c r="AB7" s="96" t="s">
        <v>102</v>
      </c>
      <c r="AC7" s="96" t="s">
        <v>103</v>
      </c>
      <c r="AD7" s="96" t="s">
        <v>104</v>
      </c>
      <c r="AE7" s="96" t="s">
        <v>105</v>
      </c>
      <c r="AF7" s="96" t="s">
        <v>106</v>
      </c>
      <c r="AG7" s="96" t="s">
        <v>107</v>
      </c>
      <c r="AH7" s="96">
        <v>158</v>
      </c>
      <c r="AI7" s="96" t="s">
        <v>108</v>
      </c>
      <c r="AJ7" s="96" t="s">
        <v>109</v>
      </c>
      <c r="AK7" s="58" t="s">
        <v>110</v>
      </c>
    </row>
    <row r="8" s="58" customFormat="1" spans="1:37">
      <c r="A8" s="70">
        <v>3</v>
      </c>
      <c r="B8" s="70">
        <f t="shared" si="0"/>
        <v>3</v>
      </c>
      <c r="C8" s="71">
        <v>3</v>
      </c>
      <c r="D8" s="59" t="s">
        <v>92</v>
      </c>
      <c r="E8" s="60">
        <v>11113</v>
      </c>
      <c r="F8" s="10" t="s">
        <v>93</v>
      </c>
      <c r="G8" s="60">
        <v>602</v>
      </c>
      <c r="H8" s="81">
        <v>500</v>
      </c>
      <c r="I8" s="86">
        <v>607</v>
      </c>
      <c r="J8" s="81">
        <v>500</v>
      </c>
      <c r="K8" s="86">
        <v>608</v>
      </c>
      <c r="L8" s="81">
        <v>397</v>
      </c>
      <c r="M8" s="86">
        <v>403</v>
      </c>
      <c r="N8" s="81">
        <v>5171</v>
      </c>
      <c r="O8" s="86">
        <v>5580</v>
      </c>
      <c r="P8" s="89">
        <f t="shared" si="1"/>
        <v>400</v>
      </c>
      <c r="Q8" s="89">
        <f t="shared" si="2"/>
        <v>5375.5</v>
      </c>
      <c r="R8" s="96" t="s">
        <v>94</v>
      </c>
      <c r="S8" s="96" t="s">
        <v>95</v>
      </c>
      <c r="T8" s="96" t="s">
        <v>94</v>
      </c>
      <c r="U8" s="96" t="s">
        <v>96</v>
      </c>
      <c r="V8" s="96" t="s">
        <v>94</v>
      </c>
      <c r="W8" s="96" t="s">
        <v>97</v>
      </c>
      <c r="X8" s="96" t="s">
        <v>98</v>
      </c>
      <c r="Y8" s="96" t="s">
        <v>99</v>
      </c>
      <c r="Z8" s="96" t="s">
        <v>100</v>
      </c>
      <c r="AA8" s="96" t="s">
        <v>101</v>
      </c>
      <c r="AB8" s="96" t="s">
        <v>102</v>
      </c>
      <c r="AC8" s="96" t="s">
        <v>103</v>
      </c>
      <c r="AD8" s="96" t="s">
        <v>104</v>
      </c>
      <c r="AE8" s="96" t="s">
        <v>105</v>
      </c>
      <c r="AF8" s="96" t="s">
        <v>106</v>
      </c>
      <c r="AG8" s="96" t="s">
        <v>107</v>
      </c>
      <c r="AH8" s="96">
        <v>158</v>
      </c>
      <c r="AI8" s="96" t="s">
        <v>108</v>
      </c>
      <c r="AJ8" s="96" t="s">
        <v>109</v>
      </c>
      <c r="AK8" s="58" t="s">
        <v>110</v>
      </c>
    </row>
    <row r="9" s="58" customFormat="1" spans="1:37">
      <c r="A9" s="70">
        <v>4</v>
      </c>
      <c r="B9" s="70">
        <f t="shared" si="0"/>
        <v>4</v>
      </c>
      <c r="C9" s="71">
        <v>4</v>
      </c>
      <c r="D9" s="59" t="s">
        <v>92</v>
      </c>
      <c r="E9" s="60">
        <v>11113</v>
      </c>
      <c r="F9" s="10" t="s">
        <v>93</v>
      </c>
      <c r="G9" s="60">
        <v>607</v>
      </c>
      <c r="H9" s="81">
        <v>229</v>
      </c>
      <c r="I9" s="86">
        <v>258</v>
      </c>
      <c r="J9" s="81">
        <v>229</v>
      </c>
      <c r="K9" s="86">
        <v>259</v>
      </c>
      <c r="L9" s="81">
        <v>394</v>
      </c>
      <c r="M9" s="86">
        <v>403</v>
      </c>
      <c r="N9" s="81">
        <v>6763</v>
      </c>
      <c r="O9" s="86">
        <v>6133</v>
      </c>
      <c r="P9" s="89">
        <f t="shared" si="1"/>
        <v>398.5</v>
      </c>
      <c r="Q9" s="89">
        <f t="shared" si="2"/>
        <v>6448</v>
      </c>
      <c r="R9" s="96" t="s">
        <v>94</v>
      </c>
      <c r="S9" s="96" t="s">
        <v>95</v>
      </c>
      <c r="T9" s="96" t="s">
        <v>94</v>
      </c>
      <c r="U9" s="96" t="s">
        <v>96</v>
      </c>
      <c r="V9" s="96" t="s">
        <v>94</v>
      </c>
      <c r="W9" s="96" t="s">
        <v>97</v>
      </c>
      <c r="X9" s="96" t="s">
        <v>98</v>
      </c>
      <c r="Y9" s="96" t="s">
        <v>99</v>
      </c>
      <c r="Z9" s="96" t="s">
        <v>100</v>
      </c>
      <c r="AA9" s="96" t="s">
        <v>101</v>
      </c>
      <c r="AB9" s="96" t="s">
        <v>102</v>
      </c>
      <c r="AC9" s="96" t="s">
        <v>103</v>
      </c>
      <c r="AD9" s="96" t="s">
        <v>104</v>
      </c>
      <c r="AE9" s="96" t="s">
        <v>105</v>
      </c>
      <c r="AF9" s="96" t="s">
        <v>106</v>
      </c>
      <c r="AG9" s="96" t="s">
        <v>107</v>
      </c>
      <c r="AH9" s="96">
        <v>158</v>
      </c>
      <c r="AI9" s="96" t="s">
        <v>108</v>
      </c>
      <c r="AJ9" s="96" t="s">
        <v>109</v>
      </c>
      <c r="AK9" s="58" t="s">
        <v>110</v>
      </c>
    </row>
    <row r="10" s="58" customFormat="1" spans="1:37">
      <c r="A10" s="70">
        <v>5</v>
      </c>
      <c r="B10" s="70">
        <f t="shared" si="0"/>
        <v>5</v>
      </c>
      <c r="C10" s="71">
        <v>5</v>
      </c>
      <c r="D10" s="59" t="s">
        <v>92</v>
      </c>
      <c r="E10" s="60">
        <v>12957</v>
      </c>
      <c r="F10" s="10" t="s">
        <v>111</v>
      </c>
      <c r="G10" s="60">
        <v>602</v>
      </c>
      <c r="H10" s="81">
        <v>219</v>
      </c>
      <c r="I10" s="86">
        <v>172</v>
      </c>
      <c r="J10" s="81">
        <v>219</v>
      </c>
      <c r="K10" s="86">
        <v>174</v>
      </c>
      <c r="L10" s="81">
        <v>391</v>
      </c>
      <c r="M10" s="86">
        <v>402</v>
      </c>
      <c r="N10" s="81">
        <v>8461</v>
      </c>
      <c r="O10" s="86">
        <v>6626</v>
      </c>
      <c r="P10" s="89">
        <f t="shared" si="1"/>
        <v>396.5</v>
      </c>
      <c r="Q10" s="89">
        <f t="shared" si="2"/>
        <v>7543.5</v>
      </c>
      <c r="R10" s="96" t="s">
        <v>94</v>
      </c>
      <c r="S10" s="96" t="s">
        <v>95</v>
      </c>
      <c r="T10" s="96" t="s">
        <v>94</v>
      </c>
      <c r="U10" s="96" t="s">
        <v>96</v>
      </c>
      <c r="V10" s="96" t="s">
        <v>94</v>
      </c>
      <c r="W10" s="96" t="s">
        <v>97</v>
      </c>
      <c r="X10" s="96" t="s">
        <v>98</v>
      </c>
      <c r="Y10" s="96" t="s">
        <v>112</v>
      </c>
      <c r="Z10" s="96" t="s">
        <v>113</v>
      </c>
      <c r="AA10" s="96" t="s">
        <v>114</v>
      </c>
      <c r="AB10" s="96" t="s">
        <v>115</v>
      </c>
      <c r="AC10" s="96" t="s">
        <v>116</v>
      </c>
      <c r="AD10" s="96" t="s">
        <v>117</v>
      </c>
      <c r="AE10" s="96" t="s">
        <v>118</v>
      </c>
      <c r="AF10" s="96" t="s">
        <v>119</v>
      </c>
      <c r="AG10" s="96" t="s">
        <v>120</v>
      </c>
      <c r="AH10" s="96">
        <v>184</v>
      </c>
      <c r="AI10" s="96" t="s">
        <v>121</v>
      </c>
      <c r="AJ10" s="96" t="s">
        <v>122</v>
      </c>
      <c r="AK10" s="58" t="s">
        <v>110</v>
      </c>
    </row>
    <row r="11" s="58" customFormat="1" spans="1:37">
      <c r="A11" s="70">
        <v>6</v>
      </c>
      <c r="B11" s="70">
        <f t="shared" si="0"/>
        <v>6</v>
      </c>
      <c r="C11" s="71">
        <v>6</v>
      </c>
      <c r="D11" s="59" t="s">
        <v>92</v>
      </c>
      <c r="E11" s="60">
        <v>12957</v>
      </c>
      <c r="F11" s="10" t="s">
        <v>111</v>
      </c>
      <c r="G11" s="60">
        <v>601</v>
      </c>
      <c r="H11" s="81">
        <v>276</v>
      </c>
      <c r="I11" s="86">
        <v>28</v>
      </c>
      <c r="J11" s="81">
        <v>276</v>
      </c>
      <c r="K11" s="86">
        <v>28</v>
      </c>
      <c r="L11" s="81">
        <v>395</v>
      </c>
      <c r="M11" s="86">
        <v>400</v>
      </c>
      <c r="N11" s="81">
        <v>6289</v>
      </c>
      <c r="O11" s="86">
        <v>9192</v>
      </c>
      <c r="P11" s="89">
        <f t="shared" si="1"/>
        <v>397.5</v>
      </c>
      <c r="Q11" s="89">
        <f t="shared" si="2"/>
        <v>7740.5</v>
      </c>
      <c r="R11" s="96" t="s">
        <v>94</v>
      </c>
      <c r="S11" s="96" t="s">
        <v>95</v>
      </c>
      <c r="T11" s="96" t="s">
        <v>94</v>
      </c>
      <c r="U11" s="96" t="s">
        <v>96</v>
      </c>
      <c r="V11" s="96" t="s">
        <v>94</v>
      </c>
      <c r="W11" s="96" t="s">
        <v>97</v>
      </c>
      <c r="X11" s="96" t="s">
        <v>98</v>
      </c>
      <c r="Y11" s="96" t="s">
        <v>112</v>
      </c>
      <c r="Z11" s="96" t="s">
        <v>113</v>
      </c>
      <c r="AA11" s="96" t="s">
        <v>114</v>
      </c>
      <c r="AB11" s="96" t="s">
        <v>115</v>
      </c>
      <c r="AC11" s="96" t="s">
        <v>116</v>
      </c>
      <c r="AD11" s="96" t="s">
        <v>117</v>
      </c>
      <c r="AE11" s="96" t="s">
        <v>118</v>
      </c>
      <c r="AF11" s="96" t="s">
        <v>119</v>
      </c>
      <c r="AG11" s="96" t="s">
        <v>120</v>
      </c>
      <c r="AH11" s="96">
        <v>184</v>
      </c>
      <c r="AI11" s="96" t="s">
        <v>121</v>
      </c>
      <c r="AJ11" s="96" t="s">
        <v>122</v>
      </c>
      <c r="AK11" s="58" t="s">
        <v>110</v>
      </c>
    </row>
    <row r="12" s="58" customFormat="1" spans="1:37">
      <c r="A12" s="70">
        <v>7</v>
      </c>
      <c r="B12" s="70">
        <f t="shared" si="0"/>
        <v>0</v>
      </c>
      <c r="C12" s="71"/>
      <c r="D12" s="59" t="s">
        <v>92</v>
      </c>
      <c r="E12" s="60">
        <v>11113</v>
      </c>
      <c r="F12" s="10" t="s">
        <v>93</v>
      </c>
      <c r="G12" s="60">
        <v>603</v>
      </c>
      <c r="H12" s="81">
        <v>703</v>
      </c>
      <c r="I12" s="86">
        <v>851</v>
      </c>
      <c r="J12" s="81">
        <v>703</v>
      </c>
      <c r="K12" s="86">
        <v>851</v>
      </c>
      <c r="L12" s="81">
        <v>390</v>
      </c>
      <c r="M12" s="86">
        <v>401</v>
      </c>
      <c r="N12" s="81">
        <v>9367</v>
      </c>
      <c r="O12" s="86">
        <v>7328</v>
      </c>
      <c r="P12" s="89">
        <f t="shared" si="1"/>
        <v>395.5</v>
      </c>
      <c r="Q12" s="89">
        <f t="shared" si="2"/>
        <v>8347.5</v>
      </c>
      <c r="R12" s="96" t="s">
        <v>94</v>
      </c>
      <c r="S12" s="96" t="s">
        <v>95</v>
      </c>
      <c r="T12" s="96" t="s">
        <v>94</v>
      </c>
      <c r="U12" s="96" t="s">
        <v>96</v>
      </c>
      <c r="V12" s="96" t="s">
        <v>94</v>
      </c>
      <c r="W12" s="96" t="s">
        <v>97</v>
      </c>
      <c r="X12" s="96" t="s">
        <v>98</v>
      </c>
      <c r="Y12" s="96" t="s">
        <v>99</v>
      </c>
      <c r="Z12" s="96" t="s">
        <v>100</v>
      </c>
      <c r="AA12" s="96" t="s">
        <v>101</v>
      </c>
      <c r="AB12" s="96" t="s">
        <v>102</v>
      </c>
      <c r="AC12" s="96" t="s">
        <v>103</v>
      </c>
      <c r="AD12" s="96" t="s">
        <v>104</v>
      </c>
      <c r="AE12" s="96" t="s">
        <v>105</v>
      </c>
      <c r="AF12" s="96" t="s">
        <v>106</v>
      </c>
      <c r="AG12" s="96" t="s">
        <v>107</v>
      </c>
      <c r="AH12" s="96">
        <v>158</v>
      </c>
      <c r="AI12" s="96" t="s">
        <v>108</v>
      </c>
      <c r="AJ12" s="96" t="s">
        <v>109</v>
      </c>
      <c r="AK12" s="58" t="s">
        <v>110</v>
      </c>
    </row>
    <row r="13" s="58" customFormat="1" spans="1:37">
      <c r="A13" s="70">
        <v>8</v>
      </c>
      <c r="B13" s="70">
        <f t="shared" si="0"/>
        <v>0</v>
      </c>
      <c r="C13" s="71"/>
      <c r="D13" s="59" t="s">
        <v>92</v>
      </c>
      <c r="E13" s="60">
        <v>11113</v>
      </c>
      <c r="F13" s="10" t="s">
        <v>93</v>
      </c>
      <c r="G13" s="60">
        <v>604</v>
      </c>
      <c r="H13" s="81">
        <v>282</v>
      </c>
      <c r="I13" s="86">
        <v>343</v>
      </c>
      <c r="J13" s="81">
        <v>282</v>
      </c>
      <c r="K13" s="86">
        <v>343</v>
      </c>
      <c r="L13" s="81">
        <v>390</v>
      </c>
      <c r="M13" s="86">
        <v>401</v>
      </c>
      <c r="N13" s="81">
        <v>9890</v>
      </c>
      <c r="O13" s="86">
        <v>7402</v>
      </c>
      <c r="P13" s="89">
        <f t="shared" si="1"/>
        <v>395.5</v>
      </c>
      <c r="Q13" s="89">
        <f t="shared" si="2"/>
        <v>8646</v>
      </c>
      <c r="R13" s="96" t="s">
        <v>94</v>
      </c>
      <c r="S13" s="96" t="s">
        <v>95</v>
      </c>
      <c r="T13" s="96" t="s">
        <v>94</v>
      </c>
      <c r="U13" s="96" t="s">
        <v>96</v>
      </c>
      <c r="V13" s="96" t="s">
        <v>94</v>
      </c>
      <c r="W13" s="96" t="s">
        <v>97</v>
      </c>
      <c r="X13" s="96" t="s">
        <v>98</v>
      </c>
      <c r="Y13" s="96" t="s">
        <v>99</v>
      </c>
      <c r="Z13" s="96" t="s">
        <v>100</v>
      </c>
      <c r="AA13" s="96" t="s">
        <v>101</v>
      </c>
      <c r="AB13" s="96" t="s">
        <v>102</v>
      </c>
      <c r="AC13" s="96" t="s">
        <v>103</v>
      </c>
      <c r="AD13" s="96" t="s">
        <v>104</v>
      </c>
      <c r="AE13" s="96" t="s">
        <v>105</v>
      </c>
      <c r="AF13" s="96" t="s">
        <v>106</v>
      </c>
      <c r="AG13" s="96" t="s">
        <v>107</v>
      </c>
      <c r="AH13" s="96">
        <v>158</v>
      </c>
      <c r="AI13" s="96" t="s">
        <v>108</v>
      </c>
      <c r="AJ13" s="96" t="s">
        <v>109</v>
      </c>
      <c r="AK13" s="58" t="s">
        <v>110</v>
      </c>
    </row>
    <row r="14" s="58" customFormat="1" spans="1:37">
      <c r="A14" s="70">
        <v>9</v>
      </c>
      <c r="B14" s="70">
        <f t="shared" si="0"/>
        <v>0</v>
      </c>
      <c r="C14" s="71"/>
      <c r="D14" s="59" t="s">
        <v>92</v>
      </c>
      <c r="E14" s="60">
        <v>10833</v>
      </c>
      <c r="F14" s="10" t="s">
        <v>123</v>
      </c>
      <c r="G14" s="60">
        <v>603</v>
      </c>
      <c r="H14" s="81">
        <v>175</v>
      </c>
      <c r="I14" s="86">
        <v>120</v>
      </c>
      <c r="J14" s="81">
        <v>175</v>
      </c>
      <c r="K14" s="86">
        <v>120</v>
      </c>
      <c r="L14" s="81">
        <v>388</v>
      </c>
      <c r="M14" s="86">
        <v>400</v>
      </c>
      <c r="N14" s="81">
        <v>11128</v>
      </c>
      <c r="O14" s="86">
        <v>8363</v>
      </c>
      <c r="P14" s="89">
        <f t="shared" si="1"/>
        <v>394</v>
      </c>
      <c r="Q14" s="89">
        <f t="shared" si="2"/>
        <v>9745.5</v>
      </c>
      <c r="R14" s="96" t="s">
        <v>94</v>
      </c>
      <c r="S14" s="96" t="s">
        <v>124</v>
      </c>
      <c r="T14" s="96" t="s">
        <v>94</v>
      </c>
      <c r="U14" s="96" t="s">
        <v>96</v>
      </c>
      <c r="V14" s="96" t="s">
        <v>94</v>
      </c>
      <c r="W14" s="96" t="s">
        <v>97</v>
      </c>
      <c r="X14" s="96" t="s">
        <v>98</v>
      </c>
      <c r="Y14" s="96" t="s">
        <v>125</v>
      </c>
      <c r="Z14" s="96" t="s">
        <v>126</v>
      </c>
      <c r="AA14" s="96" t="s">
        <v>127</v>
      </c>
      <c r="AB14" s="96" t="s">
        <v>128</v>
      </c>
      <c r="AC14" s="96" t="s">
        <v>129</v>
      </c>
      <c r="AD14" s="96" t="s">
        <v>130</v>
      </c>
      <c r="AE14" s="96" t="s">
        <v>131</v>
      </c>
      <c r="AF14" s="96" t="s">
        <v>132</v>
      </c>
      <c r="AG14" s="96" t="s">
        <v>110</v>
      </c>
      <c r="AH14" s="96">
        <v>369</v>
      </c>
      <c r="AI14" s="96" t="s">
        <v>133</v>
      </c>
      <c r="AJ14" s="96" t="s">
        <v>134</v>
      </c>
      <c r="AK14" s="58" t="s">
        <v>110</v>
      </c>
    </row>
    <row r="15" s="58" customFormat="1" spans="1:37">
      <c r="A15" s="70">
        <v>10</v>
      </c>
      <c r="B15" s="70">
        <f t="shared" si="0"/>
        <v>0</v>
      </c>
      <c r="C15" s="71"/>
      <c r="D15" s="59" t="s">
        <v>92</v>
      </c>
      <c r="E15" s="60">
        <v>12957</v>
      </c>
      <c r="F15" s="10" t="s">
        <v>111</v>
      </c>
      <c r="G15" s="60">
        <v>606</v>
      </c>
      <c r="H15" s="81">
        <v>28</v>
      </c>
      <c r="I15" s="86">
        <v>73</v>
      </c>
      <c r="J15" s="81">
        <v>28</v>
      </c>
      <c r="K15" s="86">
        <v>73</v>
      </c>
      <c r="L15" s="81">
        <v>387</v>
      </c>
      <c r="M15" s="86">
        <v>398</v>
      </c>
      <c r="N15" s="81">
        <v>11959</v>
      </c>
      <c r="O15" s="86">
        <v>11459</v>
      </c>
      <c r="P15" s="89">
        <f t="shared" si="1"/>
        <v>392.5</v>
      </c>
      <c r="Q15" s="89">
        <f t="shared" si="2"/>
        <v>11709</v>
      </c>
      <c r="R15" s="96" t="s">
        <v>94</v>
      </c>
      <c r="S15" s="96" t="s">
        <v>95</v>
      </c>
      <c r="T15" s="96" t="s">
        <v>94</v>
      </c>
      <c r="U15" s="96" t="s">
        <v>96</v>
      </c>
      <c r="V15" s="96" t="s">
        <v>94</v>
      </c>
      <c r="W15" s="96" t="s">
        <v>97</v>
      </c>
      <c r="X15" s="96" t="s">
        <v>98</v>
      </c>
      <c r="Y15" s="96" t="s">
        <v>112</v>
      </c>
      <c r="Z15" s="96" t="s">
        <v>113</v>
      </c>
      <c r="AA15" s="96" t="s">
        <v>114</v>
      </c>
      <c r="AB15" s="96" t="s">
        <v>115</v>
      </c>
      <c r="AC15" s="96" t="s">
        <v>116</v>
      </c>
      <c r="AD15" s="96" t="s">
        <v>117</v>
      </c>
      <c r="AE15" s="96" t="s">
        <v>118</v>
      </c>
      <c r="AF15" s="96" t="s">
        <v>119</v>
      </c>
      <c r="AG15" s="96" t="s">
        <v>120</v>
      </c>
      <c r="AH15" s="96">
        <v>184</v>
      </c>
      <c r="AI15" s="96" t="s">
        <v>121</v>
      </c>
      <c r="AJ15" s="96" t="s">
        <v>122</v>
      </c>
      <c r="AK15" s="58" t="s">
        <v>110</v>
      </c>
    </row>
    <row r="16" s="58" customFormat="1" spans="1:37">
      <c r="A16" s="70">
        <v>11</v>
      </c>
      <c r="B16" s="70">
        <f t="shared" si="0"/>
        <v>0</v>
      </c>
      <c r="C16" s="71"/>
      <c r="D16" s="59" t="s">
        <v>92</v>
      </c>
      <c r="E16" s="60">
        <v>12957</v>
      </c>
      <c r="F16" s="10" t="s">
        <v>111</v>
      </c>
      <c r="G16" s="60">
        <v>605</v>
      </c>
      <c r="H16" s="81">
        <v>23</v>
      </c>
      <c r="I16" s="86">
        <v>25</v>
      </c>
      <c r="J16" s="81">
        <v>23</v>
      </c>
      <c r="K16" s="86">
        <v>25</v>
      </c>
      <c r="L16" s="81">
        <v>388</v>
      </c>
      <c r="M16" s="86">
        <v>397</v>
      </c>
      <c r="N16" s="81">
        <v>11740</v>
      </c>
      <c r="O16" s="86">
        <v>11856</v>
      </c>
      <c r="P16" s="89">
        <f t="shared" si="1"/>
        <v>392.5</v>
      </c>
      <c r="Q16" s="89">
        <f t="shared" si="2"/>
        <v>11798</v>
      </c>
      <c r="R16" s="96" t="s">
        <v>94</v>
      </c>
      <c r="S16" s="96" t="s">
        <v>95</v>
      </c>
      <c r="T16" s="96" t="s">
        <v>94</v>
      </c>
      <c r="U16" s="96" t="s">
        <v>96</v>
      </c>
      <c r="V16" s="96" t="s">
        <v>94</v>
      </c>
      <c r="W16" s="96" t="s">
        <v>97</v>
      </c>
      <c r="X16" s="96" t="s">
        <v>98</v>
      </c>
      <c r="Y16" s="96" t="s">
        <v>112</v>
      </c>
      <c r="Z16" s="96" t="s">
        <v>113</v>
      </c>
      <c r="AA16" s="96" t="s">
        <v>114</v>
      </c>
      <c r="AB16" s="96" t="s">
        <v>115</v>
      </c>
      <c r="AC16" s="96" t="s">
        <v>116</v>
      </c>
      <c r="AD16" s="96" t="s">
        <v>117</v>
      </c>
      <c r="AE16" s="96" t="s">
        <v>118</v>
      </c>
      <c r="AF16" s="96" t="s">
        <v>119</v>
      </c>
      <c r="AG16" s="96" t="s">
        <v>120</v>
      </c>
      <c r="AH16" s="96">
        <v>184</v>
      </c>
      <c r="AI16" s="96" t="s">
        <v>121</v>
      </c>
      <c r="AJ16" s="96" t="s">
        <v>122</v>
      </c>
      <c r="AK16" s="58" t="s">
        <v>110</v>
      </c>
    </row>
    <row r="17" s="58" customFormat="1" spans="1:37">
      <c r="A17" s="70">
        <v>12</v>
      </c>
      <c r="B17" s="70">
        <f t="shared" si="0"/>
        <v>0</v>
      </c>
      <c r="C17" s="71"/>
      <c r="D17" s="59" t="s">
        <v>92</v>
      </c>
      <c r="E17" s="60">
        <v>10833</v>
      </c>
      <c r="F17" s="10" t="s">
        <v>123</v>
      </c>
      <c r="G17" s="60">
        <v>609</v>
      </c>
      <c r="H17" s="81">
        <v>85</v>
      </c>
      <c r="I17" s="86">
        <v>120</v>
      </c>
      <c r="J17" s="81">
        <v>85</v>
      </c>
      <c r="K17" s="86">
        <v>120</v>
      </c>
      <c r="L17" s="81">
        <v>386</v>
      </c>
      <c r="M17" s="86">
        <v>398</v>
      </c>
      <c r="N17" s="81">
        <v>13427</v>
      </c>
      <c r="O17" s="86">
        <v>10558</v>
      </c>
      <c r="P17" s="89">
        <f t="shared" si="1"/>
        <v>392</v>
      </c>
      <c r="Q17" s="89">
        <f t="shared" si="2"/>
        <v>11992.5</v>
      </c>
      <c r="R17" s="96" t="s">
        <v>94</v>
      </c>
      <c r="S17" s="96" t="s">
        <v>124</v>
      </c>
      <c r="T17" s="96" t="s">
        <v>94</v>
      </c>
      <c r="U17" s="96" t="s">
        <v>96</v>
      </c>
      <c r="V17" s="96" t="s">
        <v>94</v>
      </c>
      <c r="W17" s="96" t="s">
        <v>97</v>
      </c>
      <c r="X17" s="96" t="s">
        <v>98</v>
      </c>
      <c r="Y17" s="96" t="s">
        <v>125</v>
      </c>
      <c r="Z17" s="96" t="s">
        <v>126</v>
      </c>
      <c r="AA17" s="96" t="s">
        <v>127</v>
      </c>
      <c r="AB17" s="96" t="s">
        <v>128</v>
      </c>
      <c r="AC17" s="96" t="s">
        <v>129</v>
      </c>
      <c r="AD17" s="96" t="s">
        <v>130</v>
      </c>
      <c r="AE17" s="96" t="s">
        <v>131</v>
      </c>
      <c r="AF17" s="96" t="s">
        <v>132</v>
      </c>
      <c r="AG17" s="96" t="s">
        <v>110</v>
      </c>
      <c r="AH17" s="96">
        <v>369</v>
      </c>
      <c r="AI17" s="96" t="s">
        <v>133</v>
      </c>
      <c r="AJ17" s="96" t="s">
        <v>134</v>
      </c>
      <c r="AK17" s="58" t="s">
        <v>110</v>
      </c>
    </row>
    <row r="18" s="58" customFormat="1" spans="1:37">
      <c r="A18" s="70">
        <v>13</v>
      </c>
      <c r="B18" s="70">
        <f t="shared" si="0"/>
        <v>0</v>
      </c>
      <c r="C18" s="71"/>
      <c r="D18" s="59" t="s">
        <v>92</v>
      </c>
      <c r="E18" s="60">
        <v>11113</v>
      </c>
      <c r="F18" s="10" t="s">
        <v>93</v>
      </c>
      <c r="G18" s="60">
        <v>605</v>
      </c>
      <c r="H18" s="81">
        <v>95</v>
      </c>
      <c r="I18" s="86">
        <v>114</v>
      </c>
      <c r="J18" s="81">
        <v>95</v>
      </c>
      <c r="K18" s="86">
        <v>114</v>
      </c>
      <c r="L18" s="81">
        <v>387</v>
      </c>
      <c r="M18" s="86">
        <v>398</v>
      </c>
      <c r="N18" s="81">
        <v>12684</v>
      </c>
      <c r="O18" s="86">
        <v>11322</v>
      </c>
      <c r="P18" s="89">
        <f t="shared" si="1"/>
        <v>392.5</v>
      </c>
      <c r="Q18" s="89">
        <f t="shared" si="2"/>
        <v>12003</v>
      </c>
      <c r="R18" s="96" t="s">
        <v>94</v>
      </c>
      <c r="S18" s="96" t="s">
        <v>95</v>
      </c>
      <c r="T18" s="96" t="s">
        <v>94</v>
      </c>
      <c r="U18" s="96" t="s">
        <v>96</v>
      </c>
      <c r="V18" s="96" t="s">
        <v>94</v>
      </c>
      <c r="W18" s="96" t="s">
        <v>97</v>
      </c>
      <c r="X18" s="96" t="s">
        <v>98</v>
      </c>
      <c r="Y18" s="96" t="s">
        <v>99</v>
      </c>
      <c r="Z18" s="96" t="s">
        <v>100</v>
      </c>
      <c r="AA18" s="96" t="s">
        <v>101</v>
      </c>
      <c r="AB18" s="96" t="s">
        <v>102</v>
      </c>
      <c r="AC18" s="96" t="s">
        <v>103</v>
      </c>
      <c r="AD18" s="96" t="s">
        <v>104</v>
      </c>
      <c r="AE18" s="96" t="s">
        <v>105</v>
      </c>
      <c r="AF18" s="96" t="s">
        <v>106</v>
      </c>
      <c r="AG18" s="96" t="s">
        <v>107</v>
      </c>
      <c r="AH18" s="96">
        <v>158</v>
      </c>
      <c r="AI18" s="96" t="s">
        <v>108</v>
      </c>
      <c r="AJ18" s="96" t="s">
        <v>109</v>
      </c>
      <c r="AK18" s="58" t="s">
        <v>110</v>
      </c>
    </row>
    <row r="19" s="58" customFormat="1" spans="1:37">
      <c r="A19" s="70">
        <v>14</v>
      </c>
      <c r="B19" s="70">
        <f t="shared" si="0"/>
        <v>0</v>
      </c>
      <c r="C19" s="71"/>
      <c r="D19" s="59" t="s">
        <v>92</v>
      </c>
      <c r="E19" s="60">
        <v>12957</v>
      </c>
      <c r="F19" s="10" t="s">
        <v>111</v>
      </c>
      <c r="G19" s="60">
        <v>603</v>
      </c>
      <c r="H19" s="81">
        <v>544</v>
      </c>
      <c r="I19" s="86">
        <v>409</v>
      </c>
      <c r="J19" s="81">
        <v>545</v>
      </c>
      <c r="K19" s="86">
        <v>410</v>
      </c>
      <c r="L19" s="81">
        <v>386</v>
      </c>
      <c r="M19" s="86">
        <v>398</v>
      </c>
      <c r="N19" s="81">
        <v>12874</v>
      </c>
      <c r="O19" s="86">
        <v>11510</v>
      </c>
      <c r="P19" s="89">
        <f t="shared" si="1"/>
        <v>392</v>
      </c>
      <c r="Q19" s="89">
        <f t="shared" si="2"/>
        <v>12192</v>
      </c>
      <c r="R19" s="96" t="s">
        <v>94</v>
      </c>
      <c r="S19" s="96" t="s">
        <v>95</v>
      </c>
      <c r="T19" s="96" t="s">
        <v>94</v>
      </c>
      <c r="U19" s="96" t="s">
        <v>96</v>
      </c>
      <c r="V19" s="96" t="s">
        <v>94</v>
      </c>
      <c r="W19" s="96" t="s">
        <v>97</v>
      </c>
      <c r="X19" s="96" t="s">
        <v>98</v>
      </c>
      <c r="Y19" s="96" t="s">
        <v>112</v>
      </c>
      <c r="Z19" s="96" t="s">
        <v>113</v>
      </c>
      <c r="AA19" s="96" t="s">
        <v>114</v>
      </c>
      <c r="AB19" s="96" t="s">
        <v>115</v>
      </c>
      <c r="AC19" s="96" t="s">
        <v>116</v>
      </c>
      <c r="AD19" s="96" t="s">
        <v>117</v>
      </c>
      <c r="AE19" s="96" t="s">
        <v>118</v>
      </c>
      <c r="AF19" s="96" t="s">
        <v>119</v>
      </c>
      <c r="AG19" s="96" t="s">
        <v>120</v>
      </c>
      <c r="AH19" s="96">
        <v>184</v>
      </c>
      <c r="AI19" s="96" t="s">
        <v>121</v>
      </c>
      <c r="AJ19" s="96" t="s">
        <v>122</v>
      </c>
      <c r="AK19" s="58" t="s">
        <v>110</v>
      </c>
    </row>
    <row r="20" s="58" customFormat="1" spans="1:37">
      <c r="A20" s="70">
        <v>15</v>
      </c>
      <c r="B20" s="70">
        <f t="shared" si="0"/>
        <v>0</v>
      </c>
      <c r="C20" s="71"/>
      <c r="D20" s="59" t="s">
        <v>92</v>
      </c>
      <c r="E20" s="60">
        <v>12957</v>
      </c>
      <c r="F20" s="10" t="s">
        <v>111</v>
      </c>
      <c r="G20" s="60">
        <v>604</v>
      </c>
      <c r="H20" s="81">
        <v>541</v>
      </c>
      <c r="I20" s="86">
        <v>786</v>
      </c>
      <c r="J20" s="81">
        <v>541</v>
      </c>
      <c r="K20" s="86">
        <v>786</v>
      </c>
      <c r="L20" s="81">
        <v>384</v>
      </c>
      <c r="M20" s="86">
        <v>399</v>
      </c>
      <c r="N20" s="81">
        <v>15438</v>
      </c>
      <c r="O20" s="86">
        <v>10324</v>
      </c>
      <c r="P20" s="89">
        <f t="shared" si="1"/>
        <v>391.5</v>
      </c>
      <c r="Q20" s="89">
        <f t="shared" si="2"/>
        <v>12881</v>
      </c>
      <c r="R20" s="96" t="s">
        <v>94</v>
      </c>
      <c r="S20" s="96" t="s">
        <v>95</v>
      </c>
      <c r="T20" s="96" t="s">
        <v>94</v>
      </c>
      <c r="U20" s="96" t="s">
        <v>96</v>
      </c>
      <c r="V20" s="96" t="s">
        <v>94</v>
      </c>
      <c r="W20" s="96" t="s">
        <v>97</v>
      </c>
      <c r="X20" s="96" t="s">
        <v>98</v>
      </c>
      <c r="Y20" s="96" t="s">
        <v>112</v>
      </c>
      <c r="Z20" s="96" t="s">
        <v>113</v>
      </c>
      <c r="AA20" s="96" t="s">
        <v>114</v>
      </c>
      <c r="AB20" s="96" t="s">
        <v>115</v>
      </c>
      <c r="AC20" s="96" t="s">
        <v>116</v>
      </c>
      <c r="AD20" s="96" t="s">
        <v>117</v>
      </c>
      <c r="AE20" s="96" t="s">
        <v>118</v>
      </c>
      <c r="AF20" s="96" t="s">
        <v>119</v>
      </c>
      <c r="AG20" s="96" t="s">
        <v>120</v>
      </c>
      <c r="AH20" s="96">
        <v>184</v>
      </c>
      <c r="AI20" s="96" t="s">
        <v>121</v>
      </c>
      <c r="AJ20" s="96" t="s">
        <v>122</v>
      </c>
      <c r="AK20" s="58" t="s">
        <v>110</v>
      </c>
    </row>
    <row r="21" s="58" customFormat="1" spans="1:37">
      <c r="A21" s="70">
        <v>16</v>
      </c>
      <c r="B21" s="70">
        <f t="shared" si="0"/>
        <v>0</v>
      </c>
      <c r="C21" s="71"/>
      <c r="D21" s="59" t="s">
        <v>92</v>
      </c>
      <c r="E21" s="60">
        <v>11113</v>
      </c>
      <c r="F21" s="10" t="s">
        <v>93</v>
      </c>
      <c r="G21" s="60">
        <v>608</v>
      </c>
      <c r="H21" s="81">
        <v>63</v>
      </c>
      <c r="I21" s="86">
        <v>70</v>
      </c>
      <c r="J21" s="81">
        <v>63</v>
      </c>
      <c r="K21" s="86">
        <v>70</v>
      </c>
      <c r="L21" s="81">
        <v>384</v>
      </c>
      <c r="M21" s="86">
        <v>398</v>
      </c>
      <c r="N21" s="81">
        <v>14791</v>
      </c>
      <c r="O21" s="86">
        <v>11410</v>
      </c>
      <c r="P21" s="89">
        <f t="shared" si="1"/>
        <v>391</v>
      </c>
      <c r="Q21" s="89">
        <f t="shared" si="2"/>
        <v>13100.5</v>
      </c>
      <c r="R21" s="96" t="s">
        <v>94</v>
      </c>
      <c r="S21" s="96" t="s">
        <v>95</v>
      </c>
      <c r="T21" s="96" t="s">
        <v>94</v>
      </c>
      <c r="U21" s="96" t="s">
        <v>96</v>
      </c>
      <c r="V21" s="96" t="s">
        <v>94</v>
      </c>
      <c r="W21" s="96" t="s">
        <v>97</v>
      </c>
      <c r="X21" s="96" t="s">
        <v>98</v>
      </c>
      <c r="Y21" s="96" t="s">
        <v>99</v>
      </c>
      <c r="Z21" s="96" t="s">
        <v>100</v>
      </c>
      <c r="AA21" s="96" t="s">
        <v>101</v>
      </c>
      <c r="AB21" s="96" t="s">
        <v>102</v>
      </c>
      <c r="AC21" s="96" t="s">
        <v>103</v>
      </c>
      <c r="AD21" s="96" t="s">
        <v>104</v>
      </c>
      <c r="AE21" s="96" t="s">
        <v>105</v>
      </c>
      <c r="AF21" s="96" t="s">
        <v>106</v>
      </c>
      <c r="AG21" s="96" t="s">
        <v>107</v>
      </c>
      <c r="AH21" s="96">
        <v>158</v>
      </c>
      <c r="AI21" s="96" t="s">
        <v>108</v>
      </c>
      <c r="AJ21" s="96" t="s">
        <v>109</v>
      </c>
      <c r="AK21" s="58" t="s">
        <v>110</v>
      </c>
    </row>
    <row r="22" s="58" customFormat="1" spans="1:37">
      <c r="A22" s="70">
        <v>17</v>
      </c>
      <c r="B22" s="70">
        <f t="shared" si="0"/>
        <v>0</v>
      </c>
      <c r="C22" s="71"/>
      <c r="D22" s="59" t="s">
        <v>92</v>
      </c>
      <c r="E22" s="60">
        <v>14845</v>
      </c>
      <c r="F22" s="10" t="s">
        <v>135</v>
      </c>
      <c r="G22" s="60">
        <v>601</v>
      </c>
      <c r="H22" s="81">
        <v>19</v>
      </c>
      <c r="I22" s="86" t="s">
        <v>110</v>
      </c>
      <c r="J22" s="81">
        <v>19</v>
      </c>
      <c r="K22" s="86" t="s">
        <v>110</v>
      </c>
      <c r="L22" s="81">
        <v>386</v>
      </c>
      <c r="M22" s="86" t="s">
        <v>110</v>
      </c>
      <c r="N22" s="81">
        <v>13137</v>
      </c>
      <c r="O22" s="86" t="s">
        <v>110</v>
      </c>
      <c r="P22" s="89">
        <f t="shared" si="1"/>
        <v>386</v>
      </c>
      <c r="Q22" s="89">
        <f t="shared" si="2"/>
        <v>13137</v>
      </c>
      <c r="R22" s="96" t="s">
        <v>94</v>
      </c>
      <c r="S22" s="96" t="s">
        <v>95</v>
      </c>
      <c r="T22" s="96" t="s">
        <v>94</v>
      </c>
      <c r="U22" s="96" t="s">
        <v>136</v>
      </c>
      <c r="V22" s="96" t="s">
        <v>94</v>
      </c>
      <c r="W22" s="96" t="s">
        <v>97</v>
      </c>
      <c r="X22" s="96" t="s">
        <v>98</v>
      </c>
      <c r="Y22" s="96" t="s">
        <v>110</v>
      </c>
      <c r="Z22" s="96" t="s">
        <v>110</v>
      </c>
      <c r="AA22" s="96" t="s">
        <v>137</v>
      </c>
      <c r="AB22" s="96" t="s">
        <v>110</v>
      </c>
      <c r="AC22" s="96" t="s">
        <v>138</v>
      </c>
      <c r="AD22" s="96" t="s">
        <v>139</v>
      </c>
      <c r="AE22" s="96" t="s">
        <v>140</v>
      </c>
      <c r="AF22" s="96" t="s">
        <v>141</v>
      </c>
      <c r="AG22" s="96" t="s">
        <v>110</v>
      </c>
      <c r="AH22" s="96">
        <v>2768</v>
      </c>
      <c r="AI22" s="96" t="s">
        <v>142</v>
      </c>
      <c r="AJ22" s="96" t="s">
        <v>143</v>
      </c>
      <c r="AK22" s="58" t="s">
        <v>110</v>
      </c>
    </row>
    <row r="23" s="58" customFormat="1" spans="1:37">
      <c r="A23" s="70">
        <v>18</v>
      </c>
      <c r="B23" s="70">
        <f t="shared" si="0"/>
        <v>0</v>
      </c>
      <c r="C23" s="71"/>
      <c r="D23" s="59" t="s">
        <v>92</v>
      </c>
      <c r="E23" s="60">
        <v>10833</v>
      </c>
      <c r="F23" s="10" t="s">
        <v>123</v>
      </c>
      <c r="G23" s="60">
        <v>605</v>
      </c>
      <c r="H23" s="81">
        <v>60</v>
      </c>
      <c r="I23" s="86">
        <v>290</v>
      </c>
      <c r="J23" s="81">
        <v>60</v>
      </c>
      <c r="K23" s="86">
        <v>290</v>
      </c>
      <c r="L23" s="81">
        <v>386</v>
      </c>
      <c r="M23" s="86">
        <v>396</v>
      </c>
      <c r="N23" s="81">
        <v>13260</v>
      </c>
      <c r="O23" s="86">
        <v>13816</v>
      </c>
      <c r="P23" s="89">
        <f t="shared" si="1"/>
        <v>391</v>
      </c>
      <c r="Q23" s="89">
        <f t="shared" si="2"/>
        <v>13538</v>
      </c>
      <c r="R23" s="96" t="s">
        <v>94</v>
      </c>
      <c r="S23" s="96" t="s">
        <v>124</v>
      </c>
      <c r="T23" s="96" t="s">
        <v>94</v>
      </c>
      <c r="U23" s="96" t="s">
        <v>96</v>
      </c>
      <c r="V23" s="96" t="s">
        <v>94</v>
      </c>
      <c r="W23" s="96" t="s">
        <v>97</v>
      </c>
      <c r="X23" s="96" t="s">
        <v>98</v>
      </c>
      <c r="Y23" s="96" t="s">
        <v>125</v>
      </c>
      <c r="Z23" s="96" t="s">
        <v>126</v>
      </c>
      <c r="AA23" s="96" t="s">
        <v>127</v>
      </c>
      <c r="AB23" s="96" t="s">
        <v>128</v>
      </c>
      <c r="AC23" s="96" t="s">
        <v>129</v>
      </c>
      <c r="AD23" s="96" t="s">
        <v>130</v>
      </c>
      <c r="AE23" s="96" t="s">
        <v>131</v>
      </c>
      <c r="AF23" s="96" t="s">
        <v>132</v>
      </c>
      <c r="AG23" s="96" t="s">
        <v>110</v>
      </c>
      <c r="AH23" s="96">
        <v>369</v>
      </c>
      <c r="AI23" s="96" t="s">
        <v>133</v>
      </c>
      <c r="AJ23" s="96" t="s">
        <v>134</v>
      </c>
      <c r="AK23" s="58" t="s">
        <v>110</v>
      </c>
    </row>
    <row r="24" s="58" customFormat="1" spans="1:37">
      <c r="A24" s="70">
        <v>19</v>
      </c>
      <c r="B24" s="70">
        <f t="shared" si="0"/>
        <v>0</v>
      </c>
      <c r="C24" s="71"/>
      <c r="D24" s="59" t="s">
        <v>92</v>
      </c>
      <c r="E24" s="60">
        <v>13810</v>
      </c>
      <c r="F24" s="10" t="s">
        <v>144</v>
      </c>
      <c r="G24" s="60">
        <v>602</v>
      </c>
      <c r="H24" s="81">
        <v>30</v>
      </c>
      <c r="I24" s="86" t="s">
        <v>110</v>
      </c>
      <c r="J24" s="81">
        <v>30</v>
      </c>
      <c r="K24" s="86" t="s">
        <v>110</v>
      </c>
      <c r="L24" s="81">
        <v>385</v>
      </c>
      <c r="M24" s="86" t="s">
        <v>110</v>
      </c>
      <c r="N24" s="81">
        <v>13849</v>
      </c>
      <c r="O24" s="86" t="s">
        <v>110</v>
      </c>
      <c r="P24" s="89">
        <f t="shared" si="1"/>
        <v>385</v>
      </c>
      <c r="Q24" s="89">
        <f t="shared" si="2"/>
        <v>13849</v>
      </c>
      <c r="R24" s="96" t="s">
        <v>94</v>
      </c>
      <c r="S24" s="96" t="s">
        <v>145</v>
      </c>
      <c r="T24" s="96" t="s">
        <v>94</v>
      </c>
      <c r="U24" s="96" t="s">
        <v>146</v>
      </c>
      <c r="V24" s="96" t="s">
        <v>94</v>
      </c>
      <c r="W24" s="96" t="s">
        <v>97</v>
      </c>
      <c r="X24" s="96" t="s">
        <v>147</v>
      </c>
      <c r="Y24" s="96" t="s">
        <v>110</v>
      </c>
      <c r="Z24" s="96" t="s">
        <v>148</v>
      </c>
      <c r="AA24" s="96" t="s">
        <v>149</v>
      </c>
      <c r="AB24" s="96" t="s">
        <v>110</v>
      </c>
      <c r="AC24" s="96" t="s">
        <v>150</v>
      </c>
      <c r="AD24" s="96" t="s">
        <v>151</v>
      </c>
      <c r="AE24" s="96" t="s">
        <v>152</v>
      </c>
      <c r="AF24" s="96" t="s">
        <v>153</v>
      </c>
      <c r="AG24" s="96" t="s">
        <v>110</v>
      </c>
      <c r="AH24" s="96">
        <v>662</v>
      </c>
      <c r="AI24" s="96" t="s">
        <v>154</v>
      </c>
      <c r="AJ24" s="96" t="s">
        <v>155</v>
      </c>
      <c r="AK24" s="58" t="s">
        <v>110</v>
      </c>
    </row>
    <row r="25" s="58" customFormat="1" spans="1:37">
      <c r="A25" s="70">
        <v>20</v>
      </c>
      <c r="B25" s="70">
        <f t="shared" si="0"/>
        <v>0</v>
      </c>
      <c r="C25" s="71"/>
      <c r="D25" s="59" t="s">
        <v>92</v>
      </c>
      <c r="E25" s="60">
        <v>12957</v>
      </c>
      <c r="F25" s="10" t="s">
        <v>111</v>
      </c>
      <c r="G25" s="60">
        <v>607</v>
      </c>
      <c r="H25" s="81">
        <v>86</v>
      </c>
      <c r="I25" s="86" t="s">
        <v>110</v>
      </c>
      <c r="J25" s="81">
        <v>86</v>
      </c>
      <c r="K25" s="86" t="s">
        <v>110</v>
      </c>
      <c r="L25" s="81">
        <v>385</v>
      </c>
      <c r="M25" s="86" t="s">
        <v>110</v>
      </c>
      <c r="N25" s="81">
        <v>14218</v>
      </c>
      <c r="O25" s="86" t="s">
        <v>110</v>
      </c>
      <c r="P25" s="89">
        <f t="shared" si="1"/>
        <v>385</v>
      </c>
      <c r="Q25" s="89">
        <f t="shared" si="2"/>
        <v>14218</v>
      </c>
      <c r="R25" s="96" t="s">
        <v>94</v>
      </c>
      <c r="S25" s="96" t="s">
        <v>95</v>
      </c>
      <c r="T25" s="96" t="s">
        <v>94</v>
      </c>
      <c r="U25" s="96" t="s">
        <v>96</v>
      </c>
      <c r="V25" s="96" t="s">
        <v>94</v>
      </c>
      <c r="W25" s="96" t="s">
        <v>97</v>
      </c>
      <c r="X25" s="96" t="s">
        <v>98</v>
      </c>
      <c r="Y25" s="96" t="s">
        <v>112</v>
      </c>
      <c r="Z25" s="96" t="s">
        <v>113</v>
      </c>
      <c r="AA25" s="96" t="s">
        <v>114</v>
      </c>
      <c r="AB25" s="96" t="s">
        <v>115</v>
      </c>
      <c r="AC25" s="96" t="s">
        <v>116</v>
      </c>
      <c r="AD25" s="96" t="s">
        <v>117</v>
      </c>
      <c r="AE25" s="96" t="s">
        <v>118</v>
      </c>
      <c r="AF25" s="96" t="s">
        <v>119</v>
      </c>
      <c r="AG25" s="96" t="s">
        <v>120</v>
      </c>
      <c r="AH25" s="96">
        <v>184</v>
      </c>
      <c r="AI25" s="96" t="s">
        <v>121</v>
      </c>
      <c r="AJ25" s="96" t="s">
        <v>122</v>
      </c>
      <c r="AK25" s="58" t="s">
        <v>110</v>
      </c>
    </row>
    <row r="26" s="58" customFormat="1" spans="1:37">
      <c r="A26" s="70">
        <v>21</v>
      </c>
      <c r="B26" s="70">
        <f t="shared" si="0"/>
        <v>0</v>
      </c>
      <c r="C26" s="71"/>
      <c r="D26" s="59" t="s">
        <v>92</v>
      </c>
      <c r="E26" s="60">
        <v>10833</v>
      </c>
      <c r="F26" s="10" t="s">
        <v>123</v>
      </c>
      <c r="G26" s="60">
        <v>604</v>
      </c>
      <c r="H26" s="81">
        <v>175</v>
      </c>
      <c r="I26" s="86">
        <v>120</v>
      </c>
      <c r="J26" s="81">
        <v>175</v>
      </c>
      <c r="K26" s="86">
        <v>120</v>
      </c>
      <c r="L26" s="81">
        <v>382</v>
      </c>
      <c r="M26" s="86">
        <v>397</v>
      </c>
      <c r="N26" s="81">
        <v>16982</v>
      </c>
      <c r="O26" s="86">
        <v>11595</v>
      </c>
      <c r="P26" s="89">
        <f t="shared" si="1"/>
        <v>389.5</v>
      </c>
      <c r="Q26" s="89">
        <f t="shared" si="2"/>
        <v>14288.5</v>
      </c>
      <c r="R26" s="96" t="s">
        <v>94</v>
      </c>
      <c r="S26" s="96" t="s">
        <v>124</v>
      </c>
      <c r="T26" s="96" t="s">
        <v>94</v>
      </c>
      <c r="U26" s="96" t="s">
        <v>96</v>
      </c>
      <c r="V26" s="96" t="s">
        <v>94</v>
      </c>
      <c r="W26" s="96" t="s">
        <v>97</v>
      </c>
      <c r="X26" s="96" t="s">
        <v>98</v>
      </c>
      <c r="Y26" s="96" t="s">
        <v>125</v>
      </c>
      <c r="Z26" s="96" t="s">
        <v>126</v>
      </c>
      <c r="AA26" s="96" t="s">
        <v>127</v>
      </c>
      <c r="AB26" s="96" t="s">
        <v>128</v>
      </c>
      <c r="AC26" s="96" t="s">
        <v>129</v>
      </c>
      <c r="AD26" s="96" t="s">
        <v>130</v>
      </c>
      <c r="AE26" s="96" t="s">
        <v>131</v>
      </c>
      <c r="AF26" s="96" t="s">
        <v>132</v>
      </c>
      <c r="AG26" s="96" t="s">
        <v>110</v>
      </c>
      <c r="AH26" s="96">
        <v>369</v>
      </c>
      <c r="AI26" s="96" t="s">
        <v>133</v>
      </c>
      <c r="AJ26" s="96" t="s">
        <v>134</v>
      </c>
      <c r="AK26" s="58" t="s">
        <v>110</v>
      </c>
    </row>
    <row r="27" s="58" customFormat="1" spans="1:37">
      <c r="A27" s="70">
        <v>22</v>
      </c>
      <c r="B27" s="70">
        <f t="shared" si="0"/>
        <v>0</v>
      </c>
      <c r="C27" s="71"/>
      <c r="D27" s="59" t="s">
        <v>92</v>
      </c>
      <c r="E27" s="60">
        <v>10833</v>
      </c>
      <c r="F27" s="10" t="s">
        <v>123</v>
      </c>
      <c r="G27" s="60">
        <v>610</v>
      </c>
      <c r="H27" s="81">
        <v>200</v>
      </c>
      <c r="I27" s="86">
        <v>60</v>
      </c>
      <c r="J27" s="81">
        <v>200</v>
      </c>
      <c r="K27" s="86">
        <v>60</v>
      </c>
      <c r="L27" s="81">
        <v>381</v>
      </c>
      <c r="M27" s="86">
        <v>398</v>
      </c>
      <c r="N27" s="81">
        <v>18320</v>
      </c>
      <c r="O27" s="86">
        <v>10849</v>
      </c>
      <c r="P27" s="89">
        <f t="shared" si="1"/>
        <v>389.5</v>
      </c>
      <c r="Q27" s="89">
        <f t="shared" si="2"/>
        <v>14584.5</v>
      </c>
      <c r="R27" s="96" t="s">
        <v>94</v>
      </c>
      <c r="S27" s="96" t="s">
        <v>124</v>
      </c>
      <c r="T27" s="96" t="s">
        <v>94</v>
      </c>
      <c r="U27" s="96" t="s">
        <v>96</v>
      </c>
      <c r="V27" s="96" t="s">
        <v>94</v>
      </c>
      <c r="W27" s="96" t="s">
        <v>97</v>
      </c>
      <c r="X27" s="96" t="s">
        <v>98</v>
      </c>
      <c r="Y27" s="96" t="s">
        <v>125</v>
      </c>
      <c r="Z27" s="96" t="s">
        <v>126</v>
      </c>
      <c r="AA27" s="96" t="s">
        <v>127</v>
      </c>
      <c r="AB27" s="96" t="s">
        <v>128</v>
      </c>
      <c r="AC27" s="96" t="s">
        <v>129</v>
      </c>
      <c r="AD27" s="96" t="s">
        <v>130</v>
      </c>
      <c r="AE27" s="96" t="s">
        <v>131</v>
      </c>
      <c r="AF27" s="96" t="s">
        <v>132</v>
      </c>
      <c r="AG27" s="96" t="s">
        <v>110</v>
      </c>
      <c r="AH27" s="96">
        <v>369</v>
      </c>
      <c r="AI27" s="96" t="s">
        <v>133</v>
      </c>
      <c r="AJ27" s="96" t="s">
        <v>134</v>
      </c>
      <c r="AK27" s="58" t="s">
        <v>110</v>
      </c>
    </row>
    <row r="28" s="58" customFormat="1" spans="1:37">
      <c r="A28" s="70">
        <v>23</v>
      </c>
      <c r="B28" s="70">
        <f t="shared" si="0"/>
        <v>0</v>
      </c>
      <c r="C28" s="71"/>
      <c r="D28" s="59" t="s">
        <v>92</v>
      </c>
      <c r="E28" s="60">
        <v>12046</v>
      </c>
      <c r="F28" s="10" t="s">
        <v>156</v>
      </c>
      <c r="G28" s="60">
        <v>603</v>
      </c>
      <c r="H28" s="81">
        <v>85</v>
      </c>
      <c r="I28" s="86" t="s">
        <v>110</v>
      </c>
      <c r="J28" s="81">
        <v>85</v>
      </c>
      <c r="K28" s="86" t="s">
        <v>110</v>
      </c>
      <c r="L28" s="81">
        <v>384</v>
      </c>
      <c r="M28" s="86" t="s">
        <v>110</v>
      </c>
      <c r="N28" s="81">
        <v>15543</v>
      </c>
      <c r="O28" s="86" t="s">
        <v>110</v>
      </c>
      <c r="P28" s="89">
        <f t="shared" si="1"/>
        <v>384</v>
      </c>
      <c r="Q28" s="89">
        <f t="shared" si="2"/>
        <v>15543</v>
      </c>
      <c r="R28" s="96" t="s">
        <v>94</v>
      </c>
      <c r="S28" s="96" t="s">
        <v>124</v>
      </c>
      <c r="T28" s="96" t="s">
        <v>94</v>
      </c>
      <c r="U28" s="96" t="s">
        <v>96</v>
      </c>
      <c r="V28" s="96" t="s">
        <v>94</v>
      </c>
      <c r="W28" s="96" t="s">
        <v>97</v>
      </c>
      <c r="X28" s="96" t="s">
        <v>98</v>
      </c>
      <c r="Y28" s="96" t="s">
        <v>157</v>
      </c>
      <c r="Z28" s="96" t="s">
        <v>126</v>
      </c>
      <c r="AA28" s="96" t="s">
        <v>158</v>
      </c>
      <c r="AB28" s="96" t="s">
        <v>159</v>
      </c>
      <c r="AC28" s="96" t="s">
        <v>160</v>
      </c>
      <c r="AD28" s="96" t="s">
        <v>161</v>
      </c>
      <c r="AE28" s="96" t="s">
        <v>162</v>
      </c>
      <c r="AF28" s="96" t="s">
        <v>163</v>
      </c>
      <c r="AG28" s="96" t="s">
        <v>164</v>
      </c>
      <c r="AH28" s="96">
        <v>426</v>
      </c>
      <c r="AI28" s="96" t="s">
        <v>165</v>
      </c>
      <c r="AJ28" s="96" t="s">
        <v>166</v>
      </c>
      <c r="AK28" s="58" t="s">
        <v>110</v>
      </c>
    </row>
    <row r="29" s="58" customFormat="1" spans="1:37">
      <c r="A29" s="70">
        <v>24</v>
      </c>
      <c r="B29" s="70">
        <f t="shared" si="0"/>
        <v>0</v>
      </c>
      <c r="C29" s="71"/>
      <c r="D29" s="59" t="s">
        <v>92</v>
      </c>
      <c r="E29" s="60">
        <v>14845</v>
      </c>
      <c r="F29" s="10" t="s">
        <v>135</v>
      </c>
      <c r="G29" s="60">
        <v>602</v>
      </c>
      <c r="H29" s="81">
        <v>19</v>
      </c>
      <c r="I29" s="86" t="s">
        <v>110</v>
      </c>
      <c r="J29" s="81">
        <v>19</v>
      </c>
      <c r="K29" s="86" t="s">
        <v>110</v>
      </c>
      <c r="L29" s="81">
        <v>384</v>
      </c>
      <c r="M29" s="86" t="s">
        <v>110</v>
      </c>
      <c r="N29" s="81">
        <v>15839</v>
      </c>
      <c r="O29" s="86" t="s">
        <v>110</v>
      </c>
      <c r="P29" s="89">
        <f t="shared" si="1"/>
        <v>384</v>
      </c>
      <c r="Q29" s="89">
        <f t="shared" si="2"/>
        <v>15839</v>
      </c>
      <c r="R29" s="96" t="s">
        <v>94</v>
      </c>
      <c r="S29" s="96" t="s">
        <v>95</v>
      </c>
      <c r="T29" s="96" t="s">
        <v>94</v>
      </c>
      <c r="U29" s="96" t="s">
        <v>136</v>
      </c>
      <c r="V29" s="96" t="s">
        <v>94</v>
      </c>
      <c r="W29" s="96" t="s">
        <v>97</v>
      </c>
      <c r="X29" s="96" t="s">
        <v>98</v>
      </c>
      <c r="Y29" s="96" t="s">
        <v>110</v>
      </c>
      <c r="Z29" s="96" t="s">
        <v>110</v>
      </c>
      <c r="AA29" s="96" t="s">
        <v>137</v>
      </c>
      <c r="AB29" s="96" t="s">
        <v>110</v>
      </c>
      <c r="AC29" s="96" t="s">
        <v>138</v>
      </c>
      <c r="AD29" s="96" t="s">
        <v>139</v>
      </c>
      <c r="AE29" s="96" t="s">
        <v>140</v>
      </c>
      <c r="AF29" s="96" t="s">
        <v>141</v>
      </c>
      <c r="AG29" s="96" t="s">
        <v>110</v>
      </c>
      <c r="AH29" s="96">
        <v>2768</v>
      </c>
      <c r="AI29" s="96" t="s">
        <v>142</v>
      </c>
      <c r="AJ29" s="96" t="s">
        <v>143</v>
      </c>
      <c r="AK29" s="58" t="s">
        <v>110</v>
      </c>
    </row>
    <row r="30" s="58" customFormat="1" spans="1:37">
      <c r="A30" s="70">
        <v>25</v>
      </c>
      <c r="B30" s="70">
        <f t="shared" si="0"/>
        <v>0</v>
      </c>
      <c r="C30" s="71"/>
      <c r="D30" s="59" t="s">
        <v>92</v>
      </c>
      <c r="E30" s="60">
        <v>10833</v>
      </c>
      <c r="F30" s="10" t="s">
        <v>123</v>
      </c>
      <c r="G30" s="60">
        <v>608</v>
      </c>
      <c r="H30" s="81">
        <v>235</v>
      </c>
      <c r="I30" s="86">
        <v>280</v>
      </c>
      <c r="J30" s="81">
        <v>235</v>
      </c>
      <c r="K30" s="86">
        <v>282</v>
      </c>
      <c r="L30" s="81">
        <v>383</v>
      </c>
      <c r="M30" s="86">
        <v>395</v>
      </c>
      <c r="N30" s="81">
        <v>16943</v>
      </c>
      <c r="O30" s="86">
        <v>15058</v>
      </c>
      <c r="P30" s="89">
        <f t="shared" si="1"/>
        <v>389</v>
      </c>
      <c r="Q30" s="89">
        <f t="shared" si="2"/>
        <v>16000.5</v>
      </c>
      <c r="R30" s="96" t="s">
        <v>94</v>
      </c>
      <c r="S30" s="96" t="s">
        <v>124</v>
      </c>
      <c r="T30" s="96" t="s">
        <v>94</v>
      </c>
      <c r="U30" s="96" t="s">
        <v>96</v>
      </c>
      <c r="V30" s="96" t="s">
        <v>94</v>
      </c>
      <c r="W30" s="96" t="s">
        <v>97</v>
      </c>
      <c r="X30" s="96" t="s">
        <v>98</v>
      </c>
      <c r="Y30" s="96" t="s">
        <v>125</v>
      </c>
      <c r="Z30" s="96" t="s">
        <v>126</v>
      </c>
      <c r="AA30" s="96" t="s">
        <v>127</v>
      </c>
      <c r="AB30" s="96" t="s">
        <v>128</v>
      </c>
      <c r="AC30" s="96" t="s">
        <v>129</v>
      </c>
      <c r="AD30" s="96" t="s">
        <v>130</v>
      </c>
      <c r="AE30" s="96" t="s">
        <v>131</v>
      </c>
      <c r="AF30" s="96" t="s">
        <v>132</v>
      </c>
      <c r="AG30" s="96" t="s">
        <v>110</v>
      </c>
      <c r="AH30" s="96">
        <v>369</v>
      </c>
      <c r="AI30" s="96" t="s">
        <v>133</v>
      </c>
      <c r="AJ30" s="96" t="s">
        <v>134</v>
      </c>
      <c r="AK30" s="58" t="s">
        <v>110</v>
      </c>
    </row>
    <row r="31" s="58" customFormat="1" spans="1:37">
      <c r="A31" s="70">
        <v>26</v>
      </c>
      <c r="B31" s="70">
        <f t="shared" si="0"/>
        <v>0</v>
      </c>
      <c r="C31" s="71"/>
      <c r="D31" s="59" t="s">
        <v>92</v>
      </c>
      <c r="E31" s="60">
        <v>10833</v>
      </c>
      <c r="F31" s="10" t="s">
        <v>123</v>
      </c>
      <c r="G31" s="60">
        <v>607</v>
      </c>
      <c r="H31" s="81">
        <v>120</v>
      </c>
      <c r="I31" s="86">
        <v>110</v>
      </c>
      <c r="J31" s="81">
        <v>120</v>
      </c>
      <c r="K31" s="86">
        <v>110</v>
      </c>
      <c r="L31" s="81">
        <v>384</v>
      </c>
      <c r="M31" s="86">
        <v>394</v>
      </c>
      <c r="N31" s="81">
        <v>15402</v>
      </c>
      <c r="O31" s="86">
        <v>16635</v>
      </c>
      <c r="P31" s="89">
        <f t="shared" si="1"/>
        <v>389</v>
      </c>
      <c r="Q31" s="89">
        <f t="shared" si="2"/>
        <v>16018.5</v>
      </c>
      <c r="R31" s="96" t="s">
        <v>94</v>
      </c>
      <c r="S31" s="96" t="s">
        <v>124</v>
      </c>
      <c r="T31" s="96" t="s">
        <v>94</v>
      </c>
      <c r="U31" s="96" t="s">
        <v>96</v>
      </c>
      <c r="V31" s="96" t="s">
        <v>94</v>
      </c>
      <c r="W31" s="96" t="s">
        <v>97</v>
      </c>
      <c r="X31" s="96" t="s">
        <v>98</v>
      </c>
      <c r="Y31" s="96" t="s">
        <v>125</v>
      </c>
      <c r="Z31" s="96" t="s">
        <v>126</v>
      </c>
      <c r="AA31" s="96" t="s">
        <v>127</v>
      </c>
      <c r="AB31" s="96" t="s">
        <v>128</v>
      </c>
      <c r="AC31" s="96" t="s">
        <v>129</v>
      </c>
      <c r="AD31" s="96" t="s">
        <v>130</v>
      </c>
      <c r="AE31" s="96" t="s">
        <v>131</v>
      </c>
      <c r="AF31" s="96" t="s">
        <v>132</v>
      </c>
      <c r="AG31" s="96" t="s">
        <v>110</v>
      </c>
      <c r="AH31" s="96">
        <v>369</v>
      </c>
      <c r="AI31" s="96" t="s">
        <v>133</v>
      </c>
      <c r="AJ31" s="96" t="s">
        <v>134</v>
      </c>
      <c r="AK31" s="58" t="s">
        <v>110</v>
      </c>
    </row>
    <row r="32" s="58" customFormat="1" spans="1:37">
      <c r="A32" s="70">
        <v>27</v>
      </c>
      <c r="B32" s="70">
        <f t="shared" si="0"/>
        <v>0</v>
      </c>
      <c r="C32" s="71"/>
      <c r="D32" s="59" t="s">
        <v>92</v>
      </c>
      <c r="E32" s="60">
        <v>10831</v>
      </c>
      <c r="F32" s="10" t="s">
        <v>167</v>
      </c>
      <c r="G32" s="60">
        <v>601</v>
      </c>
      <c r="H32" s="81">
        <v>191</v>
      </c>
      <c r="I32" s="86">
        <v>193</v>
      </c>
      <c r="J32" s="81">
        <v>191</v>
      </c>
      <c r="K32" s="86">
        <v>193</v>
      </c>
      <c r="L32" s="81">
        <v>382</v>
      </c>
      <c r="M32" s="86">
        <v>395</v>
      </c>
      <c r="N32" s="81">
        <v>17684</v>
      </c>
      <c r="O32" s="86">
        <v>15092</v>
      </c>
      <c r="P32" s="89">
        <f t="shared" si="1"/>
        <v>388.5</v>
      </c>
      <c r="Q32" s="89">
        <f t="shared" si="2"/>
        <v>16388</v>
      </c>
      <c r="R32" s="96" t="s">
        <v>94</v>
      </c>
      <c r="S32" s="96" t="s">
        <v>168</v>
      </c>
      <c r="T32" s="96" t="s">
        <v>94</v>
      </c>
      <c r="U32" s="96" t="s">
        <v>96</v>
      </c>
      <c r="V32" s="96" t="s">
        <v>94</v>
      </c>
      <c r="W32" s="96" t="s">
        <v>97</v>
      </c>
      <c r="X32" s="96" t="s">
        <v>169</v>
      </c>
      <c r="Y32" s="96" t="s">
        <v>112</v>
      </c>
      <c r="Z32" s="96" t="s">
        <v>113</v>
      </c>
      <c r="AA32" s="96" t="s">
        <v>170</v>
      </c>
      <c r="AB32" s="96" t="s">
        <v>171</v>
      </c>
      <c r="AC32" s="96" t="s">
        <v>172</v>
      </c>
      <c r="AD32" s="96" t="s">
        <v>173</v>
      </c>
      <c r="AE32" s="96" t="s">
        <v>174</v>
      </c>
      <c r="AF32" s="96" t="s">
        <v>175</v>
      </c>
      <c r="AG32" s="96" t="s">
        <v>176</v>
      </c>
      <c r="AH32" s="96">
        <v>372</v>
      </c>
      <c r="AI32" s="96" t="s">
        <v>177</v>
      </c>
      <c r="AJ32" s="96" t="s">
        <v>178</v>
      </c>
      <c r="AK32" s="58" t="s">
        <v>110</v>
      </c>
    </row>
    <row r="33" s="58" customFormat="1" spans="1:37">
      <c r="A33" s="70">
        <v>28</v>
      </c>
      <c r="B33" s="70">
        <f t="shared" si="0"/>
        <v>0</v>
      </c>
      <c r="C33" s="71"/>
      <c r="D33" s="59" t="s">
        <v>92</v>
      </c>
      <c r="E33" s="60">
        <v>10833</v>
      </c>
      <c r="F33" s="10" t="s">
        <v>123</v>
      </c>
      <c r="G33" s="60">
        <v>606</v>
      </c>
      <c r="H33" s="81">
        <v>55</v>
      </c>
      <c r="I33" s="86">
        <v>80</v>
      </c>
      <c r="J33" s="81">
        <v>55</v>
      </c>
      <c r="K33" s="86">
        <v>80</v>
      </c>
      <c r="L33" s="81">
        <v>381</v>
      </c>
      <c r="M33" s="86">
        <v>395</v>
      </c>
      <c r="N33" s="81">
        <v>18492</v>
      </c>
      <c r="O33" s="86">
        <v>14572</v>
      </c>
      <c r="P33" s="89">
        <f t="shared" si="1"/>
        <v>388</v>
      </c>
      <c r="Q33" s="89">
        <f t="shared" si="2"/>
        <v>16532</v>
      </c>
      <c r="R33" s="96" t="s">
        <v>94</v>
      </c>
      <c r="S33" s="96" t="s">
        <v>124</v>
      </c>
      <c r="T33" s="96" t="s">
        <v>94</v>
      </c>
      <c r="U33" s="96" t="s">
        <v>96</v>
      </c>
      <c r="V33" s="96" t="s">
        <v>94</v>
      </c>
      <c r="W33" s="96" t="s">
        <v>97</v>
      </c>
      <c r="X33" s="96" t="s">
        <v>98</v>
      </c>
      <c r="Y33" s="96" t="s">
        <v>125</v>
      </c>
      <c r="Z33" s="96" t="s">
        <v>126</v>
      </c>
      <c r="AA33" s="96" t="s">
        <v>127</v>
      </c>
      <c r="AB33" s="96" t="s">
        <v>128</v>
      </c>
      <c r="AC33" s="96" t="s">
        <v>129</v>
      </c>
      <c r="AD33" s="96" t="s">
        <v>130</v>
      </c>
      <c r="AE33" s="96" t="s">
        <v>131</v>
      </c>
      <c r="AF33" s="96" t="s">
        <v>132</v>
      </c>
      <c r="AG33" s="96" t="s">
        <v>110</v>
      </c>
      <c r="AH33" s="96">
        <v>369</v>
      </c>
      <c r="AI33" s="96" t="s">
        <v>133</v>
      </c>
      <c r="AJ33" s="96" t="s">
        <v>134</v>
      </c>
      <c r="AK33" s="58" t="s">
        <v>110</v>
      </c>
    </row>
    <row r="34" s="58" customFormat="1" spans="1:37">
      <c r="A34" s="70">
        <v>29</v>
      </c>
      <c r="B34" s="70">
        <f t="shared" si="0"/>
        <v>0</v>
      </c>
      <c r="C34" s="71"/>
      <c r="D34" s="59" t="s">
        <v>92</v>
      </c>
      <c r="E34" s="60">
        <v>14845</v>
      </c>
      <c r="F34" s="10" t="s">
        <v>135</v>
      </c>
      <c r="G34" s="60">
        <v>603</v>
      </c>
      <c r="H34" s="81">
        <v>19</v>
      </c>
      <c r="I34" s="86" t="s">
        <v>110</v>
      </c>
      <c r="J34" s="81">
        <v>19</v>
      </c>
      <c r="K34" s="86" t="s">
        <v>110</v>
      </c>
      <c r="L34" s="81">
        <v>383</v>
      </c>
      <c r="M34" s="86" t="s">
        <v>110</v>
      </c>
      <c r="N34" s="81">
        <v>16653</v>
      </c>
      <c r="O34" s="86" t="s">
        <v>110</v>
      </c>
      <c r="P34" s="89">
        <f t="shared" si="1"/>
        <v>383</v>
      </c>
      <c r="Q34" s="89">
        <f t="shared" si="2"/>
        <v>16653</v>
      </c>
      <c r="R34" s="96" t="s">
        <v>94</v>
      </c>
      <c r="S34" s="96" t="s">
        <v>95</v>
      </c>
      <c r="T34" s="96" t="s">
        <v>94</v>
      </c>
      <c r="U34" s="96" t="s">
        <v>136</v>
      </c>
      <c r="V34" s="96" t="s">
        <v>94</v>
      </c>
      <c r="W34" s="96" t="s">
        <v>97</v>
      </c>
      <c r="X34" s="96" t="s">
        <v>98</v>
      </c>
      <c r="Y34" s="96" t="s">
        <v>110</v>
      </c>
      <c r="Z34" s="96" t="s">
        <v>110</v>
      </c>
      <c r="AA34" s="96" t="s">
        <v>137</v>
      </c>
      <c r="AB34" s="96" t="s">
        <v>110</v>
      </c>
      <c r="AC34" s="96" t="s">
        <v>138</v>
      </c>
      <c r="AD34" s="96" t="s">
        <v>139</v>
      </c>
      <c r="AE34" s="96" t="s">
        <v>140</v>
      </c>
      <c r="AF34" s="96" t="s">
        <v>141</v>
      </c>
      <c r="AG34" s="96" t="s">
        <v>110</v>
      </c>
      <c r="AH34" s="96">
        <v>2768</v>
      </c>
      <c r="AI34" s="96" t="s">
        <v>142</v>
      </c>
      <c r="AJ34" s="96" t="s">
        <v>143</v>
      </c>
      <c r="AK34" s="58" t="s">
        <v>110</v>
      </c>
    </row>
    <row r="35" s="58" customFormat="1" spans="1:37">
      <c r="A35" s="70">
        <v>30</v>
      </c>
      <c r="B35" s="70">
        <f t="shared" si="0"/>
        <v>0</v>
      </c>
      <c r="C35" s="71"/>
      <c r="D35" s="59" t="s">
        <v>92</v>
      </c>
      <c r="E35" s="60">
        <v>12957</v>
      </c>
      <c r="F35" s="10" t="s">
        <v>111</v>
      </c>
      <c r="G35" s="60">
        <v>608</v>
      </c>
      <c r="H35" s="81">
        <v>13</v>
      </c>
      <c r="I35" s="86" t="s">
        <v>110</v>
      </c>
      <c r="J35" s="81">
        <v>13</v>
      </c>
      <c r="K35" s="86" t="s">
        <v>110</v>
      </c>
      <c r="L35" s="81">
        <v>383</v>
      </c>
      <c r="M35" s="86" t="s">
        <v>110</v>
      </c>
      <c r="N35" s="81">
        <v>16717</v>
      </c>
      <c r="O35" s="86" t="s">
        <v>110</v>
      </c>
      <c r="P35" s="89">
        <f t="shared" si="1"/>
        <v>383</v>
      </c>
      <c r="Q35" s="89">
        <f t="shared" si="2"/>
        <v>16717</v>
      </c>
      <c r="R35" s="96" t="s">
        <v>94</v>
      </c>
      <c r="S35" s="96" t="s">
        <v>95</v>
      </c>
      <c r="T35" s="96" t="s">
        <v>94</v>
      </c>
      <c r="U35" s="96" t="s">
        <v>96</v>
      </c>
      <c r="V35" s="96" t="s">
        <v>94</v>
      </c>
      <c r="W35" s="96" t="s">
        <v>97</v>
      </c>
      <c r="X35" s="96" t="s">
        <v>98</v>
      </c>
      <c r="Y35" s="96" t="s">
        <v>112</v>
      </c>
      <c r="Z35" s="96" t="s">
        <v>113</v>
      </c>
      <c r="AA35" s="96" t="s">
        <v>114</v>
      </c>
      <c r="AB35" s="96" t="s">
        <v>115</v>
      </c>
      <c r="AC35" s="96" t="s">
        <v>116</v>
      </c>
      <c r="AD35" s="96" t="s">
        <v>117</v>
      </c>
      <c r="AE35" s="96" t="s">
        <v>118</v>
      </c>
      <c r="AF35" s="96" t="s">
        <v>119</v>
      </c>
      <c r="AG35" s="96" t="s">
        <v>120</v>
      </c>
      <c r="AH35" s="96">
        <v>184</v>
      </c>
      <c r="AI35" s="96" t="s">
        <v>121</v>
      </c>
      <c r="AJ35" s="96" t="s">
        <v>122</v>
      </c>
      <c r="AK35" s="58" t="s">
        <v>110</v>
      </c>
    </row>
    <row r="36" s="58" customFormat="1" spans="1:37">
      <c r="A36" s="70">
        <v>31</v>
      </c>
      <c r="B36" s="70">
        <f t="shared" si="0"/>
        <v>0</v>
      </c>
      <c r="C36" s="71"/>
      <c r="D36" s="59" t="s">
        <v>92</v>
      </c>
      <c r="E36" s="60">
        <v>10831</v>
      </c>
      <c r="F36" s="10" t="s">
        <v>167</v>
      </c>
      <c r="G36" s="60">
        <v>603</v>
      </c>
      <c r="H36" s="81">
        <v>728</v>
      </c>
      <c r="I36" s="86">
        <v>742</v>
      </c>
      <c r="J36" s="81">
        <v>728</v>
      </c>
      <c r="K36" s="86">
        <v>742</v>
      </c>
      <c r="L36" s="81">
        <v>380</v>
      </c>
      <c r="M36" s="86">
        <v>395</v>
      </c>
      <c r="N36" s="81">
        <v>19355</v>
      </c>
      <c r="O36" s="86">
        <v>15110</v>
      </c>
      <c r="P36" s="89">
        <f t="shared" si="1"/>
        <v>387.5</v>
      </c>
      <c r="Q36" s="89">
        <f t="shared" si="2"/>
        <v>17232.5</v>
      </c>
      <c r="R36" s="96" t="s">
        <v>94</v>
      </c>
      <c r="S36" s="96" t="s">
        <v>168</v>
      </c>
      <c r="T36" s="96" t="s">
        <v>94</v>
      </c>
      <c r="U36" s="96" t="s">
        <v>96</v>
      </c>
      <c r="V36" s="96" t="s">
        <v>94</v>
      </c>
      <c r="W36" s="96" t="s">
        <v>97</v>
      </c>
      <c r="X36" s="96" t="s">
        <v>169</v>
      </c>
      <c r="Y36" s="96" t="s">
        <v>112</v>
      </c>
      <c r="Z36" s="96" t="s">
        <v>113</v>
      </c>
      <c r="AA36" s="96" t="s">
        <v>170</v>
      </c>
      <c r="AB36" s="96" t="s">
        <v>171</v>
      </c>
      <c r="AC36" s="96" t="s">
        <v>172</v>
      </c>
      <c r="AD36" s="96" t="s">
        <v>173</v>
      </c>
      <c r="AE36" s="96" t="s">
        <v>174</v>
      </c>
      <c r="AF36" s="96" t="s">
        <v>175</v>
      </c>
      <c r="AG36" s="96" t="s">
        <v>176</v>
      </c>
      <c r="AH36" s="96">
        <v>372</v>
      </c>
      <c r="AI36" s="96" t="s">
        <v>177</v>
      </c>
      <c r="AJ36" s="96" t="s">
        <v>178</v>
      </c>
      <c r="AK36" s="58" t="s">
        <v>110</v>
      </c>
    </row>
    <row r="37" s="58" customFormat="1" spans="1:37">
      <c r="A37" s="70">
        <v>32</v>
      </c>
      <c r="B37" s="70">
        <f t="shared" si="0"/>
        <v>0</v>
      </c>
      <c r="C37" s="71"/>
      <c r="D37" s="59" t="s">
        <v>92</v>
      </c>
      <c r="E37" s="60">
        <v>12046</v>
      </c>
      <c r="F37" s="10" t="s">
        <v>156</v>
      </c>
      <c r="G37" s="60">
        <v>607</v>
      </c>
      <c r="H37" s="81">
        <v>42</v>
      </c>
      <c r="I37" s="86">
        <v>20</v>
      </c>
      <c r="J37" s="81">
        <v>42</v>
      </c>
      <c r="K37" s="86">
        <v>20</v>
      </c>
      <c r="L37" s="81">
        <v>382</v>
      </c>
      <c r="M37" s="86">
        <v>392</v>
      </c>
      <c r="N37" s="81">
        <v>17547</v>
      </c>
      <c r="O37" s="86">
        <v>19495</v>
      </c>
      <c r="P37" s="89">
        <f t="shared" si="1"/>
        <v>387</v>
      </c>
      <c r="Q37" s="89">
        <f t="shared" si="2"/>
        <v>18521</v>
      </c>
      <c r="R37" s="96" t="s">
        <v>94</v>
      </c>
      <c r="S37" s="96" t="s">
        <v>124</v>
      </c>
      <c r="T37" s="96" t="s">
        <v>94</v>
      </c>
      <c r="U37" s="96" t="s">
        <v>96</v>
      </c>
      <c r="V37" s="96" t="s">
        <v>94</v>
      </c>
      <c r="W37" s="96" t="s">
        <v>97</v>
      </c>
      <c r="X37" s="96" t="s">
        <v>98</v>
      </c>
      <c r="Y37" s="96" t="s">
        <v>157</v>
      </c>
      <c r="Z37" s="96" t="s">
        <v>126</v>
      </c>
      <c r="AA37" s="96" t="s">
        <v>158</v>
      </c>
      <c r="AB37" s="96" t="s">
        <v>159</v>
      </c>
      <c r="AC37" s="96" t="s">
        <v>160</v>
      </c>
      <c r="AD37" s="96" t="s">
        <v>161</v>
      </c>
      <c r="AE37" s="96" t="s">
        <v>162</v>
      </c>
      <c r="AF37" s="96" t="s">
        <v>163</v>
      </c>
      <c r="AG37" s="96" t="s">
        <v>164</v>
      </c>
      <c r="AH37" s="96">
        <v>426</v>
      </c>
      <c r="AI37" s="96" t="s">
        <v>165</v>
      </c>
      <c r="AJ37" s="96" t="s">
        <v>166</v>
      </c>
      <c r="AK37" s="58" t="s">
        <v>110</v>
      </c>
    </row>
    <row r="38" s="58" customFormat="1" spans="1:37">
      <c r="A38" s="70">
        <v>33</v>
      </c>
      <c r="B38" s="70">
        <f t="shared" si="0"/>
        <v>0</v>
      </c>
      <c r="C38" s="71"/>
      <c r="D38" s="59" t="s">
        <v>92</v>
      </c>
      <c r="E38" s="60">
        <v>12040</v>
      </c>
      <c r="F38" s="10" t="s">
        <v>179</v>
      </c>
      <c r="G38" s="60">
        <v>602</v>
      </c>
      <c r="H38" s="81">
        <v>65</v>
      </c>
      <c r="I38" s="86">
        <v>40</v>
      </c>
      <c r="J38" s="81">
        <v>65</v>
      </c>
      <c r="K38" s="86">
        <v>40</v>
      </c>
      <c r="L38" s="81">
        <v>381</v>
      </c>
      <c r="M38" s="86">
        <v>392</v>
      </c>
      <c r="N38" s="81">
        <v>18771</v>
      </c>
      <c r="O38" s="86">
        <v>20123</v>
      </c>
      <c r="P38" s="89">
        <f t="shared" si="1"/>
        <v>386.5</v>
      </c>
      <c r="Q38" s="89">
        <f t="shared" si="2"/>
        <v>19447</v>
      </c>
      <c r="R38" s="96" t="s">
        <v>94</v>
      </c>
      <c r="S38" s="96" t="s">
        <v>124</v>
      </c>
      <c r="T38" s="96" t="s">
        <v>94</v>
      </c>
      <c r="U38" s="96" t="s">
        <v>136</v>
      </c>
      <c r="V38" s="96" t="s">
        <v>180</v>
      </c>
      <c r="W38" s="96" t="s">
        <v>97</v>
      </c>
      <c r="X38" s="96" t="s">
        <v>98</v>
      </c>
      <c r="Y38" s="96" t="s">
        <v>181</v>
      </c>
      <c r="Z38" s="96" t="s">
        <v>182</v>
      </c>
      <c r="AA38" s="96" t="s">
        <v>183</v>
      </c>
      <c r="AB38" s="96" t="s">
        <v>184</v>
      </c>
      <c r="AC38" s="96" t="s">
        <v>185</v>
      </c>
      <c r="AD38" s="96" t="s">
        <v>186</v>
      </c>
      <c r="AE38" s="96" t="s">
        <v>187</v>
      </c>
      <c r="AF38" s="96" t="s">
        <v>188</v>
      </c>
      <c r="AG38" s="96" t="s">
        <v>110</v>
      </c>
      <c r="AH38" s="96">
        <v>2377</v>
      </c>
      <c r="AI38" s="96" t="s">
        <v>189</v>
      </c>
      <c r="AJ38" s="96" t="s">
        <v>190</v>
      </c>
      <c r="AK38" s="58" t="s">
        <v>110</v>
      </c>
    </row>
    <row r="39" s="58" customFormat="1" spans="1:37">
      <c r="A39" s="70">
        <v>34</v>
      </c>
      <c r="B39" s="70">
        <f t="shared" si="0"/>
        <v>0</v>
      </c>
      <c r="C39" s="71"/>
      <c r="D39" s="59" t="s">
        <v>92</v>
      </c>
      <c r="E39" s="60">
        <v>12046</v>
      </c>
      <c r="F39" s="10" t="s">
        <v>156</v>
      </c>
      <c r="G39" s="60">
        <v>604</v>
      </c>
      <c r="H39" s="81">
        <v>133</v>
      </c>
      <c r="I39" s="86" t="s">
        <v>110</v>
      </c>
      <c r="J39" s="81">
        <v>133</v>
      </c>
      <c r="K39" s="86" t="s">
        <v>110</v>
      </c>
      <c r="L39" s="81">
        <v>380</v>
      </c>
      <c r="M39" s="86" t="s">
        <v>110</v>
      </c>
      <c r="N39" s="81">
        <v>19461</v>
      </c>
      <c r="O39" s="86" t="s">
        <v>110</v>
      </c>
      <c r="P39" s="89">
        <f t="shared" si="1"/>
        <v>380</v>
      </c>
      <c r="Q39" s="89">
        <f t="shared" si="2"/>
        <v>19461</v>
      </c>
      <c r="R39" s="96" t="s">
        <v>94</v>
      </c>
      <c r="S39" s="96" t="s">
        <v>124</v>
      </c>
      <c r="T39" s="96" t="s">
        <v>94</v>
      </c>
      <c r="U39" s="96" t="s">
        <v>96</v>
      </c>
      <c r="V39" s="96" t="s">
        <v>94</v>
      </c>
      <c r="W39" s="96" t="s">
        <v>97</v>
      </c>
      <c r="X39" s="96" t="s">
        <v>98</v>
      </c>
      <c r="Y39" s="96" t="s">
        <v>157</v>
      </c>
      <c r="Z39" s="96" t="s">
        <v>126</v>
      </c>
      <c r="AA39" s="96" t="s">
        <v>158</v>
      </c>
      <c r="AB39" s="96" t="s">
        <v>159</v>
      </c>
      <c r="AC39" s="96" t="s">
        <v>160</v>
      </c>
      <c r="AD39" s="96" t="s">
        <v>161</v>
      </c>
      <c r="AE39" s="96" t="s">
        <v>162</v>
      </c>
      <c r="AF39" s="96" t="s">
        <v>163</v>
      </c>
      <c r="AG39" s="96" t="s">
        <v>164</v>
      </c>
      <c r="AH39" s="96">
        <v>426</v>
      </c>
      <c r="AI39" s="96" t="s">
        <v>165</v>
      </c>
      <c r="AJ39" s="96" t="s">
        <v>166</v>
      </c>
      <c r="AK39" s="58" t="s">
        <v>110</v>
      </c>
    </row>
    <row r="40" s="58" customFormat="1" spans="1:37">
      <c r="A40" s="70">
        <v>35</v>
      </c>
      <c r="B40" s="70">
        <f t="shared" si="0"/>
        <v>0</v>
      </c>
      <c r="C40" s="71"/>
      <c r="D40" s="59" t="s">
        <v>92</v>
      </c>
      <c r="E40" s="60">
        <v>12046</v>
      </c>
      <c r="F40" s="10" t="s">
        <v>156</v>
      </c>
      <c r="G40" s="60">
        <v>605</v>
      </c>
      <c r="H40" s="81">
        <v>67</v>
      </c>
      <c r="I40" s="86" t="s">
        <v>110</v>
      </c>
      <c r="J40" s="81">
        <v>67</v>
      </c>
      <c r="K40" s="86" t="s">
        <v>110</v>
      </c>
      <c r="L40" s="81">
        <v>379</v>
      </c>
      <c r="M40" s="86" t="s">
        <v>110</v>
      </c>
      <c r="N40" s="81">
        <v>20725</v>
      </c>
      <c r="O40" s="86" t="s">
        <v>110</v>
      </c>
      <c r="P40" s="89">
        <f t="shared" si="1"/>
        <v>379</v>
      </c>
      <c r="Q40" s="89">
        <f t="shared" si="2"/>
        <v>20725</v>
      </c>
      <c r="R40" s="96" t="s">
        <v>94</v>
      </c>
      <c r="S40" s="96" t="s">
        <v>124</v>
      </c>
      <c r="T40" s="96" t="s">
        <v>94</v>
      </c>
      <c r="U40" s="96" t="s">
        <v>96</v>
      </c>
      <c r="V40" s="96" t="s">
        <v>94</v>
      </c>
      <c r="W40" s="96" t="s">
        <v>97</v>
      </c>
      <c r="X40" s="96" t="s">
        <v>98</v>
      </c>
      <c r="Y40" s="96" t="s">
        <v>157</v>
      </c>
      <c r="Z40" s="96" t="s">
        <v>126</v>
      </c>
      <c r="AA40" s="96" t="s">
        <v>158</v>
      </c>
      <c r="AB40" s="96" t="s">
        <v>159</v>
      </c>
      <c r="AC40" s="96" t="s">
        <v>160</v>
      </c>
      <c r="AD40" s="96" t="s">
        <v>161</v>
      </c>
      <c r="AE40" s="96" t="s">
        <v>162</v>
      </c>
      <c r="AF40" s="96" t="s">
        <v>163</v>
      </c>
      <c r="AG40" s="96" t="s">
        <v>164</v>
      </c>
      <c r="AH40" s="96">
        <v>426</v>
      </c>
      <c r="AI40" s="96" t="s">
        <v>165</v>
      </c>
      <c r="AJ40" s="96" t="s">
        <v>166</v>
      </c>
      <c r="AK40" s="58" t="s">
        <v>110</v>
      </c>
    </row>
    <row r="41" s="58" customFormat="1" spans="1:37">
      <c r="A41" s="70">
        <v>36</v>
      </c>
      <c r="B41" s="70">
        <f t="shared" si="0"/>
        <v>0</v>
      </c>
      <c r="C41" s="71"/>
      <c r="D41" s="59" t="s">
        <v>92</v>
      </c>
      <c r="E41" s="60">
        <v>10831</v>
      </c>
      <c r="F41" s="10" t="s">
        <v>167</v>
      </c>
      <c r="G41" s="60">
        <v>602</v>
      </c>
      <c r="H41" s="81">
        <v>8</v>
      </c>
      <c r="I41" s="86">
        <v>19</v>
      </c>
      <c r="J41" s="81">
        <v>8</v>
      </c>
      <c r="K41" s="86">
        <v>19</v>
      </c>
      <c r="L41" s="81">
        <v>380</v>
      </c>
      <c r="M41" s="86">
        <v>391</v>
      </c>
      <c r="N41" s="81">
        <v>20476</v>
      </c>
      <c r="O41" s="86">
        <v>21355</v>
      </c>
      <c r="P41" s="89">
        <f t="shared" si="1"/>
        <v>385.5</v>
      </c>
      <c r="Q41" s="89">
        <f t="shared" si="2"/>
        <v>20915.5</v>
      </c>
      <c r="R41" s="96" t="s">
        <v>94</v>
      </c>
      <c r="S41" s="96" t="s">
        <v>168</v>
      </c>
      <c r="T41" s="96" t="s">
        <v>94</v>
      </c>
      <c r="U41" s="96" t="s">
        <v>96</v>
      </c>
      <c r="V41" s="96" t="s">
        <v>94</v>
      </c>
      <c r="W41" s="96" t="s">
        <v>97</v>
      </c>
      <c r="X41" s="96" t="s">
        <v>169</v>
      </c>
      <c r="Y41" s="96" t="s">
        <v>112</v>
      </c>
      <c r="Z41" s="96" t="s">
        <v>113</v>
      </c>
      <c r="AA41" s="96" t="s">
        <v>170</v>
      </c>
      <c r="AB41" s="96" t="s">
        <v>171</v>
      </c>
      <c r="AC41" s="96" t="s">
        <v>172</v>
      </c>
      <c r="AD41" s="96" t="s">
        <v>173</v>
      </c>
      <c r="AE41" s="96" t="s">
        <v>174</v>
      </c>
      <c r="AF41" s="96" t="s">
        <v>175</v>
      </c>
      <c r="AG41" s="96" t="s">
        <v>176</v>
      </c>
      <c r="AH41" s="96">
        <v>372</v>
      </c>
      <c r="AI41" s="96" t="s">
        <v>177</v>
      </c>
      <c r="AJ41" s="96" t="s">
        <v>178</v>
      </c>
      <c r="AK41" s="58" t="s">
        <v>110</v>
      </c>
    </row>
    <row r="42" s="58" customFormat="1" spans="1:37">
      <c r="A42" s="70">
        <v>37</v>
      </c>
      <c r="B42" s="70">
        <f t="shared" si="0"/>
        <v>0</v>
      </c>
      <c r="C42" s="71"/>
      <c r="D42" s="59" t="s">
        <v>92</v>
      </c>
      <c r="E42" s="60">
        <v>13810</v>
      </c>
      <c r="F42" s="10" t="s">
        <v>144</v>
      </c>
      <c r="G42" s="60">
        <v>601</v>
      </c>
      <c r="H42" s="81">
        <v>80</v>
      </c>
      <c r="I42" s="86">
        <v>2100</v>
      </c>
      <c r="J42" s="81">
        <v>80</v>
      </c>
      <c r="K42" s="86">
        <v>2100</v>
      </c>
      <c r="L42" s="81">
        <v>382</v>
      </c>
      <c r="M42" s="86">
        <v>389</v>
      </c>
      <c r="N42" s="81">
        <v>17879</v>
      </c>
      <c r="O42" s="86">
        <v>24265</v>
      </c>
      <c r="P42" s="89">
        <f t="shared" si="1"/>
        <v>385.5</v>
      </c>
      <c r="Q42" s="89">
        <f t="shared" si="2"/>
        <v>21072</v>
      </c>
      <c r="R42" s="96" t="s">
        <v>94</v>
      </c>
      <c r="S42" s="96" t="s">
        <v>145</v>
      </c>
      <c r="T42" s="96" t="s">
        <v>94</v>
      </c>
      <c r="U42" s="96" t="s">
        <v>146</v>
      </c>
      <c r="V42" s="96" t="s">
        <v>94</v>
      </c>
      <c r="W42" s="96" t="s">
        <v>97</v>
      </c>
      <c r="X42" s="96" t="s">
        <v>147</v>
      </c>
      <c r="Y42" s="96" t="s">
        <v>110</v>
      </c>
      <c r="Z42" s="96" t="s">
        <v>148</v>
      </c>
      <c r="AA42" s="96" t="s">
        <v>149</v>
      </c>
      <c r="AB42" s="96" t="s">
        <v>110</v>
      </c>
      <c r="AC42" s="96" t="s">
        <v>150</v>
      </c>
      <c r="AD42" s="96" t="s">
        <v>151</v>
      </c>
      <c r="AE42" s="96" t="s">
        <v>152</v>
      </c>
      <c r="AF42" s="96" t="s">
        <v>153</v>
      </c>
      <c r="AG42" s="96" t="s">
        <v>110</v>
      </c>
      <c r="AH42" s="96">
        <v>662</v>
      </c>
      <c r="AI42" s="96" t="s">
        <v>154</v>
      </c>
      <c r="AJ42" s="96" t="s">
        <v>155</v>
      </c>
      <c r="AK42" s="58" t="s">
        <v>110</v>
      </c>
    </row>
    <row r="43" s="58" customFormat="1" spans="1:37">
      <c r="A43" s="70">
        <v>38</v>
      </c>
      <c r="B43" s="70">
        <f t="shared" si="0"/>
        <v>0</v>
      </c>
      <c r="C43" s="71"/>
      <c r="D43" s="59" t="s">
        <v>92</v>
      </c>
      <c r="E43" s="60">
        <v>13810</v>
      </c>
      <c r="F43" s="10" t="s">
        <v>144</v>
      </c>
      <c r="G43" s="60">
        <v>604</v>
      </c>
      <c r="H43" s="81">
        <v>360</v>
      </c>
      <c r="I43" s="86" t="s">
        <v>110</v>
      </c>
      <c r="J43" s="81">
        <v>360</v>
      </c>
      <c r="K43" s="86" t="s">
        <v>110</v>
      </c>
      <c r="L43" s="81">
        <v>376</v>
      </c>
      <c r="M43" s="86" t="s">
        <v>110</v>
      </c>
      <c r="N43" s="81">
        <v>24896</v>
      </c>
      <c r="O43" s="86" t="s">
        <v>110</v>
      </c>
      <c r="P43" s="89">
        <f t="shared" si="1"/>
        <v>376</v>
      </c>
      <c r="Q43" s="89">
        <f t="shared" si="2"/>
        <v>24896</v>
      </c>
      <c r="R43" s="96" t="s">
        <v>94</v>
      </c>
      <c r="S43" s="96" t="s">
        <v>145</v>
      </c>
      <c r="T43" s="96" t="s">
        <v>94</v>
      </c>
      <c r="U43" s="96" t="s">
        <v>146</v>
      </c>
      <c r="V43" s="96" t="s">
        <v>94</v>
      </c>
      <c r="W43" s="96" t="s">
        <v>97</v>
      </c>
      <c r="X43" s="96" t="s">
        <v>147</v>
      </c>
      <c r="Y43" s="96" t="s">
        <v>110</v>
      </c>
      <c r="Z43" s="96" t="s">
        <v>148</v>
      </c>
      <c r="AA43" s="96" t="s">
        <v>149</v>
      </c>
      <c r="AB43" s="96" t="s">
        <v>110</v>
      </c>
      <c r="AC43" s="96" t="s">
        <v>150</v>
      </c>
      <c r="AD43" s="96" t="s">
        <v>151</v>
      </c>
      <c r="AE43" s="96" t="s">
        <v>152</v>
      </c>
      <c r="AF43" s="96" t="s">
        <v>153</v>
      </c>
      <c r="AG43" s="96" t="s">
        <v>110</v>
      </c>
      <c r="AH43" s="96">
        <v>662</v>
      </c>
      <c r="AI43" s="96" t="s">
        <v>154</v>
      </c>
      <c r="AJ43" s="96" t="s">
        <v>155</v>
      </c>
      <c r="AK43" s="58" t="s">
        <v>110</v>
      </c>
    </row>
    <row r="44" s="58" customFormat="1" spans="1:37">
      <c r="A44" s="70">
        <v>39</v>
      </c>
      <c r="B44" s="70">
        <f t="shared" si="0"/>
        <v>0</v>
      </c>
      <c r="C44" s="71"/>
      <c r="D44" s="59" t="s">
        <v>92</v>
      </c>
      <c r="E44" s="60">
        <v>12040</v>
      </c>
      <c r="F44" s="10" t="s">
        <v>179</v>
      </c>
      <c r="G44" s="60">
        <v>605</v>
      </c>
      <c r="H44" s="81">
        <v>80</v>
      </c>
      <c r="I44" s="86">
        <v>120</v>
      </c>
      <c r="J44" s="81">
        <v>80</v>
      </c>
      <c r="K44" s="86">
        <v>120</v>
      </c>
      <c r="L44" s="81">
        <v>376</v>
      </c>
      <c r="M44" s="86">
        <v>387</v>
      </c>
      <c r="N44" s="81">
        <v>24754</v>
      </c>
      <c r="O44" s="86">
        <v>29178</v>
      </c>
      <c r="P44" s="89">
        <f t="shared" si="1"/>
        <v>381.5</v>
      </c>
      <c r="Q44" s="89">
        <f t="shared" si="2"/>
        <v>26966</v>
      </c>
      <c r="R44" s="96" t="s">
        <v>94</v>
      </c>
      <c r="S44" s="96" t="s">
        <v>124</v>
      </c>
      <c r="T44" s="96" t="s">
        <v>94</v>
      </c>
      <c r="U44" s="96" t="s">
        <v>136</v>
      </c>
      <c r="V44" s="96" t="s">
        <v>180</v>
      </c>
      <c r="W44" s="96" t="s">
        <v>97</v>
      </c>
      <c r="X44" s="96" t="s">
        <v>98</v>
      </c>
      <c r="Y44" s="96" t="s">
        <v>181</v>
      </c>
      <c r="Z44" s="96" t="s">
        <v>182</v>
      </c>
      <c r="AA44" s="96" t="s">
        <v>183</v>
      </c>
      <c r="AB44" s="96" t="s">
        <v>184</v>
      </c>
      <c r="AC44" s="96" t="s">
        <v>185</v>
      </c>
      <c r="AD44" s="96" t="s">
        <v>186</v>
      </c>
      <c r="AE44" s="96" t="s">
        <v>187</v>
      </c>
      <c r="AF44" s="96" t="s">
        <v>188</v>
      </c>
      <c r="AG44" s="96" t="s">
        <v>110</v>
      </c>
      <c r="AH44" s="96">
        <v>2377</v>
      </c>
      <c r="AI44" s="96" t="s">
        <v>189</v>
      </c>
      <c r="AJ44" s="96" t="s">
        <v>190</v>
      </c>
      <c r="AK44" s="58" t="s">
        <v>110</v>
      </c>
    </row>
    <row r="45" s="58" customFormat="1" spans="1:37">
      <c r="A45" s="70">
        <v>40</v>
      </c>
      <c r="B45" s="70">
        <f t="shared" si="0"/>
        <v>0</v>
      </c>
      <c r="C45" s="71"/>
      <c r="D45" s="59" t="s">
        <v>92</v>
      </c>
      <c r="E45" s="60">
        <v>12046</v>
      </c>
      <c r="F45" s="10" t="s">
        <v>156</v>
      </c>
      <c r="G45" s="60">
        <v>601</v>
      </c>
      <c r="H45" s="81">
        <v>360</v>
      </c>
      <c r="I45" s="86" t="s">
        <v>110</v>
      </c>
      <c r="J45" s="81">
        <v>360</v>
      </c>
      <c r="K45" s="86" t="s">
        <v>110</v>
      </c>
      <c r="L45" s="81">
        <v>375</v>
      </c>
      <c r="M45" s="86" t="s">
        <v>110</v>
      </c>
      <c r="N45" s="81">
        <v>27274</v>
      </c>
      <c r="O45" s="86" t="s">
        <v>110</v>
      </c>
      <c r="P45" s="89">
        <f t="shared" si="1"/>
        <v>375</v>
      </c>
      <c r="Q45" s="89">
        <f t="shared" si="2"/>
        <v>27274</v>
      </c>
      <c r="R45" s="96" t="s">
        <v>94</v>
      </c>
      <c r="S45" s="96" t="s">
        <v>124</v>
      </c>
      <c r="T45" s="96" t="s">
        <v>94</v>
      </c>
      <c r="U45" s="96" t="s">
        <v>96</v>
      </c>
      <c r="V45" s="96" t="s">
        <v>94</v>
      </c>
      <c r="W45" s="96" t="s">
        <v>97</v>
      </c>
      <c r="X45" s="96" t="s">
        <v>98</v>
      </c>
      <c r="Y45" s="96" t="s">
        <v>157</v>
      </c>
      <c r="Z45" s="96" t="s">
        <v>126</v>
      </c>
      <c r="AA45" s="96" t="s">
        <v>158</v>
      </c>
      <c r="AB45" s="96" t="s">
        <v>159</v>
      </c>
      <c r="AC45" s="96" t="s">
        <v>160</v>
      </c>
      <c r="AD45" s="96" t="s">
        <v>161</v>
      </c>
      <c r="AE45" s="96" t="s">
        <v>162</v>
      </c>
      <c r="AF45" s="96" t="s">
        <v>163</v>
      </c>
      <c r="AG45" s="96" t="s">
        <v>164</v>
      </c>
      <c r="AH45" s="96">
        <v>426</v>
      </c>
      <c r="AI45" s="96" t="s">
        <v>165</v>
      </c>
      <c r="AJ45" s="96" t="s">
        <v>166</v>
      </c>
      <c r="AK45" s="58" t="s">
        <v>110</v>
      </c>
    </row>
    <row r="46" s="58" customFormat="1" spans="1:37">
      <c r="A46" s="70">
        <v>41</v>
      </c>
      <c r="B46" s="70">
        <f t="shared" si="0"/>
        <v>0</v>
      </c>
      <c r="C46" s="71"/>
      <c r="D46" s="59" t="s">
        <v>92</v>
      </c>
      <c r="E46" s="60">
        <v>12046</v>
      </c>
      <c r="F46" s="10" t="s">
        <v>156</v>
      </c>
      <c r="G46" s="60">
        <v>606</v>
      </c>
      <c r="H46" s="81">
        <v>63</v>
      </c>
      <c r="I46" s="86" t="s">
        <v>110</v>
      </c>
      <c r="J46" s="81">
        <v>63</v>
      </c>
      <c r="K46" s="86" t="s">
        <v>110</v>
      </c>
      <c r="L46" s="81">
        <v>374</v>
      </c>
      <c r="M46" s="86" t="s">
        <v>110</v>
      </c>
      <c r="N46" s="81">
        <v>27603</v>
      </c>
      <c r="O46" s="86" t="s">
        <v>110</v>
      </c>
      <c r="P46" s="89">
        <f t="shared" si="1"/>
        <v>374</v>
      </c>
      <c r="Q46" s="89">
        <f t="shared" si="2"/>
        <v>27603</v>
      </c>
      <c r="R46" s="96" t="s">
        <v>94</v>
      </c>
      <c r="S46" s="96" t="s">
        <v>124</v>
      </c>
      <c r="T46" s="96" t="s">
        <v>94</v>
      </c>
      <c r="U46" s="96" t="s">
        <v>96</v>
      </c>
      <c r="V46" s="96" t="s">
        <v>94</v>
      </c>
      <c r="W46" s="96" t="s">
        <v>97</v>
      </c>
      <c r="X46" s="96" t="s">
        <v>98</v>
      </c>
      <c r="Y46" s="96" t="s">
        <v>157</v>
      </c>
      <c r="Z46" s="96" t="s">
        <v>126</v>
      </c>
      <c r="AA46" s="96" t="s">
        <v>158</v>
      </c>
      <c r="AB46" s="96" t="s">
        <v>159</v>
      </c>
      <c r="AC46" s="96" t="s">
        <v>160</v>
      </c>
      <c r="AD46" s="96" t="s">
        <v>161</v>
      </c>
      <c r="AE46" s="96" t="s">
        <v>162</v>
      </c>
      <c r="AF46" s="96" t="s">
        <v>163</v>
      </c>
      <c r="AG46" s="96" t="s">
        <v>164</v>
      </c>
      <c r="AH46" s="96">
        <v>426</v>
      </c>
      <c r="AI46" s="96" t="s">
        <v>165</v>
      </c>
      <c r="AJ46" s="96" t="s">
        <v>166</v>
      </c>
      <c r="AK46" s="58" t="s">
        <v>110</v>
      </c>
    </row>
    <row r="47" s="58" customFormat="1" spans="1:37">
      <c r="A47" s="70">
        <v>42</v>
      </c>
      <c r="B47" s="70">
        <f t="shared" si="0"/>
        <v>0</v>
      </c>
      <c r="C47" s="71"/>
      <c r="D47" s="59" t="s">
        <v>92</v>
      </c>
      <c r="E47" s="60">
        <v>12572</v>
      </c>
      <c r="F47" s="10" t="s">
        <v>191</v>
      </c>
      <c r="G47" s="60">
        <v>601</v>
      </c>
      <c r="H47" s="81">
        <v>285</v>
      </c>
      <c r="I47" s="86">
        <v>650</v>
      </c>
      <c r="J47" s="81">
        <v>285</v>
      </c>
      <c r="K47" s="86">
        <v>650</v>
      </c>
      <c r="L47" s="81">
        <v>374</v>
      </c>
      <c r="M47" s="86">
        <v>387</v>
      </c>
      <c r="N47" s="81">
        <v>27489</v>
      </c>
      <c r="O47" s="86">
        <v>28148</v>
      </c>
      <c r="P47" s="89">
        <f t="shared" si="1"/>
        <v>380.5</v>
      </c>
      <c r="Q47" s="89">
        <f t="shared" si="2"/>
        <v>27818.5</v>
      </c>
      <c r="R47" s="96" t="s">
        <v>94</v>
      </c>
      <c r="S47" s="96" t="s">
        <v>124</v>
      </c>
      <c r="T47" s="96" t="s">
        <v>94</v>
      </c>
      <c r="U47" s="96" t="s">
        <v>136</v>
      </c>
      <c r="V47" s="96" t="s">
        <v>94</v>
      </c>
      <c r="W47" s="96" t="s">
        <v>97</v>
      </c>
      <c r="X47" s="96" t="s">
        <v>98</v>
      </c>
      <c r="Y47" s="96" t="s">
        <v>192</v>
      </c>
      <c r="Z47" s="96" t="s">
        <v>193</v>
      </c>
      <c r="AA47" s="96" t="s">
        <v>194</v>
      </c>
      <c r="AB47" s="96" t="s">
        <v>195</v>
      </c>
      <c r="AC47" s="96" t="s">
        <v>196</v>
      </c>
      <c r="AD47" s="96" t="s">
        <v>197</v>
      </c>
      <c r="AE47" s="96" t="s">
        <v>198</v>
      </c>
      <c r="AF47" s="96" t="s">
        <v>199</v>
      </c>
      <c r="AG47" s="96" t="s">
        <v>200</v>
      </c>
      <c r="AH47" s="96">
        <v>1329</v>
      </c>
      <c r="AI47" s="96" t="s">
        <v>201</v>
      </c>
      <c r="AJ47" s="96" t="s">
        <v>202</v>
      </c>
      <c r="AK47" s="58" t="s">
        <v>110</v>
      </c>
    </row>
    <row r="48" s="58" customFormat="1" spans="1:37">
      <c r="A48" s="70">
        <v>43</v>
      </c>
      <c r="B48" s="70">
        <f t="shared" si="0"/>
        <v>0</v>
      </c>
      <c r="C48" s="71"/>
      <c r="D48" s="59" t="s">
        <v>92</v>
      </c>
      <c r="E48" s="60">
        <v>12572</v>
      </c>
      <c r="F48" s="10" t="s">
        <v>191</v>
      </c>
      <c r="G48" s="60">
        <v>603</v>
      </c>
      <c r="H48" s="81">
        <v>200</v>
      </c>
      <c r="I48" s="86">
        <v>460</v>
      </c>
      <c r="J48" s="81">
        <v>200</v>
      </c>
      <c r="K48" s="86">
        <v>460</v>
      </c>
      <c r="L48" s="81">
        <v>372</v>
      </c>
      <c r="M48" s="86">
        <v>389</v>
      </c>
      <c r="N48" s="81">
        <v>30794</v>
      </c>
      <c r="O48" s="86">
        <v>25840</v>
      </c>
      <c r="P48" s="89">
        <f t="shared" si="1"/>
        <v>380.5</v>
      </c>
      <c r="Q48" s="89">
        <f t="shared" si="2"/>
        <v>28317</v>
      </c>
      <c r="R48" s="96" t="s">
        <v>94</v>
      </c>
      <c r="S48" s="96" t="s">
        <v>124</v>
      </c>
      <c r="T48" s="96" t="s">
        <v>94</v>
      </c>
      <c r="U48" s="96" t="s">
        <v>136</v>
      </c>
      <c r="V48" s="96" t="s">
        <v>94</v>
      </c>
      <c r="W48" s="96" t="s">
        <v>97</v>
      </c>
      <c r="X48" s="96" t="s">
        <v>98</v>
      </c>
      <c r="Y48" s="96" t="s">
        <v>192</v>
      </c>
      <c r="Z48" s="96" t="s">
        <v>193</v>
      </c>
      <c r="AA48" s="96" t="s">
        <v>194</v>
      </c>
      <c r="AB48" s="96" t="s">
        <v>195</v>
      </c>
      <c r="AC48" s="96" t="s">
        <v>196</v>
      </c>
      <c r="AD48" s="96" t="s">
        <v>197</v>
      </c>
      <c r="AE48" s="96" t="s">
        <v>198</v>
      </c>
      <c r="AF48" s="96" t="s">
        <v>199</v>
      </c>
      <c r="AG48" s="96" t="s">
        <v>200</v>
      </c>
      <c r="AH48" s="96">
        <v>1329</v>
      </c>
      <c r="AI48" s="96" t="s">
        <v>201</v>
      </c>
      <c r="AJ48" s="96" t="s">
        <v>202</v>
      </c>
      <c r="AK48" s="58" t="s">
        <v>110</v>
      </c>
    </row>
    <row r="49" s="58" customFormat="1" spans="1:37">
      <c r="A49" s="70">
        <v>44</v>
      </c>
      <c r="B49" s="70">
        <f t="shared" si="0"/>
        <v>0</v>
      </c>
      <c r="C49" s="71"/>
      <c r="D49" s="59" t="s">
        <v>92</v>
      </c>
      <c r="E49" s="60">
        <v>12040</v>
      </c>
      <c r="F49" s="10" t="s">
        <v>179</v>
      </c>
      <c r="G49" s="60">
        <v>604</v>
      </c>
      <c r="H49" s="81">
        <v>210</v>
      </c>
      <c r="I49" s="86">
        <v>240</v>
      </c>
      <c r="J49" s="81">
        <v>210</v>
      </c>
      <c r="K49" s="86">
        <v>240</v>
      </c>
      <c r="L49" s="81">
        <v>374</v>
      </c>
      <c r="M49" s="86">
        <v>387</v>
      </c>
      <c r="N49" s="81">
        <v>27902</v>
      </c>
      <c r="O49" s="86">
        <v>29114</v>
      </c>
      <c r="P49" s="89">
        <f t="shared" si="1"/>
        <v>380.5</v>
      </c>
      <c r="Q49" s="89">
        <f t="shared" si="2"/>
        <v>28508</v>
      </c>
      <c r="R49" s="96" t="s">
        <v>94</v>
      </c>
      <c r="S49" s="96" t="s">
        <v>124</v>
      </c>
      <c r="T49" s="96" t="s">
        <v>94</v>
      </c>
      <c r="U49" s="96" t="s">
        <v>136</v>
      </c>
      <c r="V49" s="96" t="s">
        <v>180</v>
      </c>
      <c r="W49" s="96" t="s">
        <v>97</v>
      </c>
      <c r="X49" s="96" t="s">
        <v>98</v>
      </c>
      <c r="Y49" s="96" t="s">
        <v>181</v>
      </c>
      <c r="Z49" s="96" t="s">
        <v>182</v>
      </c>
      <c r="AA49" s="96" t="s">
        <v>183</v>
      </c>
      <c r="AB49" s="96" t="s">
        <v>184</v>
      </c>
      <c r="AC49" s="96" t="s">
        <v>185</v>
      </c>
      <c r="AD49" s="96" t="s">
        <v>186</v>
      </c>
      <c r="AE49" s="96" t="s">
        <v>187</v>
      </c>
      <c r="AF49" s="96" t="s">
        <v>188</v>
      </c>
      <c r="AG49" s="96" t="s">
        <v>110</v>
      </c>
      <c r="AH49" s="96">
        <v>2377</v>
      </c>
      <c r="AI49" s="96" t="s">
        <v>189</v>
      </c>
      <c r="AJ49" s="96" t="s">
        <v>190</v>
      </c>
      <c r="AK49" s="58" t="s">
        <v>110</v>
      </c>
    </row>
    <row r="50" s="58" customFormat="1" spans="1:37">
      <c r="A50" s="70">
        <v>45</v>
      </c>
      <c r="B50" s="70">
        <f t="shared" si="0"/>
        <v>0</v>
      </c>
      <c r="C50" s="71"/>
      <c r="D50" s="59" t="s">
        <v>92</v>
      </c>
      <c r="E50" s="60">
        <v>12327</v>
      </c>
      <c r="F50" s="10" t="s">
        <v>203</v>
      </c>
      <c r="G50" s="60">
        <v>605</v>
      </c>
      <c r="H50" s="81">
        <v>130</v>
      </c>
      <c r="I50" s="86">
        <v>145</v>
      </c>
      <c r="J50" s="81">
        <v>130</v>
      </c>
      <c r="K50" s="86">
        <v>145</v>
      </c>
      <c r="L50" s="81">
        <v>372</v>
      </c>
      <c r="M50" s="86">
        <v>388</v>
      </c>
      <c r="N50" s="81">
        <v>31071</v>
      </c>
      <c r="O50" s="86">
        <v>27522</v>
      </c>
      <c r="P50" s="89">
        <f t="shared" si="1"/>
        <v>380</v>
      </c>
      <c r="Q50" s="89">
        <f t="shared" si="2"/>
        <v>29296.5</v>
      </c>
      <c r="R50" s="96" t="s">
        <v>94</v>
      </c>
      <c r="S50" s="96" t="s">
        <v>168</v>
      </c>
      <c r="T50" s="96" t="s">
        <v>94</v>
      </c>
      <c r="U50" s="96" t="s">
        <v>136</v>
      </c>
      <c r="V50" s="96" t="s">
        <v>94</v>
      </c>
      <c r="W50" s="96" t="s">
        <v>97</v>
      </c>
      <c r="X50" s="96" t="s">
        <v>169</v>
      </c>
      <c r="Y50" s="96" t="s">
        <v>110</v>
      </c>
      <c r="Z50" s="96" t="s">
        <v>148</v>
      </c>
      <c r="AA50" s="96" t="s">
        <v>204</v>
      </c>
      <c r="AB50" s="96" t="s">
        <v>205</v>
      </c>
      <c r="AC50" s="96" t="s">
        <v>206</v>
      </c>
      <c r="AD50" s="96" t="s">
        <v>207</v>
      </c>
      <c r="AE50" s="96" t="s">
        <v>208</v>
      </c>
      <c r="AF50" s="96" t="s">
        <v>209</v>
      </c>
      <c r="AG50" s="96" t="s">
        <v>110</v>
      </c>
      <c r="AH50" s="96">
        <v>2329</v>
      </c>
      <c r="AI50" s="96" t="s">
        <v>210</v>
      </c>
      <c r="AJ50" s="96" t="s">
        <v>211</v>
      </c>
      <c r="AK50" s="58" t="s">
        <v>110</v>
      </c>
    </row>
    <row r="51" s="58" customFormat="1" spans="1:37">
      <c r="A51" s="70">
        <v>46</v>
      </c>
      <c r="B51" s="70">
        <f t="shared" si="0"/>
        <v>0</v>
      </c>
      <c r="C51" s="71"/>
      <c r="D51" s="59" t="s">
        <v>92</v>
      </c>
      <c r="E51" s="60">
        <v>12327</v>
      </c>
      <c r="F51" s="10" t="s">
        <v>203</v>
      </c>
      <c r="G51" s="60">
        <v>602</v>
      </c>
      <c r="H51" s="81">
        <v>325</v>
      </c>
      <c r="I51" s="86">
        <v>360</v>
      </c>
      <c r="J51" s="81">
        <v>325</v>
      </c>
      <c r="K51" s="86">
        <v>360</v>
      </c>
      <c r="L51" s="81">
        <v>372</v>
      </c>
      <c r="M51" s="86">
        <v>387</v>
      </c>
      <c r="N51" s="81">
        <v>30826</v>
      </c>
      <c r="O51" s="86">
        <v>27945</v>
      </c>
      <c r="P51" s="89">
        <f t="shared" si="1"/>
        <v>379.5</v>
      </c>
      <c r="Q51" s="89">
        <f t="shared" si="2"/>
        <v>29385.5</v>
      </c>
      <c r="R51" s="96" t="s">
        <v>94</v>
      </c>
      <c r="S51" s="96" t="s">
        <v>168</v>
      </c>
      <c r="T51" s="96" t="s">
        <v>94</v>
      </c>
      <c r="U51" s="96" t="s">
        <v>136</v>
      </c>
      <c r="V51" s="96" t="s">
        <v>94</v>
      </c>
      <c r="W51" s="96" t="s">
        <v>97</v>
      </c>
      <c r="X51" s="96" t="s">
        <v>169</v>
      </c>
      <c r="Y51" s="96" t="s">
        <v>110</v>
      </c>
      <c r="Z51" s="96" t="s">
        <v>148</v>
      </c>
      <c r="AA51" s="96" t="s">
        <v>204</v>
      </c>
      <c r="AB51" s="96" t="s">
        <v>205</v>
      </c>
      <c r="AC51" s="96" t="s">
        <v>206</v>
      </c>
      <c r="AD51" s="96" t="s">
        <v>207</v>
      </c>
      <c r="AE51" s="96" t="s">
        <v>208</v>
      </c>
      <c r="AF51" s="96" t="s">
        <v>209</v>
      </c>
      <c r="AG51" s="96" t="s">
        <v>110</v>
      </c>
      <c r="AH51" s="96">
        <v>2329</v>
      </c>
      <c r="AI51" s="96" t="s">
        <v>210</v>
      </c>
      <c r="AJ51" s="96" t="s">
        <v>211</v>
      </c>
      <c r="AK51" s="58" t="s">
        <v>110</v>
      </c>
    </row>
    <row r="52" s="58" customFormat="1" spans="1:37">
      <c r="A52" s="70">
        <v>47</v>
      </c>
      <c r="B52" s="70">
        <f t="shared" si="0"/>
        <v>0</v>
      </c>
      <c r="C52" s="71"/>
      <c r="D52" s="59" t="s">
        <v>92</v>
      </c>
      <c r="E52" s="60">
        <v>12327</v>
      </c>
      <c r="F52" s="10" t="s">
        <v>203</v>
      </c>
      <c r="G52" s="60">
        <v>601</v>
      </c>
      <c r="H52" s="81">
        <v>187</v>
      </c>
      <c r="I52" s="86">
        <v>350</v>
      </c>
      <c r="J52" s="81">
        <v>189</v>
      </c>
      <c r="K52" s="86">
        <v>350</v>
      </c>
      <c r="L52" s="81">
        <v>373</v>
      </c>
      <c r="M52" s="86">
        <v>386</v>
      </c>
      <c r="N52" s="81">
        <v>29366</v>
      </c>
      <c r="O52" s="86">
        <v>30274</v>
      </c>
      <c r="P52" s="89">
        <f t="shared" si="1"/>
        <v>379.5</v>
      </c>
      <c r="Q52" s="89">
        <f t="shared" si="2"/>
        <v>29820</v>
      </c>
      <c r="R52" s="96" t="s">
        <v>94</v>
      </c>
      <c r="S52" s="96" t="s">
        <v>168</v>
      </c>
      <c r="T52" s="96" t="s">
        <v>94</v>
      </c>
      <c r="U52" s="96" t="s">
        <v>136</v>
      </c>
      <c r="V52" s="96" t="s">
        <v>94</v>
      </c>
      <c r="W52" s="96" t="s">
        <v>97</v>
      </c>
      <c r="X52" s="96" t="s">
        <v>169</v>
      </c>
      <c r="Y52" s="96" t="s">
        <v>110</v>
      </c>
      <c r="Z52" s="96" t="s">
        <v>148</v>
      </c>
      <c r="AA52" s="96" t="s">
        <v>204</v>
      </c>
      <c r="AB52" s="96" t="s">
        <v>205</v>
      </c>
      <c r="AC52" s="96" t="s">
        <v>206</v>
      </c>
      <c r="AD52" s="96" t="s">
        <v>207</v>
      </c>
      <c r="AE52" s="96" t="s">
        <v>208</v>
      </c>
      <c r="AF52" s="96" t="s">
        <v>209</v>
      </c>
      <c r="AG52" s="96" t="s">
        <v>110</v>
      </c>
      <c r="AH52" s="96">
        <v>2329</v>
      </c>
      <c r="AI52" s="96" t="s">
        <v>210</v>
      </c>
      <c r="AJ52" s="96" t="s">
        <v>211</v>
      </c>
      <c r="AK52" s="58" t="s">
        <v>110</v>
      </c>
    </row>
    <row r="53" s="58" customFormat="1" spans="1:37">
      <c r="A53" s="70">
        <v>48</v>
      </c>
      <c r="B53" s="70">
        <f t="shared" si="0"/>
        <v>0</v>
      </c>
      <c r="C53" s="71"/>
      <c r="D53" s="59" t="s">
        <v>92</v>
      </c>
      <c r="E53" s="60">
        <v>13943</v>
      </c>
      <c r="F53" s="10" t="s">
        <v>212</v>
      </c>
      <c r="G53" s="60">
        <v>602</v>
      </c>
      <c r="H53" s="81">
        <v>223</v>
      </c>
      <c r="I53" s="86">
        <v>226</v>
      </c>
      <c r="J53" s="81">
        <v>223</v>
      </c>
      <c r="K53" s="86">
        <v>226</v>
      </c>
      <c r="L53" s="81">
        <v>372</v>
      </c>
      <c r="M53" s="86">
        <v>384</v>
      </c>
      <c r="N53" s="81">
        <v>30792</v>
      </c>
      <c r="O53" s="86">
        <v>34063</v>
      </c>
      <c r="P53" s="89">
        <f t="shared" si="1"/>
        <v>378</v>
      </c>
      <c r="Q53" s="89">
        <f t="shared" si="2"/>
        <v>32427.5</v>
      </c>
      <c r="R53" s="96" t="s">
        <v>94</v>
      </c>
      <c r="S53" s="96" t="s">
        <v>124</v>
      </c>
      <c r="T53" s="96" t="s">
        <v>94</v>
      </c>
      <c r="U53" s="96" t="s">
        <v>136</v>
      </c>
      <c r="V53" s="96" t="s">
        <v>94</v>
      </c>
      <c r="W53" s="96" t="s">
        <v>97</v>
      </c>
      <c r="X53" s="96" t="s">
        <v>98</v>
      </c>
      <c r="Y53" s="96" t="s">
        <v>213</v>
      </c>
      <c r="Z53" s="96" t="s">
        <v>193</v>
      </c>
      <c r="AA53" s="96" t="s">
        <v>214</v>
      </c>
      <c r="AB53" s="96" t="s">
        <v>215</v>
      </c>
      <c r="AC53" s="96" t="s">
        <v>216</v>
      </c>
      <c r="AD53" s="96" t="s">
        <v>217</v>
      </c>
      <c r="AE53" s="96" t="s">
        <v>218</v>
      </c>
      <c r="AF53" s="96" t="s">
        <v>219</v>
      </c>
      <c r="AG53" s="96" t="s">
        <v>220</v>
      </c>
      <c r="AH53" s="96">
        <v>1770</v>
      </c>
      <c r="AI53" s="96" t="s">
        <v>221</v>
      </c>
      <c r="AJ53" s="96" t="s">
        <v>222</v>
      </c>
      <c r="AK53" s="58" t="s">
        <v>110</v>
      </c>
    </row>
    <row r="54" s="58" customFormat="1" spans="1:37">
      <c r="A54" s="70">
        <v>49</v>
      </c>
      <c r="B54" s="70">
        <f t="shared" si="0"/>
        <v>0</v>
      </c>
      <c r="C54" s="71"/>
      <c r="D54" s="59" t="s">
        <v>92</v>
      </c>
      <c r="E54" s="60">
        <v>12572</v>
      </c>
      <c r="F54" s="10" t="s">
        <v>191</v>
      </c>
      <c r="G54" s="60">
        <v>607</v>
      </c>
      <c r="H54" s="81">
        <v>70</v>
      </c>
      <c r="I54" s="86">
        <v>295</v>
      </c>
      <c r="J54" s="81">
        <v>70</v>
      </c>
      <c r="K54" s="86">
        <v>295</v>
      </c>
      <c r="L54" s="81">
        <v>372</v>
      </c>
      <c r="M54" s="86">
        <v>384</v>
      </c>
      <c r="N54" s="81">
        <v>31179</v>
      </c>
      <c r="O54" s="86">
        <v>34388</v>
      </c>
      <c r="P54" s="89">
        <f t="shared" si="1"/>
        <v>378</v>
      </c>
      <c r="Q54" s="89">
        <f t="shared" si="2"/>
        <v>32783.5</v>
      </c>
      <c r="R54" s="96" t="s">
        <v>94</v>
      </c>
      <c r="S54" s="96" t="s">
        <v>124</v>
      </c>
      <c r="T54" s="96" t="s">
        <v>94</v>
      </c>
      <c r="U54" s="96" t="s">
        <v>136</v>
      </c>
      <c r="V54" s="96" t="s">
        <v>94</v>
      </c>
      <c r="W54" s="96" t="s">
        <v>97</v>
      </c>
      <c r="X54" s="96" t="s">
        <v>98</v>
      </c>
      <c r="Y54" s="96" t="s">
        <v>192</v>
      </c>
      <c r="Z54" s="96" t="s">
        <v>193</v>
      </c>
      <c r="AA54" s="96" t="s">
        <v>194</v>
      </c>
      <c r="AB54" s="96" t="s">
        <v>195</v>
      </c>
      <c r="AC54" s="96" t="s">
        <v>196</v>
      </c>
      <c r="AD54" s="96" t="s">
        <v>197</v>
      </c>
      <c r="AE54" s="96" t="s">
        <v>198</v>
      </c>
      <c r="AF54" s="96" t="s">
        <v>199</v>
      </c>
      <c r="AG54" s="96" t="s">
        <v>200</v>
      </c>
      <c r="AH54" s="96">
        <v>1329</v>
      </c>
      <c r="AI54" s="96" t="s">
        <v>201</v>
      </c>
      <c r="AJ54" s="96" t="s">
        <v>202</v>
      </c>
      <c r="AK54" s="58" t="s">
        <v>110</v>
      </c>
    </row>
    <row r="55" s="58" customFormat="1" spans="1:37">
      <c r="A55" s="70">
        <v>50</v>
      </c>
      <c r="B55" s="70">
        <f t="shared" si="0"/>
        <v>0</v>
      </c>
      <c r="C55" s="71"/>
      <c r="D55" s="59" t="s">
        <v>92</v>
      </c>
      <c r="E55" s="60">
        <v>12040</v>
      </c>
      <c r="F55" s="10" t="s">
        <v>179</v>
      </c>
      <c r="G55" s="60">
        <v>603</v>
      </c>
      <c r="H55" s="81">
        <v>140</v>
      </c>
      <c r="I55" s="86">
        <v>140</v>
      </c>
      <c r="J55" s="81">
        <v>140</v>
      </c>
      <c r="K55" s="86">
        <v>140</v>
      </c>
      <c r="L55" s="81">
        <v>371</v>
      </c>
      <c r="M55" s="86">
        <v>384</v>
      </c>
      <c r="N55" s="81">
        <v>33191</v>
      </c>
      <c r="O55" s="86">
        <v>34229</v>
      </c>
      <c r="P55" s="89">
        <f t="shared" si="1"/>
        <v>377.5</v>
      </c>
      <c r="Q55" s="89">
        <f t="shared" si="2"/>
        <v>33710</v>
      </c>
      <c r="R55" s="96" t="s">
        <v>94</v>
      </c>
      <c r="S55" s="96" t="s">
        <v>124</v>
      </c>
      <c r="T55" s="96" t="s">
        <v>94</v>
      </c>
      <c r="U55" s="96" t="s">
        <v>136</v>
      </c>
      <c r="V55" s="96" t="s">
        <v>180</v>
      </c>
      <c r="W55" s="96" t="s">
        <v>97</v>
      </c>
      <c r="X55" s="96" t="s">
        <v>98</v>
      </c>
      <c r="Y55" s="96" t="s">
        <v>181</v>
      </c>
      <c r="Z55" s="96" t="s">
        <v>182</v>
      </c>
      <c r="AA55" s="96" t="s">
        <v>183</v>
      </c>
      <c r="AB55" s="96" t="s">
        <v>184</v>
      </c>
      <c r="AC55" s="96" t="s">
        <v>185</v>
      </c>
      <c r="AD55" s="96" t="s">
        <v>186</v>
      </c>
      <c r="AE55" s="96" t="s">
        <v>187</v>
      </c>
      <c r="AF55" s="96" t="s">
        <v>188</v>
      </c>
      <c r="AG55" s="96" t="s">
        <v>110</v>
      </c>
      <c r="AH55" s="96">
        <v>2377</v>
      </c>
      <c r="AI55" s="96" t="s">
        <v>189</v>
      </c>
      <c r="AJ55" s="96" t="s">
        <v>190</v>
      </c>
      <c r="AK55" s="58" t="s">
        <v>110</v>
      </c>
    </row>
    <row r="56" s="58" customFormat="1" spans="1:37">
      <c r="A56" s="70">
        <v>51</v>
      </c>
      <c r="B56" s="70">
        <f t="shared" si="0"/>
        <v>0</v>
      </c>
      <c r="C56" s="71"/>
      <c r="D56" s="59" t="s">
        <v>92</v>
      </c>
      <c r="E56" s="60">
        <v>13943</v>
      </c>
      <c r="F56" s="10" t="s">
        <v>212</v>
      </c>
      <c r="G56" s="60">
        <v>601</v>
      </c>
      <c r="H56" s="81">
        <v>233</v>
      </c>
      <c r="I56" s="86">
        <v>315</v>
      </c>
      <c r="J56" s="81">
        <v>233</v>
      </c>
      <c r="K56" s="86">
        <v>315</v>
      </c>
      <c r="L56" s="81">
        <v>373</v>
      </c>
      <c r="M56" s="86">
        <v>382</v>
      </c>
      <c r="N56" s="81">
        <v>29492</v>
      </c>
      <c r="O56" s="86">
        <v>38901</v>
      </c>
      <c r="P56" s="89">
        <f t="shared" si="1"/>
        <v>377.5</v>
      </c>
      <c r="Q56" s="89">
        <f t="shared" si="2"/>
        <v>34196.5</v>
      </c>
      <c r="R56" s="96" t="s">
        <v>94</v>
      </c>
      <c r="S56" s="96" t="s">
        <v>124</v>
      </c>
      <c r="T56" s="96" t="s">
        <v>94</v>
      </c>
      <c r="U56" s="96" t="s">
        <v>136</v>
      </c>
      <c r="V56" s="96" t="s">
        <v>94</v>
      </c>
      <c r="W56" s="96" t="s">
        <v>97</v>
      </c>
      <c r="X56" s="96" t="s">
        <v>98</v>
      </c>
      <c r="Y56" s="96" t="s">
        <v>213</v>
      </c>
      <c r="Z56" s="96" t="s">
        <v>193</v>
      </c>
      <c r="AA56" s="96" t="s">
        <v>214</v>
      </c>
      <c r="AB56" s="96" t="s">
        <v>215</v>
      </c>
      <c r="AC56" s="96" t="s">
        <v>216</v>
      </c>
      <c r="AD56" s="96" t="s">
        <v>217</v>
      </c>
      <c r="AE56" s="96" t="s">
        <v>218</v>
      </c>
      <c r="AF56" s="96" t="s">
        <v>219</v>
      </c>
      <c r="AG56" s="96" t="s">
        <v>220</v>
      </c>
      <c r="AH56" s="96">
        <v>1770</v>
      </c>
      <c r="AI56" s="96" t="s">
        <v>221</v>
      </c>
      <c r="AJ56" s="96" t="s">
        <v>222</v>
      </c>
      <c r="AK56" s="58" t="s">
        <v>110</v>
      </c>
    </row>
    <row r="57" s="58" customFormat="1" spans="1:37">
      <c r="A57" s="70">
        <v>52</v>
      </c>
      <c r="B57" s="70">
        <f t="shared" si="0"/>
        <v>0</v>
      </c>
      <c r="C57" s="71"/>
      <c r="D57" s="59" t="s">
        <v>92</v>
      </c>
      <c r="E57" s="60">
        <v>14066</v>
      </c>
      <c r="F57" s="10" t="s">
        <v>223</v>
      </c>
      <c r="G57" s="60">
        <v>601</v>
      </c>
      <c r="H57" s="81">
        <v>105</v>
      </c>
      <c r="I57" s="86">
        <v>80</v>
      </c>
      <c r="J57" s="81">
        <v>105</v>
      </c>
      <c r="K57" s="86">
        <v>80</v>
      </c>
      <c r="L57" s="81">
        <v>369</v>
      </c>
      <c r="M57" s="86">
        <v>385</v>
      </c>
      <c r="N57" s="81">
        <v>35254</v>
      </c>
      <c r="O57" s="86">
        <v>33194</v>
      </c>
      <c r="P57" s="89">
        <f t="shared" si="1"/>
        <v>377</v>
      </c>
      <c r="Q57" s="89">
        <f t="shared" si="2"/>
        <v>34224</v>
      </c>
      <c r="R57" s="96" t="s">
        <v>94</v>
      </c>
      <c r="S57" s="96" t="s">
        <v>224</v>
      </c>
      <c r="T57" s="96" t="s">
        <v>94</v>
      </c>
      <c r="U57" s="96" t="s">
        <v>136</v>
      </c>
      <c r="V57" s="96" t="s">
        <v>94</v>
      </c>
      <c r="W57" s="96" t="s">
        <v>97</v>
      </c>
      <c r="X57" s="96" t="s">
        <v>147</v>
      </c>
      <c r="Y57" s="96" t="s">
        <v>225</v>
      </c>
      <c r="Z57" s="96" t="s">
        <v>226</v>
      </c>
      <c r="AA57" s="96" t="s">
        <v>227</v>
      </c>
      <c r="AB57" s="96" t="s">
        <v>228</v>
      </c>
      <c r="AC57" s="96" t="s">
        <v>229</v>
      </c>
      <c r="AD57" s="96" t="s">
        <v>230</v>
      </c>
      <c r="AE57" s="96" t="s">
        <v>231</v>
      </c>
      <c r="AF57" s="96" t="s">
        <v>232</v>
      </c>
      <c r="AG57" s="96" t="s">
        <v>233</v>
      </c>
      <c r="AH57" s="96">
        <v>1464</v>
      </c>
      <c r="AI57" s="96" t="s">
        <v>234</v>
      </c>
      <c r="AJ57" s="96" t="s">
        <v>235</v>
      </c>
      <c r="AK57" s="58" t="s">
        <v>110</v>
      </c>
    </row>
    <row r="58" s="58" customFormat="1" spans="1:37">
      <c r="A58" s="70">
        <v>53</v>
      </c>
      <c r="B58" s="70">
        <f t="shared" si="0"/>
        <v>0</v>
      </c>
      <c r="C58" s="71"/>
      <c r="D58" s="59" t="s">
        <v>92</v>
      </c>
      <c r="E58" s="60">
        <v>12572</v>
      </c>
      <c r="F58" s="10" t="s">
        <v>191</v>
      </c>
      <c r="G58" s="60">
        <v>602</v>
      </c>
      <c r="H58" s="81">
        <v>211</v>
      </c>
      <c r="I58" s="86">
        <v>617</v>
      </c>
      <c r="J58" s="81">
        <v>211</v>
      </c>
      <c r="K58" s="86">
        <v>617</v>
      </c>
      <c r="L58" s="81">
        <v>370</v>
      </c>
      <c r="M58" s="86">
        <v>384</v>
      </c>
      <c r="N58" s="81">
        <v>34955</v>
      </c>
      <c r="O58" s="86">
        <v>34453</v>
      </c>
      <c r="P58" s="89">
        <f t="shared" si="1"/>
        <v>377</v>
      </c>
      <c r="Q58" s="89">
        <f t="shared" si="2"/>
        <v>34704</v>
      </c>
      <c r="R58" s="96" t="s">
        <v>94</v>
      </c>
      <c r="S58" s="96" t="s">
        <v>124</v>
      </c>
      <c r="T58" s="96" t="s">
        <v>94</v>
      </c>
      <c r="U58" s="96" t="s">
        <v>136</v>
      </c>
      <c r="V58" s="96" t="s">
        <v>94</v>
      </c>
      <c r="W58" s="96" t="s">
        <v>97</v>
      </c>
      <c r="X58" s="96" t="s">
        <v>98</v>
      </c>
      <c r="Y58" s="96" t="s">
        <v>192</v>
      </c>
      <c r="Z58" s="96" t="s">
        <v>193</v>
      </c>
      <c r="AA58" s="96" t="s">
        <v>194</v>
      </c>
      <c r="AB58" s="96" t="s">
        <v>195</v>
      </c>
      <c r="AC58" s="96" t="s">
        <v>196</v>
      </c>
      <c r="AD58" s="96" t="s">
        <v>197</v>
      </c>
      <c r="AE58" s="96" t="s">
        <v>198</v>
      </c>
      <c r="AF58" s="96" t="s">
        <v>199</v>
      </c>
      <c r="AG58" s="96" t="s">
        <v>200</v>
      </c>
      <c r="AH58" s="96">
        <v>1329</v>
      </c>
      <c r="AI58" s="96" t="s">
        <v>201</v>
      </c>
      <c r="AJ58" s="96" t="s">
        <v>202</v>
      </c>
      <c r="AK58" s="58" t="s">
        <v>110</v>
      </c>
    </row>
    <row r="59" s="58" customFormat="1" spans="1:37">
      <c r="A59" s="70">
        <v>54</v>
      </c>
      <c r="B59" s="70">
        <f t="shared" si="0"/>
        <v>0</v>
      </c>
      <c r="C59" s="71"/>
      <c r="D59" s="59" t="s">
        <v>92</v>
      </c>
      <c r="E59" s="60">
        <v>12327</v>
      </c>
      <c r="F59" s="10" t="s">
        <v>203</v>
      </c>
      <c r="G59" s="60">
        <v>603</v>
      </c>
      <c r="H59" s="81">
        <v>118</v>
      </c>
      <c r="I59" s="86">
        <v>195</v>
      </c>
      <c r="J59" s="81">
        <v>118</v>
      </c>
      <c r="K59" s="86">
        <v>195</v>
      </c>
      <c r="L59" s="81">
        <v>369</v>
      </c>
      <c r="M59" s="86">
        <v>383</v>
      </c>
      <c r="N59" s="81">
        <v>36295</v>
      </c>
      <c r="O59" s="86">
        <v>38047</v>
      </c>
      <c r="P59" s="89">
        <f t="shared" si="1"/>
        <v>376</v>
      </c>
      <c r="Q59" s="89">
        <f t="shared" si="2"/>
        <v>37171</v>
      </c>
      <c r="R59" s="96" t="s">
        <v>94</v>
      </c>
      <c r="S59" s="96" t="s">
        <v>168</v>
      </c>
      <c r="T59" s="96" t="s">
        <v>94</v>
      </c>
      <c r="U59" s="96" t="s">
        <v>136</v>
      </c>
      <c r="V59" s="96" t="s">
        <v>94</v>
      </c>
      <c r="W59" s="96" t="s">
        <v>97</v>
      </c>
      <c r="X59" s="96" t="s">
        <v>169</v>
      </c>
      <c r="Y59" s="96" t="s">
        <v>110</v>
      </c>
      <c r="Z59" s="96" t="s">
        <v>148</v>
      </c>
      <c r="AA59" s="96" t="s">
        <v>204</v>
      </c>
      <c r="AB59" s="96" t="s">
        <v>205</v>
      </c>
      <c r="AC59" s="96" t="s">
        <v>206</v>
      </c>
      <c r="AD59" s="96" t="s">
        <v>207</v>
      </c>
      <c r="AE59" s="96" t="s">
        <v>208</v>
      </c>
      <c r="AF59" s="96" t="s">
        <v>209</v>
      </c>
      <c r="AG59" s="96" t="s">
        <v>110</v>
      </c>
      <c r="AH59" s="96">
        <v>2329</v>
      </c>
      <c r="AI59" s="96" t="s">
        <v>210</v>
      </c>
      <c r="AJ59" s="96" t="s">
        <v>211</v>
      </c>
      <c r="AK59" s="58" t="s">
        <v>110</v>
      </c>
    </row>
    <row r="60" s="58" customFormat="1" spans="1:37">
      <c r="A60" s="70">
        <v>55</v>
      </c>
      <c r="B60" s="70">
        <f t="shared" si="0"/>
        <v>0</v>
      </c>
      <c r="C60" s="71"/>
      <c r="D60" s="59" t="s">
        <v>92</v>
      </c>
      <c r="E60" s="60">
        <v>14066</v>
      </c>
      <c r="F60" s="10" t="s">
        <v>223</v>
      </c>
      <c r="G60" s="60">
        <v>606</v>
      </c>
      <c r="H60" s="81">
        <v>20</v>
      </c>
      <c r="I60" s="86">
        <v>20</v>
      </c>
      <c r="J60" s="81">
        <v>20</v>
      </c>
      <c r="K60" s="86">
        <v>20</v>
      </c>
      <c r="L60" s="81">
        <v>367</v>
      </c>
      <c r="M60" s="86">
        <v>382</v>
      </c>
      <c r="N60" s="81">
        <v>38887</v>
      </c>
      <c r="O60" s="86">
        <v>39465</v>
      </c>
      <c r="P60" s="89">
        <f t="shared" si="1"/>
        <v>374.5</v>
      </c>
      <c r="Q60" s="89">
        <f t="shared" si="2"/>
        <v>39176</v>
      </c>
      <c r="R60" s="96" t="s">
        <v>94</v>
      </c>
      <c r="S60" s="96" t="s">
        <v>224</v>
      </c>
      <c r="T60" s="96" t="s">
        <v>94</v>
      </c>
      <c r="U60" s="96" t="s">
        <v>136</v>
      </c>
      <c r="V60" s="96" t="s">
        <v>94</v>
      </c>
      <c r="W60" s="96" t="s">
        <v>97</v>
      </c>
      <c r="X60" s="96" t="s">
        <v>147</v>
      </c>
      <c r="Y60" s="96" t="s">
        <v>225</v>
      </c>
      <c r="Z60" s="96" t="s">
        <v>226</v>
      </c>
      <c r="AA60" s="96" t="s">
        <v>227</v>
      </c>
      <c r="AB60" s="96" t="s">
        <v>228</v>
      </c>
      <c r="AC60" s="96" t="s">
        <v>229</v>
      </c>
      <c r="AD60" s="96" t="s">
        <v>230</v>
      </c>
      <c r="AE60" s="96" t="s">
        <v>231</v>
      </c>
      <c r="AF60" s="96" t="s">
        <v>232</v>
      </c>
      <c r="AG60" s="96" t="s">
        <v>233</v>
      </c>
      <c r="AH60" s="96">
        <v>1464</v>
      </c>
      <c r="AI60" s="96" t="s">
        <v>234</v>
      </c>
      <c r="AJ60" s="96" t="s">
        <v>235</v>
      </c>
      <c r="AK60" s="58" t="s">
        <v>110</v>
      </c>
    </row>
    <row r="61" s="58" customFormat="1" spans="1:37">
      <c r="A61" s="70">
        <v>56</v>
      </c>
      <c r="B61" s="70">
        <f t="shared" si="0"/>
        <v>0</v>
      </c>
      <c r="C61" s="71"/>
      <c r="D61" s="59" t="s">
        <v>92</v>
      </c>
      <c r="E61" s="60">
        <v>14066</v>
      </c>
      <c r="F61" s="10" t="s">
        <v>223</v>
      </c>
      <c r="G61" s="60">
        <v>602</v>
      </c>
      <c r="H61" s="81">
        <v>100</v>
      </c>
      <c r="I61" s="86">
        <v>140</v>
      </c>
      <c r="J61" s="81">
        <v>100</v>
      </c>
      <c r="K61" s="86">
        <v>140</v>
      </c>
      <c r="L61" s="81">
        <v>367</v>
      </c>
      <c r="M61" s="86">
        <v>382</v>
      </c>
      <c r="N61" s="81">
        <v>39289</v>
      </c>
      <c r="O61" s="86">
        <v>39176</v>
      </c>
      <c r="P61" s="89">
        <f t="shared" si="1"/>
        <v>374.5</v>
      </c>
      <c r="Q61" s="89">
        <f t="shared" si="2"/>
        <v>39232.5</v>
      </c>
      <c r="R61" s="96" t="s">
        <v>94</v>
      </c>
      <c r="S61" s="96" t="s">
        <v>224</v>
      </c>
      <c r="T61" s="96" t="s">
        <v>94</v>
      </c>
      <c r="U61" s="96" t="s">
        <v>136</v>
      </c>
      <c r="V61" s="96" t="s">
        <v>94</v>
      </c>
      <c r="W61" s="96" t="s">
        <v>97</v>
      </c>
      <c r="X61" s="96" t="s">
        <v>147</v>
      </c>
      <c r="Y61" s="96" t="s">
        <v>225</v>
      </c>
      <c r="Z61" s="96" t="s">
        <v>226</v>
      </c>
      <c r="AA61" s="96" t="s">
        <v>227</v>
      </c>
      <c r="AB61" s="96" t="s">
        <v>228</v>
      </c>
      <c r="AC61" s="96" t="s">
        <v>229</v>
      </c>
      <c r="AD61" s="96" t="s">
        <v>230</v>
      </c>
      <c r="AE61" s="96" t="s">
        <v>231</v>
      </c>
      <c r="AF61" s="96" t="s">
        <v>232</v>
      </c>
      <c r="AG61" s="96" t="s">
        <v>233</v>
      </c>
      <c r="AH61" s="96">
        <v>1464</v>
      </c>
      <c r="AI61" s="96" t="s">
        <v>234</v>
      </c>
      <c r="AJ61" s="96" t="s">
        <v>235</v>
      </c>
      <c r="AK61" s="58" t="s">
        <v>110</v>
      </c>
    </row>
    <row r="62" s="58" customFormat="1" spans="1:37">
      <c r="A62" s="70">
        <v>57</v>
      </c>
      <c r="B62" s="70">
        <f t="shared" si="0"/>
        <v>0</v>
      </c>
      <c r="C62" s="71"/>
      <c r="D62" s="59" t="s">
        <v>92</v>
      </c>
      <c r="E62" s="60">
        <v>12046</v>
      </c>
      <c r="F62" s="10" t="s">
        <v>156</v>
      </c>
      <c r="G62" s="60">
        <v>602</v>
      </c>
      <c r="H62" s="81">
        <v>130</v>
      </c>
      <c r="I62" s="86" t="s">
        <v>110</v>
      </c>
      <c r="J62" s="81">
        <v>130</v>
      </c>
      <c r="K62" s="86" t="s">
        <v>110</v>
      </c>
      <c r="L62" s="81">
        <v>366</v>
      </c>
      <c r="M62" s="86" t="s">
        <v>110</v>
      </c>
      <c r="N62" s="81">
        <v>40441</v>
      </c>
      <c r="O62" s="86" t="s">
        <v>110</v>
      </c>
      <c r="P62" s="89">
        <f t="shared" si="1"/>
        <v>366</v>
      </c>
      <c r="Q62" s="89">
        <f t="shared" si="2"/>
        <v>40441</v>
      </c>
      <c r="R62" s="96" t="s">
        <v>94</v>
      </c>
      <c r="S62" s="96" t="s">
        <v>124</v>
      </c>
      <c r="T62" s="96" t="s">
        <v>94</v>
      </c>
      <c r="U62" s="96" t="s">
        <v>96</v>
      </c>
      <c r="V62" s="96" t="s">
        <v>94</v>
      </c>
      <c r="W62" s="96" t="s">
        <v>97</v>
      </c>
      <c r="X62" s="96" t="s">
        <v>98</v>
      </c>
      <c r="Y62" s="96" t="s">
        <v>157</v>
      </c>
      <c r="Z62" s="96" t="s">
        <v>126</v>
      </c>
      <c r="AA62" s="96" t="s">
        <v>158</v>
      </c>
      <c r="AB62" s="96" t="s">
        <v>159</v>
      </c>
      <c r="AC62" s="96" t="s">
        <v>160</v>
      </c>
      <c r="AD62" s="96" t="s">
        <v>161</v>
      </c>
      <c r="AE62" s="96" t="s">
        <v>162</v>
      </c>
      <c r="AF62" s="96" t="s">
        <v>163</v>
      </c>
      <c r="AG62" s="96" t="s">
        <v>164</v>
      </c>
      <c r="AH62" s="96">
        <v>426</v>
      </c>
      <c r="AI62" s="96" t="s">
        <v>165</v>
      </c>
      <c r="AJ62" s="96" t="s">
        <v>166</v>
      </c>
      <c r="AK62" s="58" t="s">
        <v>110</v>
      </c>
    </row>
    <row r="63" s="58" customFormat="1" spans="1:37">
      <c r="A63" s="70">
        <v>58</v>
      </c>
      <c r="B63" s="70">
        <f t="shared" si="0"/>
        <v>0</v>
      </c>
      <c r="C63" s="71"/>
      <c r="D63" s="59" t="s">
        <v>92</v>
      </c>
      <c r="E63" s="60">
        <v>13810</v>
      </c>
      <c r="F63" s="10" t="s">
        <v>144</v>
      </c>
      <c r="G63" s="60">
        <v>605</v>
      </c>
      <c r="H63" s="81">
        <v>190</v>
      </c>
      <c r="I63" s="86" t="s">
        <v>110</v>
      </c>
      <c r="J63" s="81">
        <v>190</v>
      </c>
      <c r="K63" s="86" t="s">
        <v>110</v>
      </c>
      <c r="L63" s="81">
        <v>366</v>
      </c>
      <c r="M63" s="86" t="s">
        <v>110</v>
      </c>
      <c r="N63" s="81">
        <v>40943</v>
      </c>
      <c r="O63" s="86" t="s">
        <v>110</v>
      </c>
      <c r="P63" s="89">
        <f t="shared" si="1"/>
        <v>366</v>
      </c>
      <c r="Q63" s="89">
        <f t="shared" si="2"/>
        <v>40943</v>
      </c>
      <c r="R63" s="96" t="s">
        <v>94</v>
      </c>
      <c r="S63" s="96" t="s">
        <v>145</v>
      </c>
      <c r="T63" s="96" t="s">
        <v>94</v>
      </c>
      <c r="U63" s="96" t="s">
        <v>146</v>
      </c>
      <c r="V63" s="96" t="s">
        <v>94</v>
      </c>
      <c r="W63" s="96" t="s">
        <v>97</v>
      </c>
      <c r="X63" s="96" t="s">
        <v>147</v>
      </c>
      <c r="Y63" s="96" t="s">
        <v>110</v>
      </c>
      <c r="Z63" s="96" t="s">
        <v>148</v>
      </c>
      <c r="AA63" s="96" t="s">
        <v>149</v>
      </c>
      <c r="AB63" s="96" t="s">
        <v>110</v>
      </c>
      <c r="AC63" s="96" t="s">
        <v>150</v>
      </c>
      <c r="AD63" s="96" t="s">
        <v>151</v>
      </c>
      <c r="AE63" s="96" t="s">
        <v>152</v>
      </c>
      <c r="AF63" s="96" t="s">
        <v>153</v>
      </c>
      <c r="AG63" s="96" t="s">
        <v>110</v>
      </c>
      <c r="AH63" s="96">
        <v>662</v>
      </c>
      <c r="AI63" s="96" t="s">
        <v>154</v>
      </c>
      <c r="AJ63" s="96" t="s">
        <v>155</v>
      </c>
      <c r="AK63" s="58" t="s">
        <v>110</v>
      </c>
    </row>
    <row r="64" s="58" customFormat="1" spans="1:37">
      <c r="A64" s="70">
        <v>59</v>
      </c>
      <c r="B64" s="70">
        <f t="shared" si="0"/>
        <v>0</v>
      </c>
      <c r="C64" s="71"/>
      <c r="D64" s="59" t="s">
        <v>92</v>
      </c>
      <c r="E64" s="60">
        <v>13810</v>
      </c>
      <c r="F64" s="10" t="s">
        <v>144</v>
      </c>
      <c r="G64" s="60">
        <v>603</v>
      </c>
      <c r="H64" s="81">
        <v>40</v>
      </c>
      <c r="I64" s="86" t="s">
        <v>110</v>
      </c>
      <c r="J64" s="81">
        <v>40</v>
      </c>
      <c r="K64" s="86" t="s">
        <v>110</v>
      </c>
      <c r="L64" s="81">
        <v>366</v>
      </c>
      <c r="M64" s="86" t="s">
        <v>110</v>
      </c>
      <c r="N64" s="81">
        <v>41266</v>
      </c>
      <c r="O64" s="86" t="s">
        <v>110</v>
      </c>
      <c r="P64" s="89">
        <f t="shared" si="1"/>
        <v>366</v>
      </c>
      <c r="Q64" s="89">
        <f t="shared" si="2"/>
        <v>41266</v>
      </c>
      <c r="R64" s="96" t="s">
        <v>94</v>
      </c>
      <c r="S64" s="96" t="s">
        <v>145</v>
      </c>
      <c r="T64" s="96" t="s">
        <v>94</v>
      </c>
      <c r="U64" s="96" t="s">
        <v>146</v>
      </c>
      <c r="V64" s="96" t="s">
        <v>94</v>
      </c>
      <c r="W64" s="96" t="s">
        <v>97</v>
      </c>
      <c r="X64" s="96" t="s">
        <v>147</v>
      </c>
      <c r="Y64" s="96" t="s">
        <v>110</v>
      </c>
      <c r="Z64" s="96" t="s">
        <v>148</v>
      </c>
      <c r="AA64" s="96" t="s">
        <v>149</v>
      </c>
      <c r="AB64" s="96" t="s">
        <v>110</v>
      </c>
      <c r="AC64" s="96" t="s">
        <v>150</v>
      </c>
      <c r="AD64" s="96" t="s">
        <v>151</v>
      </c>
      <c r="AE64" s="96" t="s">
        <v>152</v>
      </c>
      <c r="AF64" s="96" t="s">
        <v>153</v>
      </c>
      <c r="AG64" s="96" t="s">
        <v>110</v>
      </c>
      <c r="AH64" s="96">
        <v>662</v>
      </c>
      <c r="AI64" s="96" t="s">
        <v>154</v>
      </c>
      <c r="AJ64" s="96" t="s">
        <v>155</v>
      </c>
      <c r="AK64" s="58" t="s">
        <v>110</v>
      </c>
    </row>
    <row r="65" s="58" customFormat="1" spans="1:37">
      <c r="A65" s="70">
        <v>60</v>
      </c>
      <c r="B65" s="70">
        <f t="shared" si="0"/>
        <v>0</v>
      </c>
      <c r="C65" s="71"/>
      <c r="D65" s="59" t="s">
        <v>92</v>
      </c>
      <c r="E65" s="60">
        <v>13943</v>
      </c>
      <c r="F65" s="10" t="s">
        <v>212</v>
      </c>
      <c r="G65" s="60">
        <v>603</v>
      </c>
      <c r="H65" s="81">
        <v>290</v>
      </c>
      <c r="I65" s="86">
        <v>303</v>
      </c>
      <c r="J65" s="81">
        <v>290</v>
      </c>
      <c r="K65" s="86">
        <v>303</v>
      </c>
      <c r="L65" s="81">
        <v>368</v>
      </c>
      <c r="M65" s="86">
        <v>380</v>
      </c>
      <c r="N65" s="81">
        <v>38211</v>
      </c>
      <c r="O65" s="86">
        <v>44360</v>
      </c>
      <c r="P65" s="89">
        <f t="shared" si="1"/>
        <v>374</v>
      </c>
      <c r="Q65" s="89">
        <f t="shared" si="2"/>
        <v>41285.5</v>
      </c>
      <c r="R65" s="96" t="s">
        <v>94</v>
      </c>
      <c r="S65" s="96" t="s">
        <v>124</v>
      </c>
      <c r="T65" s="96" t="s">
        <v>94</v>
      </c>
      <c r="U65" s="96" t="s">
        <v>136</v>
      </c>
      <c r="V65" s="96" t="s">
        <v>94</v>
      </c>
      <c r="W65" s="96" t="s">
        <v>97</v>
      </c>
      <c r="X65" s="96" t="s">
        <v>98</v>
      </c>
      <c r="Y65" s="96" t="s">
        <v>213</v>
      </c>
      <c r="Z65" s="96" t="s">
        <v>193</v>
      </c>
      <c r="AA65" s="96" t="s">
        <v>214</v>
      </c>
      <c r="AB65" s="96" t="s">
        <v>215</v>
      </c>
      <c r="AC65" s="96" t="s">
        <v>216</v>
      </c>
      <c r="AD65" s="96" t="s">
        <v>217</v>
      </c>
      <c r="AE65" s="96" t="s">
        <v>218</v>
      </c>
      <c r="AF65" s="96" t="s">
        <v>219</v>
      </c>
      <c r="AG65" s="96" t="s">
        <v>220</v>
      </c>
      <c r="AH65" s="96">
        <v>1770</v>
      </c>
      <c r="AI65" s="96" t="s">
        <v>221</v>
      </c>
      <c r="AJ65" s="96" t="s">
        <v>222</v>
      </c>
      <c r="AK65" s="58" t="s">
        <v>110</v>
      </c>
    </row>
    <row r="66" s="58" customFormat="1" spans="1:37">
      <c r="A66" s="70">
        <v>61</v>
      </c>
      <c r="B66" s="70">
        <f t="shared" si="0"/>
        <v>0</v>
      </c>
      <c r="C66" s="71"/>
      <c r="D66" s="59" t="s">
        <v>92</v>
      </c>
      <c r="E66" s="60">
        <v>12572</v>
      </c>
      <c r="F66" s="10" t="s">
        <v>191</v>
      </c>
      <c r="G66" s="60">
        <v>606</v>
      </c>
      <c r="H66" s="81">
        <v>60</v>
      </c>
      <c r="I66" s="86">
        <v>210</v>
      </c>
      <c r="J66" s="81">
        <v>60</v>
      </c>
      <c r="K66" s="86">
        <v>210</v>
      </c>
      <c r="L66" s="81">
        <v>366</v>
      </c>
      <c r="M66" s="86">
        <v>381</v>
      </c>
      <c r="N66" s="81">
        <v>41709</v>
      </c>
      <c r="O66" s="86">
        <v>41910</v>
      </c>
      <c r="P66" s="89">
        <f t="shared" si="1"/>
        <v>373.5</v>
      </c>
      <c r="Q66" s="89">
        <f t="shared" si="2"/>
        <v>41809.5</v>
      </c>
      <c r="R66" s="96" t="s">
        <v>94</v>
      </c>
      <c r="S66" s="96" t="s">
        <v>124</v>
      </c>
      <c r="T66" s="96" t="s">
        <v>94</v>
      </c>
      <c r="U66" s="96" t="s">
        <v>136</v>
      </c>
      <c r="V66" s="96" t="s">
        <v>94</v>
      </c>
      <c r="W66" s="96" t="s">
        <v>97</v>
      </c>
      <c r="X66" s="96" t="s">
        <v>98</v>
      </c>
      <c r="Y66" s="96" t="s">
        <v>192</v>
      </c>
      <c r="Z66" s="96" t="s">
        <v>193</v>
      </c>
      <c r="AA66" s="96" t="s">
        <v>194</v>
      </c>
      <c r="AB66" s="96" t="s">
        <v>195</v>
      </c>
      <c r="AC66" s="96" t="s">
        <v>196</v>
      </c>
      <c r="AD66" s="96" t="s">
        <v>197</v>
      </c>
      <c r="AE66" s="96" t="s">
        <v>198</v>
      </c>
      <c r="AF66" s="96" t="s">
        <v>199</v>
      </c>
      <c r="AG66" s="96" t="s">
        <v>200</v>
      </c>
      <c r="AH66" s="96">
        <v>1329</v>
      </c>
      <c r="AI66" s="96" t="s">
        <v>201</v>
      </c>
      <c r="AJ66" s="96" t="s">
        <v>202</v>
      </c>
      <c r="AK66" s="58" t="s">
        <v>110</v>
      </c>
    </row>
    <row r="67" s="58" customFormat="1" spans="1:37">
      <c r="A67" s="70">
        <v>62</v>
      </c>
      <c r="B67" s="70">
        <f t="shared" si="0"/>
        <v>0</v>
      </c>
      <c r="C67" s="71"/>
      <c r="D67" s="59" t="s">
        <v>92</v>
      </c>
      <c r="E67" s="60">
        <v>12327</v>
      </c>
      <c r="F67" s="10" t="s">
        <v>203</v>
      </c>
      <c r="G67" s="60">
        <v>604</v>
      </c>
      <c r="H67" s="81">
        <v>200</v>
      </c>
      <c r="I67" s="86">
        <v>185</v>
      </c>
      <c r="J67" s="81">
        <v>200</v>
      </c>
      <c r="K67" s="86">
        <v>185</v>
      </c>
      <c r="L67" s="81">
        <v>362</v>
      </c>
      <c r="M67" s="86">
        <v>383</v>
      </c>
      <c r="N67" s="81">
        <v>47437</v>
      </c>
      <c r="O67" s="86">
        <v>36337</v>
      </c>
      <c r="P67" s="89">
        <f t="shared" si="1"/>
        <v>372.5</v>
      </c>
      <c r="Q67" s="89">
        <f t="shared" si="2"/>
        <v>41887</v>
      </c>
      <c r="R67" s="96" t="s">
        <v>94</v>
      </c>
      <c r="S67" s="96" t="s">
        <v>168</v>
      </c>
      <c r="T67" s="96" t="s">
        <v>94</v>
      </c>
      <c r="U67" s="96" t="s">
        <v>136</v>
      </c>
      <c r="V67" s="96" t="s">
        <v>94</v>
      </c>
      <c r="W67" s="96" t="s">
        <v>97</v>
      </c>
      <c r="X67" s="96" t="s">
        <v>169</v>
      </c>
      <c r="Y67" s="96" t="s">
        <v>110</v>
      </c>
      <c r="Z67" s="96" t="s">
        <v>148</v>
      </c>
      <c r="AA67" s="96" t="s">
        <v>204</v>
      </c>
      <c r="AB67" s="96" t="s">
        <v>205</v>
      </c>
      <c r="AC67" s="96" t="s">
        <v>206</v>
      </c>
      <c r="AD67" s="96" t="s">
        <v>207</v>
      </c>
      <c r="AE67" s="96" t="s">
        <v>208</v>
      </c>
      <c r="AF67" s="96" t="s">
        <v>209</v>
      </c>
      <c r="AG67" s="96" t="s">
        <v>110</v>
      </c>
      <c r="AH67" s="96">
        <v>2329</v>
      </c>
      <c r="AI67" s="96" t="s">
        <v>210</v>
      </c>
      <c r="AJ67" s="96" t="s">
        <v>211</v>
      </c>
      <c r="AK67" s="58" t="s">
        <v>110</v>
      </c>
    </row>
    <row r="68" s="58" customFormat="1" spans="1:37">
      <c r="A68" s="70">
        <v>63</v>
      </c>
      <c r="B68" s="70">
        <f t="shared" si="0"/>
        <v>0</v>
      </c>
      <c r="C68" s="71"/>
      <c r="D68" s="59" t="s">
        <v>92</v>
      </c>
      <c r="E68" s="60">
        <v>13711</v>
      </c>
      <c r="F68" s="10" t="s">
        <v>236</v>
      </c>
      <c r="G68" s="60">
        <v>611</v>
      </c>
      <c r="H68" s="81">
        <v>12</v>
      </c>
      <c r="I68" s="86">
        <v>20</v>
      </c>
      <c r="J68" s="81">
        <v>12</v>
      </c>
      <c r="K68" s="86">
        <v>20</v>
      </c>
      <c r="L68" s="81">
        <v>363</v>
      </c>
      <c r="M68" s="86">
        <v>381</v>
      </c>
      <c r="N68" s="81">
        <v>46875</v>
      </c>
      <c r="O68" s="86">
        <v>40664</v>
      </c>
      <c r="P68" s="89">
        <f t="shared" si="1"/>
        <v>372</v>
      </c>
      <c r="Q68" s="89">
        <f t="shared" si="2"/>
        <v>43769.5</v>
      </c>
      <c r="R68" s="96" t="s">
        <v>94</v>
      </c>
      <c r="S68" s="96" t="s">
        <v>237</v>
      </c>
      <c r="T68" s="96" t="s">
        <v>94</v>
      </c>
      <c r="U68" s="96" t="s">
        <v>136</v>
      </c>
      <c r="V68" s="96" t="s">
        <v>94</v>
      </c>
      <c r="W68" s="96" t="s">
        <v>97</v>
      </c>
      <c r="X68" s="96" t="s">
        <v>147</v>
      </c>
      <c r="Y68" s="96" t="s">
        <v>110</v>
      </c>
      <c r="Z68" s="96" t="s">
        <v>110</v>
      </c>
      <c r="AA68" s="96" t="s">
        <v>238</v>
      </c>
      <c r="AB68" s="96" t="s">
        <v>239</v>
      </c>
      <c r="AC68" s="96" t="s">
        <v>240</v>
      </c>
      <c r="AD68" s="96" t="s">
        <v>241</v>
      </c>
      <c r="AE68" s="96" t="s">
        <v>242</v>
      </c>
      <c r="AF68" s="96" t="s">
        <v>243</v>
      </c>
      <c r="AG68" s="96" t="s">
        <v>110</v>
      </c>
      <c r="AH68" s="96">
        <v>1606</v>
      </c>
      <c r="AI68" s="96" t="s">
        <v>244</v>
      </c>
      <c r="AJ68" s="96" t="s">
        <v>245</v>
      </c>
      <c r="AK68" s="58" t="s">
        <v>110</v>
      </c>
    </row>
    <row r="69" s="58" customFormat="1" spans="1:37">
      <c r="A69" s="70">
        <v>64</v>
      </c>
      <c r="B69" s="70">
        <f t="shared" si="0"/>
        <v>0</v>
      </c>
      <c r="C69" s="71"/>
      <c r="D69" s="59" t="s">
        <v>92</v>
      </c>
      <c r="E69" s="60">
        <v>12327</v>
      </c>
      <c r="F69" s="10" t="s">
        <v>203</v>
      </c>
      <c r="G69" s="60">
        <v>606</v>
      </c>
      <c r="H69" s="81">
        <v>450</v>
      </c>
      <c r="I69" s="86">
        <v>424</v>
      </c>
      <c r="J69" s="81">
        <v>450</v>
      </c>
      <c r="K69" s="86">
        <v>424</v>
      </c>
      <c r="L69" s="81">
        <v>361</v>
      </c>
      <c r="M69" s="86">
        <v>383</v>
      </c>
      <c r="N69" s="81">
        <v>50564</v>
      </c>
      <c r="O69" s="86">
        <v>38262</v>
      </c>
      <c r="P69" s="89">
        <f t="shared" si="1"/>
        <v>372</v>
      </c>
      <c r="Q69" s="89">
        <f t="shared" si="2"/>
        <v>44413</v>
      </c>
      <c r="R69" s="96" t="s">
        <v>94</v>
      </c>
      <c r="S69" s="96" t="s">
        <v>168</v>
      </c>
      <c r="T69" s="96" t="s">
        <v>94</v>
      </c>
      <c r="U69" s="96" t="s">
        <v>136</v>
      </c>
      <c r="V69" s="96" t="s">
        <v>94</v>
      </c>
      <c r="W69" s="96" t="s">
        <v>97</v>
      </c>
      <c r="X69" s="96" t="s">
        <v>169</v>
      </c>
      <c r="Y69" s="96" t="s">
        <v>110</v>
      </c>
      <c r="Z69" s="96" t="s">
        <v>148</v>
      </c>
      <c r="AA69" s="96" t="s">
        <v>204</v>
      </c>
      <c r="AB69" s="96" t="s">
        <v>205</v>
      </c>
      <c r="AC69" s="96" t="s">
        <v>206</v>
      </c>
      <c r="AD69" s="96" t="s">
        <v>207</v>
      </c>
      <c r="AE69" s="96" t="s">
        <v>208</v>
      </c>
      <c r="AF69" s="96" t="s">
        <v>209</v>
      </c>
      <c r="AG69" s="96" t="s">
        <v>110</v>
      </c>
      <c r="AH69" s="96">
        <v>2329</v>
      </c>
      <c r="AI69" s="96" t="s">
        <v>210</v>
      </c>
      <c r="AJ69" s="96" t="s">
        <v>211</v>
      </c>
      <c r="AK69" s="58" t="s">
        <v>110</v>
      </c>
    </row>
    <row r="70" s="58" customFormat="1" spans="1:37">
      <c r="A70" s="70">
        <v>65</v>
      </c>
      <c r="B70" s="70">
        <f t="shared" ref="B70:B133" si="3">C70</f>
        <v>0</v>
      </c>
      <c r="C70" s="71"/>
      <c r="D70" s="59" t="s">
        <v>92</v>
      </c>
      <c r="E70" s="60">
        <v>14592</v>
      </c>
      <c r="F70" s="10" t="s">
        <v>246</v>
      </c>
      <c r="G70" s="60">
        <v>601</v>
      </c>
      <c r="H70" s="81">
        <v>777</v>
      </c>
      <c r="I70" s="86">
        <v>847</v>
      </c>
      <c r="J70" s="81">
        <v>777</v>
      </c>
      <c r="K70" s="86">
        <v>847</v>
      </c>
      <c r="L70" s="81">
        <v>359</v>
      </c>
      <c r="M70" s="86">
        <v>384</v>
      </c>
      <c r="N70" s="81">
        <v>54909</v>
      </c>
      <c r="O70" s="86">
        <v>36259</v>
      </c>
      <c r="P70" s="89">
        <f t="shared" si="1"/>
        <v>371.5</v>
      </c>
      <c r="Q70" s="89">
        <f t="shared" si="2"/>
        <v>45584</v>
      </c>
      <c r="R70" s="96" t="s">
        <v>94</v>
      </c>
      <c r="S70" s="96" t="s">
        <v>124</v>
      </c>
      <c r="T70" s="96" t="s">
        <v>94</v>
      </c>
      <c r="U70" s="96" t="s">
        <v>136</v>
      </c>
      <c r="V70" s="96" t="s">
        <v>94</v>
      </c>
      <c r="W70" s="96" t="s">
        <v>97</v>
      </c>
      <c r="X70" s="96" t="s">
        <v>98</v>
      </c>
      <c r="Y70" s="96" t="s">
        <v>110</v>
      </c>
      <c r="Z70" s="96" t="s">
        <v>110</v>
      </c>
      <c r="AA70" s="96" t="s">
        <v>247</v>
      </c>
      <c r="AB70" s="96" t="s">
        <v>110</v>
      </c>
      <c r="AC70" s="96" t="s">
        <v>248</v>
      </c>
      <c r="AD70" s="96" t="s">
        <v>249</v>
      </c>
      <c r="AE70" s="96" t="s">
        <v>250</v>
      </c>
      <c r="AF70" s="96" t="s">
        <v>251</v>
      </c>
      <c r="AG70" s="96" t="s">
        <v>110</v>
      </c>
      <c r="AH70" s="96">
        <v>2632</v>
      </c>
      <c r="AI70" s="96" t="s">
        <v>252</v>
      </c>
      <c r="AJ70" s="96" t="s">
        <v>253</v>
      </c>
      <c r="AK70" s="58" t="s">
        <v>110</v>
      </c>
    </row>
    <row r="71" s="58" customFormat="1" spans="1:37">
      <c r="A71" s="70">
        <v>66</v>
      </c>
      <c r="B71" s="70">
        <f t="shared" si="3"/>
        <v>0</v>
      </c>
      <c r="C71" s="71"/>
      <c r="D71" s="59" t="s">
        <v>92</v>
      </c>
      <c r="E71" s="60">
        <v>14263</v>
      </c>
      <c r="F71" s="10" t="s">
        <v>254</v>
      </c>
      <c r="G71" s="60">
        <v>602</v>
      </c>
      <c r="H71" s="81">
        <v>155</v>
      </c>
      <c r="I71" s="86">
        <v>410</v>
      </c>
      <c r="J71" s="81">
        <v>155</v>
      </c>
      <c r="K71" s="86">
        <v>410</v>
      </c>
      <c r="L71" s="81">
        <v>360</v>
      </c>
      <c r="M71" s="86">
        <v>382</v>
      </c>
      <c r="N71" s="81">
        <v>51679</v>
      </c>
      <c r="O71" s="86">
        <v>40043</v>
      </c>
      <c r="P71" s="89">
        <f t="shared" ref="P71:P134" si="4">IFERROR(AVERAGE(L71:M71),"/")</f>
        <v>371</v>
      </c>
      <c r="Q71" s="89">
        <f t="shared" ref="Q71:Q134" si="5">IFERROR(AVERAGE(N71:O71),"/")</f>
        <v>45861</v>
      </c>
      <c r="R71" s="96" t="s">
        <v>94</v>
      </c>
      <c r="S71" s="96" t="s">
        <v>255</v>
      </c>
      <c r="T71" s="96" t="s">
        <v>94</v>
      </c>
      <c r="U71" s="96" t="s">
        <v>136</v>
      </c>
      <c r="V71" s="96" t="s">
        <v>94</v>
      </c>
      <c r="W71" s="96" t="s">
        <v>97</v>
      </c>
      <c r="X71" s="96" t="s">
        <v>169</v>
      </c>
      <c r="Y71" s="96" t="s">
        <v>256</v>
      </c>
      <c r="Z71" s="96" t="s">
        <v>257</v>
      </c>
      <c r="AA71" s="96" t="s">
        <v>258</v>
      </c>
      <c r="AB71" s="96" t="s">
        <v>259</v>
      </c>
      <c r="AC71" s="96" t="s">
        <v>260</v>
      </c>
      <c r="AD71" s="96" t="s">
        <v>261</v>
      </c>
      <c r="AE71" s="96" t="s">
        <v>262</v>
      </c>
      <c r="AF71" s="96" t="s">
        <v>263</v>
      </c>
      <c r="AG71" s="96" t="s">
        <v>264</v>
      </c>
      <c r="AH71" s="96">
        <v>1642</v>
      </c>
      <c r="AI71" s="96" t="s">
        <v>265</v>
      </c>
      <c r="AJ71" s="96" t="s">
        <v>266</v>
      </c>
      <c r="AK71" s="58" t="s">
        <v>110</v>
      </c>
    </row>
    <row r="72" s="58" customFormat="1" spans="1:37">
      <c r="A72" s="70">
        <v>67</v>
      </c>
      <c r="B72" s="70">
        <f t="shared" si="3"/>
        <v>0</v>
      </c>
      <c r="C72" s="71"/>
      <c r="D72" s="59" t="s">
        <v>92</v>
      </c>
      <c r="E72" s="60">
        <v>14066</v>
      </c>
      <c r="F72" s="10" t="s">
        <v>223</v>
      </c>
      <c r="G72" s="60">
        <v>603</v>
      </c>
      <c r="H72" s="81">
        <v>85</v>
      </c>
      <c r="I72" s="86">
        <v>20</v>
      </c>
      <c r="J72" s="81">
        <v>85</v>
      </c>
      <c r="K72" s="86">
        <v>20</v>
      </c>
      <c r="L72" s="81">
        <v>356</v>
      </c>
      <c r="M72" s="86">
        <v>385</v>
      </c>
      <c r="N72" s="81">
        <v>60552</v>
      </c>
      <c r="O72" s="86">
        <v>32379</v>
      </c>
      <c r="P72" s="89">
        <f t="shared" si="4"/>
        <v>370.5</v>
      </c>
      <c r="Q72" s="89">
        <f t="shared" si="5"/>
        <v>46465.5</v>
      </c>
      <c r="R72" s="96" t="s">
        <v>94</v>
      </c>
      <c r="S72" s="96" t="s">
        <v>224</v>
      </c>
      <c r="T72" s="96" t="s">
        <v>94</v>
      </c>
      <c r="U72" s="96" t="s">
        <v>136</v>
      </c>
      <c r="V72" s="96" t="s">
        <v>94</v>
      </c>
      <c r="W72" s="96" t="s">
        <v>97</v>
      </c>
      <c r="X72" s="96" t="s">
        <v>147</v>
      </c>
      <c r="Y72" s="96" t="s">
        <v>225</v>
      </c>
      <c r="Z72" s="96" t="s">
        <v>226</v>
      </c>
      <c r="AA72" s="96" t="s">
        <v>227</v>
      </c>
      <c r="AB72" s="96" t="s">
        <v>228</v>
      </c>
      <c r="AC72" s="96" t="s">
        <v>229</v>
      </c>
      <c r="AD72" s="96" t="s">
        <v>230</v>
      </c>
      <c r="AE72" s="96" t="s">
        <v>231</v>
      </c>
      <c r="AF72" s="96" t="s">
        <v>232</v>
      </c>
      <c r="AG72" s="96" t="s">
        <v>233</v>
      </c>
      <c r="AH72" s="96">
        <v>1464</v>
      </c>
      <c r="AI72" s="96" t="s">
        <v>234</v>
      </c>
      <c r="AJ72" s="96" t="s">
        <v>235</v>
      </c>
      <c r="AK72" s="58" t="s">
        <v>110</v>
      </c>
    </row>
    <row r="73" s="58" customFormat="1" spans="1:37">
      <c r="A73" s="70">
        <v>68</v>
      </c>
      <c r="B73" s="70">
        <f t="shared" si="3"/>
        <v>0</v>
      </c>
      <c r="C73" s="71"/>
      <c r="D73" s="59" t="s">
        <v>92</v>
      </c>
      <c r="E73" s="60">
        <v>12040</v>
      </c>
      <c r="F73" s="10" t="s">
        <v>179</v>
      </c>
      <c r="G73" s="60">
        <v>601</v>
      </c>
      <c r="H73" s="81">
        <v>120</v>
      </c>
      <c r="I73" s="86">
        <v>160</v>
      </c>
      <c r="J73" s="81">
        <v>120</v>
      </c>
      <c r="K73" s="86">
        <v>160</v>
      </c>
      <c r="L73" s="81">
        <v>362</v>
      </c>
      <c r="M73" s="86">
        <v>378</v>
      </c>
      <c r="N73" s="81">
        <v>47867</v>
      </c>
      <c r="O73" s="86">
        <v>48798</v>
      </c>
      <c r="P73" s="89">
        <f t="shared" si="4"/>
        <v>370</v>
      </c>
      <c r="Q73" s="89">
        <f t="shared" si="5"/>
        <v>48332.5</v>
      </c>
      <c r="R73" s="96" t="s">
        <v>94</v>
      </c>
      <c r="S73" s="96" t="s">
        <v>124</v>
      </c>
      <c r="T73" s="96" t="s">
        <v>94</v>
      </c>
      <c r="U73" s="96" t="s">
        <v>136</v>
      </c>
      <c r="V73" s="96" t="s">
        <v>180</v>
      </c>
      <c r="W73" s="96" t="s">
        <v>97</v>
      </c>
      <c r="X73" s="96" t="s">
        <v>98</v>
      </c>
      <c r="Y73" s="96" t="s">
        <v>181</v>
      </c>
      <c r="Z73" s="96" t="s">
        <v>182</v>
      </c>
      <c r="AA73" s="96" t="s">
        <v>183</v>
      </c>
      <c r="AB73" s="96" t="s">
        <v>184</v>
      </c>
      <c r="AC73" s="96" t="s">
        <v>185</v>
      </c>
      <c r="AD73" s="96" t="s">
        <v>186</v>
      </c>
      <c r="AE73" s="96" t="s">
        <v>187</v>
      </c>
      <c r="AF73" s="96" t="s">
        <v>188</v>
      </c>
      <c r="AG73" s="96" t="s">
        <v>110</v>
      </c>
      <c r="AH73" s="96">
        <v>2377</v>
      </c>
      <c r="AI73" s="96" t="s">
        <v>189</v>
      </c>
      <c r="AJ73" s="96" t="s">
        <v>190</v>
      </c>
      <c r="AK73" s="58" t="s">
        <v>110</v>
      </c>
    </row>
    <row r="74" s="58" customFormat="1" spans="1:37">
      <c r="A74" s="70">
        <v>69</v>
      </c>
      <c r="B74" s="70">
        <f t="shared" si="3"/>
        <v>0</v>
      </c>
      <c r="C74" s="71"/>
      <c r="D74" s="59" t="s">
        <v>92</v>
      </c>
      <c r="E74" s="60">
        <v>14263</v>
      </c>
      <c r="F74" s="10" t="s">
        <v>254</v>
      </c>
      <c r="G74" s="60">
        <v>603</v>
      </c>
      <c r="H74" s="81">
        <v>785</v>
      </c>
      <c r="I74" s="86">
        <v>750</v>
      </c>
      <c r="J74" s="81">
        <v>786</v>
      </c>
      <c r="K74" s="86">
        <v>751</v>
      </c>
      <c r="L74" s="81">
        <v>354</v>
      </c>
      <c r="M74" s="86">
        <v>384</v>
      </c>
      <c r="N74" s="81">
        <v>64313</v>
      </c>
      <c r="O74" s="86">
        <v>35272</v>
      </c>
      <c r="P74" s="89">
        <f t="shared" si="4"/>
        <v>369</v>
      </c>
      <c r="Q74" s="89">
        <f t="shared" si="5"/>
        <v>49792.5</v>
      </c>
      <c r="R74" s="96" t="s">
        <v>94</v>
      </c>
      <c r="S74" s="96" t="s">
        <v>255</v>
      </c>
      <c r="T74" s="96" t="s">
        <v>94</v>
      </c>
      <c r="U74" s="96" t="s">
        <v>136</v>
      </c>
      <c r="V74" s="96" t="s">
        <v>94</v>
      </c>
      <c r="W74" s="96" t="s">
        <v>97</v>
      </c>
      <c r="X74" s="96" t="s">
        <v>169</v>
      </c>
      <c r="Y74" s="96" t="s">
        <v>256</v>
      </c>
      <c r="Z74" s="96" t="s">
        <v>257</v>
      </c>
      <c r="AA74" s="96" t="s">
        <v>258</v>
      </c>
      <c r="AB74" s="96" t="s">
        <v>259</v>
      </c>
      <c r="AC74" s="96" t="s">
        <v>260</v>
      </c>
      <c r="AD74" s="96" t="s">
        <v>261</v>
      </c>
      <c r="AE74" s="96" t="s">
        <v>262</v>
      </c>
      <c r="AF74" s="96" t="s">
        <v>263</v>
      </c>
      <c r="AG74" s="96" t="s">
        <v>264</v>
      </c>
      <c r="AH74" s="96">
        <v>1642</v>
      </c>
      <c r="AI74" s="96" t="s">
        <v>265</v>
      </c>
      <c r="AJ74" s="96" t="s">
        <v>266</v>
      </c>
      <c r="AK74" s="58" t="s">
        <v>110</v>
      </c>
    </row>
    <row r="75" s="58" customFormat="1" spans="1:37">
      <c r="A75" s="70">
        <v>70</v>
      </c>
      <c r="B75" s="70">
        <f t="shared" si="3"/>
        <v>0</v>
      </c>
      <c r="C75" s="71"/>
      <c r="D75" s="59" t="s">
        <v>92</v>
      </c>
      <c r="E75" s="60">
        <v>12959</v>
      </c>
      <c r="F75" s="10" t="s">
        <v>267</v>
      </c>
      <c r="G75" s="60">
        <v>601</v>
      </c>
      <c r="H75" s="81">
        <v>1677</v>
      </c>
      <c r="I75" s="86">
        <v>1792</v>
      </c>
      <c r="J75" s="81">
        <v>1677</v>
      </c>
      <c r="K75" s="86">
        <v>1792</v>
      </c>
      <c r="L75" s="81">
        <v>358</v>
      </c>
      <c r="M75" s="86">
        <v>380</v>
      </c>
      <c r="N75" s="81">
        <v>56543</v>
      </c>
      <c r="O75" s="86">
        <v>45126</v>
      </c>
      <c r="P75" s="89">
        <f t="shared" si="4"/>
        <v>369</v>
      </c>
      <c r="Q75" s="89">
        <f t="shared" si="5"/>
        <v>50834.5</v>
      </c>
      <c r="R75" s="96" t="s">
        <v>94</v>
      </c>
      <c r="S75" s="96" t="s">
        <v>124</v>
      </c>
      <c r="T75" s="96" t="s">
        <v>94</v>
      </c>
      <c r="U75" s="96" t="s">
        <v>136</v>
      </c>
      <c r="V75" s="96" t="s">
        <v>94</v>
      </c>
      <c r="W75" s="96" t="s">
        <v>97</v>
      </c>
      <c r="X75" s="96" t="s">
        <v>98</v>
      </c>
      <c r="Y75" s="96" t="s">
        <v>268</v>
      </c>
      <c r="Z75" s="96" t="s">
        <v>257</v>
      </c>
      <c r="AA75" s="96" t="s">
        <v>269</v>
      </c>
      <c r="AB75" s="96" t="s">
        <v>270</v>
      </c>
      <c r="AC75" s="96" t="s">
        <v>271</v>
      </c>
      <c r="AD75" s="96" t="s">
        <v>272</v>
      </c>
      <c r="AE75" s="96" t="s">
        <v>273</v>
      </c>
      <c r="AF75" s="96" t="s">
        <v>274</v>
      </c>
      <c r="AG75" s="96" t="s">
        <v>275</v>
      </c>
      <c r="AH75" s="96">
        <v>1480</v>
      </c>
      <c r="AI75" s="96" t="s">
        <v>276</v>
      </c>
      <c r="AJ75" s="96" t="s">
        <v>277</v>
      </c>
      <c r="AK75" s="58" t="s">
        <v>110</v>
      </c>
    </row>
    <row r="76" s="58" customFormat="1" spans="1:37">
      <c r="A76" s="70">
        <v>71</v>
      </c>
      <c r="B76" s="70">
        <f t="shared" si="3"/>
        <v>0</v>
      </c>
      <c r="C76" s="71"/>
      <c r="D76" s="59" t="s">
        <v>92</v>
      </c>
      <c r="E76" s="60">
        <v>10862</v>
      </c>
      <c r="F76" s="10" t="s">
        <v>278</v>
      </c>
      <c r="G76" s="60">
        <v>605</v>
      </c>
      <c r="H76" s="81">
        <v>67</v>
      </c>
      <c r="I76" s="86" t="s">
        <v>110</v>
      </c>
      <c r="J76" s="81">
        <v>67</v>
      </c>
      <c r="K76" s="86" t="s">
        <v>110</v>
      </c>
      <c r="L76" s="81">
        <v>360</v>
      </c>
      <c r="M76" s="86" t="s">
        <v>110</v>
      </c>
      <c r="N76" s="81">
        <v>52501</v>
      </c>
      <c r="O76" s="86" t="s">
        <v>110</v>
      </c>
      <c r="P76" s="89">
        <f t="shared" si="4"/>
        <v>360</v>
      </c>
      <c r="Q76" s="89">
        <f t="shared" si="5"/>
        <v>52501</v>
      </c>
      <c r="R76" s="96" t="s">
        <v>94</v>
      </c>
      <c r="S76" s="96" t="s">
        <v>124</v>
      </c>
      <c r="T76" s="96" t="s">
        <v>94</v>
      </c>
      <c r="U76" s="96" t="s">
        <v>136</v>
      </c>
      <c r="V76" s="96" t="s">
        <v>94</v>
      </c>
      <c r="W76" s="96" t="s">
        <v>97</v>
      </c>
      <c r="X76" s="96" t="s">
        <v>98</v>
      </c>
      <c r="Y76" s="96" t="s">
        <v>192</v>
      </c>
      <c r="Z76" s="96" t="s">
        <v>193</v>
      </c>
      <c r="AA76" s="96" t="s">
        <v>279</v>
      </c>
      <c r="AB76" s="96" t="s">
        <v>280</v>
      </c>
      <c r="AC76" s="96" t="s">
        <v>281</v>
      </c>
      <c r="AD76" s="96" t="s">
        <v>282</v>
      </c>
      <c r="AE76" s="96" t="s">
        <v>283</v>
      </c>
      <c r="AF76" s="96" t="s">
        <v>284</v>
      </c>
      <c r="AG76" s="96" t="s">
        <v>285</v>
      </c>
      <c r="AH76" s="96">
        <v>1410</v>
      </c>
      <c r="AI76" s="96" t="s">
        <v>286</v>
      </c>
      <c r="AJ76" s="96" t="s">
        <v>287</v>
      </c>
      <c r="AK76" s="58" t="s">
        <v>110</v>
      </c>
    </row>
    <row r="77" s="58" customFormat="1" spans="1:37">
      <c r="A77" s="70">
        <v>72</v>
      </c>
      <c r="B77" s="70">
        <f t="shared" si="3"/>
        <v>0</v>
      </c>
      <c r="C77" s="71"/>
      <c r="D77" s="59" t="s">
        <v>92</v>
      </c>
      <c r="E77" s="60">
        <v>13711</v>
      </c>
      <c r="F77" s="10" t="s">
        <v>236</v>
      </c>
      <c r="G77" s="60">
        <v>604</v>
      </c>
      <c r="H77" s="81">
        <v>39</v>
      </c>
      <c r="I77" s="86">
        <v>45</v>
      </c>
      <c r="J77" s="81">
        <v>39</v>
      </c>
      <c r="K77" s="86">
        <v>45</v>
      </c>
      <c r="L77" s="81">
        <v>355</v>
      </c>
      <c r="M77" s="86">
        <v>381</v>
      </c>
      <c r="N77" s="81">
        <v>63163</v>
      </c>
      <c r="O77" s="86">
        <v>41946</v>
      </c>
      <c r="P77" s="89">
        <f t="shared" si="4"/>
        <v>368</v>
      </c>
      <c r="Q77" s="89">
        <f t="shared" si="5"/>
        <v>52554.5</v>
      </c>
      <c r="R77" s="96" t="s">
        <v>94</v>
      </c>
      <c r="S77" s="96" t="s">
        <v>237</v>
      </c>
      <c r="T77" s="96" t="s">
        <v>94</v>
      </c>
      <c r="U77" s="96" t="s">
        <v>136</v>
      </c>
      <c r="V77" s="96" t="s">
        <v>94</v>
      </c>
      <c r="W77" s="96" t="s">
        <v>97</v>
      </c>
      <c r="X77" s="96" t="s">
        <v>147</v>
      </c>
      <c r="Y77" s="96" t="s">
        <v>110</v>
      </c>
      <c r="Z77" s="96" t="s">
        <v>110</v>
      </c>
      <c r="AA77" s="96" t="s">
        <v>238</v>
      </c>
      <c r="AB77" s="96" t="s">
        <v>239</v>
      </c>
      <c r="AC77" s="96" t="s">
        <v>240</v>
      </c>
      <c r="AD77" s="96" t="s">
        <v>241</v>
      </c>
      <c r="AE77" s="96" t="s">
        <v>242</v>
      </c>
      <c r="AF77" s="96" t="s">
        <v>243</v>
      </c>
      <c r="AG77" s="96" t="s">
        <v>110</v>
      </c>
      <c r="AH77" s="96">
        <v>1606</v>
      </c>
      <c r="AI77" s="96" t="s">
        <v>244</v>
      </c>
      <c r="AJ77" s="96" t="s">
        <v>245</v>
      </c>
      <c r="AK77" s="58" t="s">
        <v>110</v>
      </c>
    </row>
    <row r="78" s="58" customFormat="1" spans="1:37">
      <c r="A78" s="70">
        <v>73</v>
      </c>
      <c r="B78" s="70">
        <f t="shared" si="3"/>
        <v>0</v>
      </c>
      <c r="C78" s="71"/>
      <c r="D78" s="59" t="s">
        <v>92</v>
      </c>
      <c r="E78" s="60">
        <v>13713</v>
      </c>
      <c r="F78" s="10" t="s">
        <v>288</v>
      </c>
      <c r="G78" s="60">
        <v>601</v>
      </c>
      <c r="H78" s="81">
        <v>690</v>
      </c>
      <c r="I78" s="86">
        <v>772</v>
      </c>
      <c r="J78" s="81">
        <v>690</v>
      </c>
      <c r="K78" s="86">
        <v>773</v>
      </c>
      <c r="L78" s="81">
        <v>358</v>
      </c>
      <c r="M78" s="86">
        <v>377</v>
      </c>
      <c r="N78" s="81">
        <v>56773</v>
      </c>
      <c r="O78" s="86">
        <v>50061</v>
      </c>
      <c r="P78" s="89">
        <f t="shared" si="4"/>
        <v>367.5</v>
      </c>
      <c r="Q78" s="89">
        <f t="shared" si="5"/>
        <v>53417</v>
      </c>
      <c r="R78" s="96" t="s">
        <v>94</v>
      </c>
      <c r="S78" s="96" t="s">
        <v>289</v>
      </c>
      <c r="T78" s="96" t="s">
        <v>94</v>
      </c>
      <c r="U78" s="96" t="s">
        <v>136</v>
      </c>
      <c r="V78" s="96" t="s">
        <v>94</v>
      </c>
      <c r="W78" s="96" t="s">
        <v>97</v>
      </c>
      <c r="X78" s="96" t="s">
        <v>290</v>
      </c>
      <c r="Y78" s="96" t="s">
        <v>225</v>
      </c>
      <c r="Z78" s="96" t="s">
        <v>226</v>
      </c>
      <c r="AA78" s="96" t="s">
        <v>291</v>
      </c>
      <c r="AB78" s="96" t="s">
        <v>292</v>
      </c>
      <c r="AC78" s="96" t="s">
        <v>293</v>
      </c>
      <c r="AD78" s="96" t="s">
        <v>294</v>
      </c>
      <c r="AE78" s="96" t="s">
        <v>295</v>
      </c>
      <c r="AF78" s="96" t="s">
        <v>296</v>
      </c>
      <c r="AG78" s="96" t="s">
        <v>297</v>
      </c>
      <c r="AH78" s="96">
        <v>2012</v>
      </c>
      <c r="AI78" s="96" t="s">
        <v>298</v>
      </c>
      <c r="AJ78" s="96" t="s">
        <v>299</v>
      </c>
      <c r="AK78" s="58" t="s">
        <v>110</v>
      </c>
    </row>
    <row r="79" s="58" customFormat="1" spans="1:37">
      <c r="A79" s="70">
        <v>74</v>
      </c>
      <c r="B79" s="70">
        <f t="shared" si="3"/>
        <v>0</v>
      </c>
      <c r="C79" s="71"/>
      <c r="D79" s="59" t="s">
        <v>92</v>
      </c>
      <c r="E79" s="60">
        <v>12743</v>
      </c>
      <c r="F79" s="10" t="s">
        <v>300</v>
      </c>
      <c r="G79" s="60">
        <v>606</v>
      </c>
      <c r="H79" s="81">
        <v>184</v>
      </c>
      <c r="I79" s="86">
        <v>56</v>
      </c>
      <c r="J79" s="81">
        <v>184</v>
      </c>
      <c r="K79" s="86">
        <v>56</v>
      </c>
      <c r="L79" s="81">
        <v>364</v>
      </c>
      <c r="M79" s="86">
        <v>372</v>
      </c>
      <c r="N79" s="81">
        <v>45178</v>
      </c>
      <c r="O79" s="86">
        <v>63003</v>
      </c>
      <c r="P79" s="89">
        <f t="shared" si="4"/>
        <v>368</v>
      </c>
      <c r="Q79" s="89">
        <f t="shared" si="5"/>
        <v>54090.5</v>
      </c>
      <c r="R79" s="96" t="s">
        <v>94</v>
      </c>
      <c r="S79" s="96" t="s">
        <v>124</v>
      </c>
      <c r="T79" s="96" t="s">
        <v>94</v>
      </c>
      <c r="U79" s="96" t="s">
        <v>136</v>
      </c>
      <c r="V79" s="96" t="s">
        <v>94</v>
      </c>
      <c r="W79" s="96" t="s">
        <v>97</v>
      </c>
      <c r="X79" s="96" t="s">
        <v>98</v>
      </c>
      <c r="Y79" s="96" t="s">
        <v>256</v>
      </c>
      <c r="Z79" s="96" t="s">
        <v>148</v>
      </c>
      <c r="AA79" s="96" t="s">
        <v>301</v>
      </c>
      <c r="AB79" s="96" t="s">
        <v>302</v>
      </c>
      <c r="AC79" s="96" t="s">
        <v>303</v>
      </c>
      <c r="AD79" s="96" t="s">
        <v>304</v>
      </c>
      <c r="AE79" s="96" t="s">
        <v>305</v>
      </c>
      <c r="AF79" s="96" t="s">
        <v>306</v>
      </c>
      <c r="AG79" s="96" t="s">
        <v>307</v>
      </c>
      <c r="AH79" s="96">
        <v>1842</v>
      </c>
      <c r="AI79" s="96" t="s">
        <v>308</v>
      </c>
      <c r="AJ79" s="96" t="s">
        <v>309</v>
      </c>
      <c r="AK79" s="58" t="s">
        <v>110</v>
      </c>
    </row>
    <row r="80" s="58" customFormat="1" spans="1:37">
      <c r="A80" s="70">
        <v>75</v>
      </c>
      <c r="B80" s="70">
        <f t="shared" si="3"/>
        <v>0</v>
      </c>
      <c r="C80" s="71"/>
      <c r="D80" s="59" t="s">
        <v>92</v>
      </c>
      <c r="E80" s="60">
        <v>12743</v>
      </c>
      <c r="F80" s="10" t="s">
        <v>300</v>
      </c>
      <c r="G80" s="60">
        <v>605</v>
      </c>
      <c r="H80" s="81">
        <v>275</v>
      </c>
      <c r="I80" s="86">
        <v>56</v>
      </c>
      <c r="J80" s="81">
        <v>275</v>
      </c>
      <c r="K80" s="86">
        <v>56</v>
      </c>
      <c r="L80" s="81">
        <v>360</v>
      </c>
      <c r="M80" s="86">
        <v>373</v>
      </c>
      <c r="N80" s="81">
        <v>51455</v>
      </c>
      <c r="O80" s="86">
        <v>60241</v>
      </c>
      <c r="P80" s="89">
        <f t="shared" si="4"/>
        <v>366.5</v>
      </c>
      <c r="Q80" s="89">
        <f t="shared" si="5"/>
        <v>55848</v>
      </c>
      <c r="R80" s="96" t="s">
        <v>94</v>
      </c>
      <c r="S80" s="96" t="s">
        <v>124</v>
      </c>
      <c r="T80" s="96" t="s">
        <v>94</v>
      </c>
      <c r="U80" s="96" t="s">
        <v>136</v>
      </c>
      <c r="V80" s="96" t="s">
        <v>94</v>
      </c>
      <c r="W80" s="96" t="s">
        <v>97</v>
      </c>
      <c r="X80" s="96" t="s">
        <v>98</v>
      </c>
      <c r="Y80" s="96" t="s">
        <v>256</v>
      </c>
      <c r="Z80" s="96" t="s">
        <v>148</v>
      </c>
      <c r="AA80" s="96" t="s">
        <v>301</v>
      </c>
      <c r="AB80" s="96" t="s">
        <v>302</v>
      </c>
      <c r="AC80" s="96" t="s">
        <v>303</v>
      </c>
      <c r="AD80" s="96" t="s">
        <v>304</v>
      </c>
      <c r="AE80" s="96" t="s">
        <v>305</v>
      </c>
      <c r="AF80" s="96" t="s">
        <v>306</v>
      </c>
      <c r="AG80" s="96" t="s">
        <v>307</v>
      </c>
      <c r="AH80" s="96">
        <v>1842</v>
      </c>
      <c r="AI80" s="96" t="s">
        <v>308</v>
      </c>
      <c r="AJ80" s="96" t="s">
        <v>309</v>
      </c>
      <c r="AK80" s="58" t="s">
        <v>110</v>
      </c>
    </row>
    <row r="81" s="58" customFormat="1" spans="1:37">
      <c r="A81" s="70">
        <v>76</v>
      </c>
      <c r="B81" s="70">
        <f t="shared" si="3"/>
        <v>0</v>
      </c>
      <c r="C81" s="71"/>
      <c r="D81" s="59" t="s">
        <v>92</v>
      </c>
      <c r="E81" s="60">
        <v>13711</v>
      </c>
      <c r="F81" s="10" t="s">
        <v>236</v>
      </c>
      <c r="G81" s="60">
        <v>605</v>
      </c>
      <c r="H81" s="81">
        <v>50</v>
      </c>
      <c r="I81" s="86">
        <v>50</v>
      </c>
      <c r="J81" s="81">
        <v>50</v>
      </c>
      <c r="K81" s="86">
        <v>50</v>
      </c>
      <c r="L81" s="81">
        <v>353</v>
      </c>
      <c r="M81" s="86">
        <v>380</v>
      </c>
      <c r="N81" s="81">
        <v>67114</v>
      </c>
      <c r="O81" s="86">
        <v>44650</v>
      </c>
      <c r="P81" s="89">
        <f t="shared" si="4"/>
        <v>366.5</v>
      </c>
      <c r="Q81" s="89">
        <f t="shared" si="5"/>
        <v>55882</v>
      </c>
      <c r="R81" s="96" t="s">
        <v>94</v>
      </c>
      <c r="S81" s="96" t="s">
        <v>237</v>
      </c>
      <c r="T81" s="96" t="s">
        <v>94</v>
      </c>
      <c r="U81" s="96" t="s">
        <v>136</v>
      </c>
      <c r="V81" s="96" t="s">
        <v>94</v>
      </c>
      <c r="W81" s="96" t="s">
        <v>97</v>
      </c>
      <c r="X81" s="96" t="s">
        <v>147</v>
      </c>
      <c r="Y81" s="96" t="s">
        <v>110</v>
      </c>
      <c r="Z81" s="96" t="s">
        <v>110</v>
      </c>
      <c r="AA81" s="96" t="s">
        <v>238</v>
      </c>
      <c r="AB81" s="96" t="s">
        <v>239</v>
      </c>
      <c r="AC81" s="96" t="s">
        <v>240</v>
      </c>
      <c r="AD81" s="96" t="s">
        <v>241</v>
      </c>
      <c r="AE81" s="96" t="s">
        <v>242</v>
      </c>
      <c r="AF81" s="96" t="s">
        <v>243</v>
      </c>
      <c r="AG81" s="96" t="s">
        <v>110</v>
      </c>
      <c r="AH81" s="96">
        <v>1606</v>
      </c>
      <c r="AI81" s="96" t="s">
        <v>244</v>
      </c>
      <c r="AJ81" s="96" t="s">
        <v>245</v>
      </c>
      <c r="AK81" s="58" t="s">
        <v>110</v>
      </c>
    </row>
    <row r="82" s="58" customFormat="1" spans="1:37">
      <c r="A82" s="70">
        <v>77</v>
      </c>
      <c r="B82" s="70">
        <f t="shared" si="3"/>
        <v>0</v>
      </c>
      <c r="C82" s="71"/>
      <c r="D82" s="59" t="s">
        <v>92</v>
      </c>
      <c r="E82" s="60">
        <v>13943</v>
      </c>
      <c r="F82" s="10" t="s">
        <v>212</v>
      </c>
      <c r="G82" s="60">
        <v>604</v>
      </c>
      <c r="H82" s="81">
        <v>35</v>
      </c>
      <c r="I82" s="86">
        <v>27</v>
      </c>
      <c r="J82" s="81">
        <v>35</v>
      </c>
      <c r="K82" s="86">
        <v>27</v>
      </c>
      <c r="L82" s="81">
        <v>361</v>
      </c>
      <c r="M82" s="86">
        <v>372</v>
      </c>
      <c r="N82" s="81">
        <v>50024</v>
      </c>
      <c r="O82" s="86">
        <v>63003</v>
      </c>
      <c r="P82" s="89">
        <f t="shared" si="4"/>
        <v>366.5</v>
      </c>
      <c r="Q82" s="89">
        <f t="shared" si="5"/>
        <v>56513.5</v>
      </c>
      <c r="R82" s="96" t="s">
        <v>94</v>
      </c>
      <c r="S82" s="96" t="s">
        <v>124</v>
      </c>
      <c r="T82" s="96" t="s">
        <v>94</v>
      </c>
      <c r="U82" s="96" t="s">
        <v>136</v>
      </c>
      <c r="V82" s="96" t="s">
        <v>94</v>
      </c>
      <c r="W82" s="96" t="s">
        <v>97</v>
      </c>
      <c r="X82" s="96" t="s">
        <v>98</v>
      </c>
      <c r="Y82" s="96" t="s">
        <v>213</v>
      </c>
      <c r="Z82" s="96" t="s">
        <v>193</v>
      </c>
      <c r="AA82" s="96" t="s">
        <v>214</v>
      </c>
      <c r="AB82" s="96" t="s">
        <v>215</v>
      </c>
      <c r="AC82" s="96" t="s">
        <v>216</v>
      </c>
      <c r="AD82" s="96" t="s">
        <v>217</v>
      </c>
      <c r="AE82" s="96" t="s">
        <v>218</v>
      </c>
      <c r="AF82" s="96" t="s">
        <v>219</v>
      </c>
      <c r="AG82" s="96" t="s">
        <v>220</v>
      </c>
      <c r="AH82" s="96">
        <v>1770</v>
      </c>
      <c r="AI82" s="96" t="s">
        <v>221</v>
      </c>
      <c r="AJ82" s="96" t="s">
        <v>222</v>
      </c>
      <c r="AK82" s="58" t="s">
        <v>110</v>
      </c>
    </row>
    <row r="83" s="58" customFormat="1" spans="1:37">
      <c r="A83" s="70">
        <v>78</v>
      </c>
      <c r="B83" s="70">
        <f t="shared" si="3"/>
        <v>0</v>
      </c>
      <c r="C83" s="71"/>
      <c r="D83" s="59" t="s">
        <v>92</v>
      </c>
      <c r="E83" s="60">
        <v>14065</v>
      </c>
      <c r="F83" s="10" t="s">
        <v>310</v>
      </c>
      <c r="G83" s="60">
        <v>603</v>
      </c>
      <c r="H83" s="81">
        <v>40</v>
      </c>
      <c r="I83" s="86">
        <v>50</v>
      </c>
      <c r="J83" s="81">
        <v>40</v>
      </c>
      <c r="K83" s="86">
        <v>50</v>
      </c>
      <c r="L83" s="81">
        <v>356</v>
      </c>
      <c r="M83" s="86">
        <v>374</v>
      </c>
      <c r="N83" s="81">
        <v>59832</v>
      </c>
      <c r="O83" s="86">
        <v>59720</v>
      </c>
      <c r="P83" s="89">
        <f t="shared" si="4"/>
        <v>365</v>
      </c>
      <c r="Q83" s="89">
        <f t="shared" si="5"/>
        <v>59776</v>
      </c>
      <c r="R83" s="96" t="s">
        <v>94</v>
      </c>
      <c r="S83" s="96" t="s">
        <v>124</v>
      </c>
      <c r="T83" s="96" t="s">
        <v>94</v>
      </c>
      <c r="U83" s="96" t="s">
        <v>136</v>
      </c>
      <c r="V83" s="96" t="s">
        <v>94</v>
      </c>
      <c r="W83" s="96" t="s">
        <v>97</v>
      </c>
      <c r="X83" s="96" t="s">
        <v>98</v>
      </c>
      <c r="Y83" s="96" t="s">
        <v>225</v>
      </c>
      <c r="Z83" s="96" t="s">
        <v>148</v>
      </c>
      <c r="AA83" s="96" t="s">
        <v>311</v>
      </c>
      <c r="AB83" s="96" t="s">
        <v>312</v>
      </c>
      <c r="AC83" s="96" t="s">
        <v>313</v>
      </c>
      <c r="AD83" s="96" t="s">
        <v>314</v>
      </c>
      <c r="AE83" s="96" t="s">
        <v>315</v>
      </c>
      <c r="AF83" s="96" t="s">
        <v>316</v>
      </c>
      <c r="AG83" s="96" t="s">
        <v>110</v>
      </c>
      <c r="AH83" s="96">
        <v>2004</v>
      </c>
      <c r="AI83" s="96" t="s">
        <v>317</v>
      </c>
      <c r="AJ83" s="96" t="s">
        <v>318</v>
      </c>
      <c r="AK83" s="58" t="s">
        <v>110</v>
      </c>
    </row>
    <row r="84" s="58" customFormat="1" spans="1:37">
      <c r="A84" s="70">
        <v>79</v>
      </c>
      <c r="B84" s="70">
        <f t="shared" si="3"/>
        <v>0</v>
      </c>
      <c r="C84" s="71"/>
      <c r="D84" s="59" t="s">
        <v>92</v>
      </c>
      <c r="E84" s="60">
        <v>14263</v>
      </c>
      <c r="F84" s="10" t="s">
        <v>254</v>
      </c>
      <c r="G84" s="60">
        <v>607</v>
      </c>
      <c r="H84" s="81">
        <v>255</v>
      </c>
      <c r="I84" s="86">
        <v>652</v>
      </c>
      <c r="J84" s="81">
        <v>255</v>
      </c>
      <c r="K84" s="86">
        <v>652</v>
      </c>
      <c r="L84" s="81">
        <v>348</v>
      </c>
      <c r="M84" s="86">
        <v>380</v>
      </c>
      <c r="N84" s="81">
        <v>76837</v>
      </c>
      <c r="O84" s="86">
        <v>45227</v>
      </c>
      <c r="P84" s="89">
        <f t="shared" si="4"/>
        <v>364</v>
      </c>
      <c r="Q84" s="89">
        <f t="shared" si="5"/>
        <v>61032</v>
      </c>
      <c r="R84" s="96" t="s">
        <v>94</v>
      </c>
      <c r="S84" s="96" t="s">
        <v>255</v>
      </c>
      <c r="T84" s="96" t="s">
        <v>94</v>
      </c>
      <c r="U84" s="96" t="s">
        <v>136</v>
      </c>
      <c r="V84" s="96" t="s">
        <v>94</v>
      </c>
      <c r="W84" s="96" t="s">
        <v>97</v>
      </c>
      <c r="X84" s="96" t="s">
        <v>169</v>
      </c>
      <c r="Y84" s="96" t="s">
        <v>256</v>
      </c>
      <c r="Z84" s="96" t="s">
        <v>257</v>
      </c>
      <c r="AA84" s="96" t="s">
        <v>258</v>
      </c>
      <c r="AB84" s="96" t="s">
        <v>259</v>
      </c>
      <c r="AC84" s="96" t="s">
        <v>260</v>
      </c>
      <c r="AD84" s="96" t="s">
        <v>261</v>
      </c>
      <c r="AE84" s="96" t="s">
        <v>262</v>
      </c>
      <c r="AF84" s="96" t="s">
        <v>263</v>
      </c>
      <c r="AG84" s="96" t="s">
        <v>264</v>
      </c>
      <c r="AH84" s="96">
        <v>1642</v>
      </c>
      <c r="AI84" s="96" t="s">
        <v>265</v>
      </c>
      <c r="AJ84" s="96" t="s">
        <v>266</v>
      </c>
      <c r="AK84" s="58" t="s">
        <v>110</v>
      </c>
    </row>
    <row r="85" s="58" customFormat="1" spans="1:37">
      <c r="A85" s="70">
        <v>80</v>
      </c>
      <c r="B85" s="70">
        <f t="shared" si="3"/>
        <v>0</v>
      </c>
      <c r="C85" s="71"/>
      <c r="D85" s="59" t="s">
        <v>92</v>
      </c>
      <c r="E85" s="60">
        <v>12040</v>
      </c>
      <c r="F85" s="10" t="s">
        <v>179</v>
      </c>
      <c r="G85" s="60">
        <v>606</v>
      </c>
      <c r="H85" s="81">
        <v>30</v>
      </c>
      <c r="I85" s="86" t="s">
        <v>110</v>
      </c>
      <c r="J85" s="81">
        <v>30</v>
      </c>
      <c r="K85" s="86" t="s">
        <v>110</v>
      </c>
      <c r="L85" s="81">
        <v>356</v>
      </c>
      <c r="M85" s="86" t="s">
        <v>110</v>
      </c>
      <c r="N85" s="81">
        <v>61124</v>
      </c>
      <c r="O85" s="86" t="s">
        <v>110</v>
      </c>
      <c r="P85" s="89">
        <f t="shared" si="4"/>
        <v>356</v>
      </c>
      <c r="Q85" s="89">
        <f t="shared" si="5"/>
        <v>61124</v>
      </c>
      <c r="R85" s="96" t="s">
        <v>94</v>
      </c>
      <c r="S85" s="96" t="s">
        <v>124</v>
      </c>
      <c r="T85" s="96" t="s">
        <v>94</v>
      </c>
      <c r="U85" s="96" t="s">
        <v>136</v>
      </c>
      <c r="V85" s="96" t="s">
        <v>180</v>
      </c>
      <c r="W85" s="96" t="s">
        <v>97</v>
      </c>
      <c r="X85" s="96" t="s">
        <v>98</v>
      </c>
      <c r="Y85" s="96" t="s">
        <v>181</v>
      </c>
      <c r="Z85" s="96" t="s">
        <v>182</v>
      </c>
      <c r="AA85" s="96" t="s">
        <v>183</v>
      </c>
      <c r="AB85" s="96" t="s">
        <v>184</v>
      </c>
      <c r="AC85" s="96" t="s">
        <v>185</v>
      </c>
      <c r="AD85" s="96" t="s">
        <v>186</v>
      </c>
      <c r="AE85" s="96" t="s">
        <v>187</v>
      </c>
      <c r="AF85" s="96" t="s">
        <v>188</v>
      </c>
      <c r="AG85" s="96" t="s">
        <v>110</v>
      </c>
      <c r="AH85" s="96">
        <v>2377</v>
      </c>
      <c r="AI85" s="96" t="s">
        <v>189</v>
      </c>
      <c r="AJ85" s="96" t="s">
        <v>190</v>
      </c>
      <c r="AK85" s="58" t="s">
        <v>110</v>
      </c>
    </row>
    <row r="86" s="58" customFormat="1" spans="1:37">
      <c r="A86" s="70">
        <v>81</v>
      </c>
      <c r="B86" s="70">
        <f t="shared" si="3"/>
        <v>0</v>
      </c>
      <c r="C86" s="71"/>
      <c r="D86" s="59" t="s">
        <v>92</v>
      </c>
      <c r="E86" s="60">
        <v>14065</v>
      </c>
      <c r="F86" s="10" t="s">
        <v>310</v>
      </c>
      <c r="G86" s="60">
        <v>604</v>
      </c>
      <c r="H86" s="81">
        <v>160</v>
      </c>
      <c r="I86" s="86">
        <v>200</v>
      </c>
      <c r="J86" s="81">
        <v>160</v>
      </c>
      <c r="K86" s="86">
        <v>200</v>
      </c>
      <c r="L86" s="81">
        <v>354</v>
      </c>
      <c r="M86" s="86">
        <v>374</v>
      </c>
      <c r="N86" s="81">
        <v>64652</v>
      </c>
      <c r="O86" s="86">
        <v>58286</v>
      </c>
      <c r="P86" s="89">
        <f t="shared" si="4"/>
        <v>364</v>
      </c>
      <c r="Q86" s="89">
        <f t="shared" si="5"/>
        <v>61469</v>
      </c>
      <c r="R86" s="96" t="s">
        <v>94</v>
      </c>
      <c r="S86" s="96" t="s">
        <v>124</v>
      </c>
      <c r="T86" s="96" t="s">
        <v>94</v>
      </c>
      <c r="U86" s="96" t="s">
        <v>136</v>
      </c>
      <c r="V86" s="96" t="s">
        <v>94</v>
      </c>
      <c r="W86" s="96" t="s">
        <v>97</v>
      </c>
      <c r="X86" s="96" t="s">
        <v>98</v>
      </c>
      <c r="Y86" s="96" t="s">
        <v>225</v>
      </c>
      <c r="Z86" s="96" t="s">
        <v>148</v>
      </c>
      <c r="AA86" s="96" t="s">
        <v>311</v>
      </c>
      <c r="AB86" s="96" t="s">
        <v>312</v>
      </c>
      <c r="AC86" s="96" t="s">
        <v>313</v>
      </c>
      <c r="AD86" s="96" t="s">
        <v>314</v>
      </c>
      <c r="AE86" s="96" t="s">
        <v>315</v>
      </c>
      <c r="AF86" s="96" t="s">
        <v>316</v>
      </c>
      <c r="AG86" s="96" t="s">
        <v>110</v>
      </c>
      <c r="AH86" s="96">
        <v>2004</v>
      </c>
      <c r="AI86" s="96" t="s">
        <v>317</v>
      </c>
      <c r="AJ86" s="96" t="s">
        <v>318</v>
      </c>
      <c r="AK86" s="58" t="s">
        <v>110</v>
      </c>
    </row>
    <row r="87" s="58" customFormat="1" spans="1:37">
      <c r="A87" s="70">
        <v>82</v>
      </c>
      <c r="B87" s="70">
        <f t="shared" si="3"/>
        <v>0</v>
      </c>
      <c r="C87" s="71"/>
      <c r="D87" s="59" t="s">
        <v>92</v>
      </c>
      <c r="E87" s="60">
        <v>12327</v>
      </c>
      <c r="F87" s="10" t="s">
        <v>203</v>
      </c>
      <c r="G87" s="60">
        <v>607</v>
      </c>
      <c r="H87" s="81">
        <v>90</v>
      </c>
      <c r="I87" s="86">
        <v>160</v>
      </c>
      <c r="J87" s="81">
        <v>90</v>
      </c>
      <c r="K87" s="86">
        <v>160</v>
      </c>
      <c r="L87" s="81">
        <v>349</v>
      </c>
      <c r="M87" s="86">
        <v>378</v>
      </c>
      <c r="N87" s="81">
        <v>75185</v>
      </c>
      <c r="O87" s="86">
        <v>49467</v>
      </c>
      <c r="P87" s="89">
        <f t="shared" si="4"/>
        <v>363.5</v>
      </c>
      <c r="Q87" s="89">
        <f t="shared" si="5"/>
        <v>62326</v>
      </c>
      <c r="R87" s="96" t="s">
        <v>94</v>
      </c>
      <c r="S87" s="96" t="s">
        <v>168</v>
      </c>
      <c r="T87" s="96" t="s">
        <v>94</v>
      </c>
      <c r="U87" s="96" t="s">
        <v>136</v>
      </c>
      <c r="V87" s="96" t="s">
        <v>94</v>
      </c>
      <c r="W87" s="96" t="s">
        <v>97</v>
      </c>
      <c r="X87" s="96" t="s">
        <v>169</v>
      </c>
      <c r="Y87" s="96" t="s">
        <v>110</v>
      </c>
      <c r="Z87" s="96" t="s">
        <v>148</v>
      </c>
      <c r="AA87" s="96" t="s">
        <v>204</v>
      </c>
      <c r="AB87" s="96" t="s">
        <v>205</v>
      </c>
      <c r="AC87" s="96" t="s">
        <v>206</v>
      </c>
      <c r="AD87" s="96" t="s">
        <v>207</v>
      </c>
      <c r="AE87" s="96" t="s">
        <v>208</v>
      </c>
      <c r="AF87" s="96" t="s">
        <v>209</v>
      </c>
      <c r="AG87" s="96" t="s">
        <v>110</v>
      </c>
      <c r="AH87" s="96">
        <v>2329</v>
      </c>
      <c r="AI87" s="96" t="s">
        <v>210</v>
      </c>
      <c r="AJ87" s="96" t="s">
        <v>211</v>
      </c>
      <c r="AK87" s="58" t="s">
        <v>110</v>
      </c>
    </row>
    <row r="88" s="58" customFormat="1" spans="1:37">
      <c r="A88" s="70">
        <v>83</v>
      </c>
      <c r="B88" s="70">
        <f t="shared" si="3"/>
        <v>0</v>
      </c>
      <c r="C88" s="71"/>
      <c r="D88" s="59" t="s">
        <v>92</v>
      </c>
      <c r="E88" s="60">
        <v>12572</v>
      </c>
      <c r="F88" s="10" t="s">
        <v>191</v>
      </c>
      <c r="G88" s="60">
        <v>604</v>
      </c>
      <c r="H88" s="81">
        <v>135</v>
      </c>
      <c r="I88" s="86">
        <v>190</v>
      </c>
      <c r="J88" s="81">
        <v>135</v>
      </c>
      <c r="K88" s="86">
        <v>190</v>
      </c>
      <c r="L88" s="81">
        <v>347</v>
      </c>
      <c r="M88" s="86">
        <v>379</v>
      </c>
      <c r="N88" s="81">
        <v>79532</v>
      </c>
      <c r="O88" s="86">
        <v>45756</v>
      </c>
      <c r="P88" s="89">
        <f t="shared" si="4"/>
        <v>363</v>
      </c>
      <c r="Q88" s="89">
        <f t="shared" si="5"/>
        <v>62644</v>
      </c>
      <c r="R88" s="96" t="s">
        <v>94</v>
      </c>
      <c r="S88" s="96" t="s">
        <v>124</v>
      </c>
      <c r="T88" s="96" t="s">
        <v>94</v>
      </c>
      <c r="U88" s="96" t="s">
        <v>136</v>
      </c>
      <c r="V88" s="96" t="s">
        <v>94</v>
      </c>
      <c r="W88" s="96" t="s">
        <v>97</v>
      </c>
      <c r="X88" s="96" t="s">
        <v>98</v>
      </c>
      <c r="Y88" s="96" t="s">
        <v>192</v>
      </c>
      <c r="Z88" s="96" t="s">
        <v>193</v>
      </c>
      <c r="AA88" s="96" t="s">
        <v>194</v>
      </c>
      <c r="AB88" s="96" t="s">
        <v>195</v>
      </c>
      <c r="AC88" s="96" t="s">
        <v>196</v>
      </c>
      <c r="AD88" s="96" t="s">
        <v>197</v>
      </c>
      <c r="AE88" s="96" t="s">
        <v>198</v>
      </c>
      <c r="AF88" s="96" t="s">
        <v>199</v>
      </c>
      <c r="AG88" s="96" t="s">
        <v>200</v>
      </c>
      <c r="AH88" s="96">
        <v>1329</v>
      </c>
      <c r="AI88" s="96" t="s">
        <v>201</v>
      </c>
      <c r="AJ88" s="96" t="s">
        <v>202</v>
      </c>
      <c r="AK88" s="58" t="s">
        <v>110</v>
      </c>
    </row>
    <row r="89" s="58" customFormat="1" spans="1:37">
      <c r="A89" s="70">
        <v>84</v>
      </c>
      <c r="B89" s="70">
        <f t="shared" si="3"/>
        <v>0</v>
      </c>
      <c r="C89" s="71"/>
      <c r="D89" s="59" t="s">
        <v>92</v>
      </c>
      <c r="E89" s="60">
        <v>14066</v>
      </c>
      <c r="F89" s="10" t="s">
        <v>223</v>
      </c>
      <c r="G89" s="60">
        <v>604</v>
      </c>
      <c r="H89" s="81">
        <v>20</v>
      </c>
      <c r="I89" s="86">
        <v>116</v>
      </c>
      <c r="J89" s="81">
        <v>20</v>
      </c>
      <c r="K89" s="86">
        <v>116</v>
      </c>
      <c r="L89" s="81">
        <v>346</v>
      </c>
      <c r="M89" s="86">
        <v>380</v>
      </c>
      <c r="N89" s="81">
        <v>81300</v>
      </c>
      <c r="O89" s="86">
        <v>44360</v>
      </c>
      <c r="P89" s="89">
        <f t="shared" si="4"/>
        <v>363</v>
      </c>
      <c r="Q89" s="89">
        <f t="shared" si="5"/>
        <v>62830</v>
      </c>
      <c r="R89" s="96" t="s">
        <v>94</v>
      </c>
      <c r="S89" s="96" t="s">
        <v>224</v>
      </c>
      <c r="T89" s="96" t="s">
        <v>94</v>
      </c>
      <c r="U89" s="96" t="s">
        <v>136</v>
      </c>
      <c r="V89" s="96" t="s">
        <v>94</v>
      </c>
      <c r="W89" s="96" t="s">
        <v>97</v>
      </c>
      <c r="X89" s="96" t="s">
        <v>147</v>
      </c>
      <c r="Y89" s="96" t="s">
        <v>225</v>
      </c>
      <c r="Z89" s="96" t="s">
        <v>226</v>
      </c>
      <c r="AA89" s="96" t="s">
        <v>227</v>
      </c>
      <c r="AB89" s="96" t="s">
        <v>228</v>
      </c>
      <c r="AC89" s="96" t="s">
        <v>229</v>
      </c>
      <c r="AD89" s="96" t="s">
        <v>230</v>
      </c>
      <c r="AE89" s="96" t="s">
        <v>231</v>
      </c>
      <c r="AF89" s="96" t="s">
        <v>232</v>
      </c>
      <c r="AG89" s="96" t="s">
        <v>233</v>
      </c>
      <c r="AH89" s="96">
        <v>1464</v>
      </c>
      <c r="AI89" s="96" t="s">
        <v>234</v>
      </c>
      <c r="AJ89" s="96" t="s">
        <v>235</v>
      </c>
      <c r="AK89" s="58" t="s">
        <v>110</v>
      </c>
    </row>
    <row r="90" s="58" customFormat="1" spans="1:37">
      <c r="A90" s="70">
        <v>85</v>
      </c>
      <c r="B90" s="70">
        <f t="shared" si="3"/>
        <v>0</v>
      </c>
      <c r="C90" s="71"/>
      <c r="D90" s="59" t="s">
        <v>92</v>
      </c>
      <c r="E90" s="60">
        <v>10862</v>
      </c>
      <c r="F90" s="10" t="s">
        <v>278</v>
      </c>
      <c r="G90" s="60">
        <v>601</v>
      </c>
      <c r="H90" s="81">
        <v>206</v>
      </c>
      <c r="I90" s="86">
        <v>1762</v>
      </c>
      <c r="J90" s="81">
        <v>206</v>
      </c>
      <c r="K90" s="86">
        <v>1762</v>
      </c>
      <c r="L90" s="81">
        <v>356</v>
      </c>
      <c r="M90" s="86">
        <v>371</v>
      </c>
      <c r="N90" s="81">
        <v>60003</v>
      </c>
      <c r="O90" s="86">
        <v>65900</v>
      </c>
      <c r="P90" s="89">
        <f t="shared" si="4"/>
        <v>363.5</v>
      </c>
      <c r="Q90" s="89">
        <f t="shared" si="5"/>
        <v>62951.5</v>
      </c>
      <c r="R90" s="96" t="s">
        <v>94</v>
      </c>
      <c r="S90" s="96" t="s">
        <v>124</v>
      </c>
      <c r="T90" s="96" t="s">
        <v>94</v>
      </c>
      <c r="U90" s="96" t="s">
        <v>136</v>
      </c>
      <c r="V90" s="96" t="s">
        <v>94</v>
      </c>
      <c r="W90" s="96" t="s">
        <v>97</v>
      </c>
      <c r="X90" s="96" t="s">
        <v>98</v>
      </c>
      <c r="Y90" s="96" t="s">
        <v>192</v>
      </c>
      <c r="Z90" s="96" t="s">
        <v>193</v>
      </c>
      <c r="AA90" s="96" t="s">
        <v>279</v>
      </c>
      <c r="AB90" s="96" t="s">
        <v>280</v>
      </c>
      <c r="AC90" s="96" t="s">
        <v>281</v>
      </c>
      <c r="AD90" s="96" t="s">
        <v>282</v>
      </c>
      <c r="AE90" s="96" t="s">
        <v>283</v>
      </c>
      <c r="AF90" s="96" t="s">
        <v>284</v>
      </c>
      <c r="AG90" s="96" t="s">
        <v>285</v>
      </c>
      <c r="AH90" s="96">
        <v>1410</v>
      </c>
      <c r="AI90" s="96" t="s">
        <v>286</v>
      </c>
      <c r="AJ90" s="96" t="s">
        <v>287</v>
      </c>
      <c r="AK90" s="58" t="s">
        <v>110</v>
      </c>
    </row>
    <row r="91" s="58" customFormat="1" spans="1:37">
      <c r="A91" s="70">
        <v>86</v>
      </c>
      <c r="B91" s="70">
        <f t="shared" si="3"/>
        <v>0</v>
      </c>
      <c r="C91" s="71"/>
      <c r="D91" s="59" t="s">
        <v>92</v>
      </c>
      <c r="E91" s="60">
        <v>14556</v>
      </c>
      <c r="F91" s="10" t="s">
        <v>319</v>
      </c>
      <c r="G91" s="60">
        <v>603</v>
      </c>
      <c r="H91" s="81">
        <v>280</v>
      </c>
      <c r="I91" s="86">
        <v>87</v>
      </c>
      <c r="J91" s="81">
        <v>280</v>
      </c>
      <c r="K91" s="86">
        <v>87</v>
      </c>
      <c r="L91" s="81">
        <v>347</v>
      </c>
      <c r="M91" s="86">
        <v>377</v>
      </c>
      <c r="N91" s="81">
        <v>78688</v>
      </c>
      <c r="O91" s="86">
        <v>50595</v>
      </c>
      <c r="P91" s="89">
        <f t="shared" si="4"/>
        <v>362</v>
      </c>
      <c r="Q91" s="89">
        <f t="shared" si="5"/>
        <v>64641.5</v>
      </c>
      <c r="R91" s="96" t="s">
        <v>94</v>
      </c>
      <c r="S91" s="96" t="s">
        <v>320</v>
      </c>
      <c r="T91" s="96" t="s">
        <v>94</v>
      </c>
      <c r="U91" s="96" t="s">
        <v>136</v>
      </c>
      <c r="V91" s="96" t="s">
        <v>94</v>
      </c>
      <c r="W91" s="96" t="s">
        <v>97</v>
      </c>
      <c r="X91" s="96" t="s">
        <v>147</v>
      </c>
      <c r="Y91" s="96" t="s">
        <v>110</v>
      </c>
      <c r="Z91" s="96" t="s">
        <v>148</v>
      </c>
      <c r="AA91" s="96" t="s">
        <v>321</v>
      </c>
      <c r="AB91" s="96" t="s">
        <v>110</v>
      </c>
      <c r="AC91" s="96" t="s">
        <v>322</v>
      </c>
      <c r="AD91" s="96" t="s">
        <v>323</v>
      </c>
      <c r="AE91" s="96" t="s">
        <v>324</v>
      </c>
      <c r="AF91" s="96" t="s">
        <v>325</v>
      </c>
      <c r="AG91" s="96" t="s">
        <v>110</v>
      </c>
      <c r="AH91" s="96">
        <v>2591</v>
      </c>
      <c r="AI91" s="96" t="s">
        <v>326</v>
      </c>
      <c r="AJ91" s="96" t="s">
        <v>327</v>
      </c>
      <c r="AK91" s="58" t="s">
        <v>110</v>
      </c>
    </row>
    <row r="92" s="58" customFormat="1" spans="1:37">
      <c r="A92" s="70">
        <v>87</v>
      </c>
      <c r="B92" s="70">
        <f t="shared" si="3"/>
        <v>0</v>
      </c>
      <c r="C92" s="71"/>
      <c r="D92" s="59" t="s">
        <v>92</v>
      </c>
      <c r="E92" s="60">
        <v>14408</v>
      </c>
      <c r="F92" s="10" t="s">
        <v>328</v>
      </c>
      <c r="G92" s="60">
        <v>601</v>
      </c>
      <c r="H92" s="81">
        <v>732</v>
      </c>
      <c r="I92" s="86">
        <v>801</v>
      </c>
      <c r="J92" s="81">
        <v>732</v>
      </c>
      <c r="K92" s="86">
        <v>801</v>
      </c>
      <c r="L92" s="81">
        <v>349</v>
      </c>
      <c r="M92" s="86">
        <v>374</v>
      </c>
      <c r="N92" s="81">
        <v>73883</v>
      </c>
      <c r="O92" s="86">
        <v>59362</v>
      </c>
      <c r="P92" s="89">
        <f t="shared" si="4"/>
        <v>361.5</v>
      </c>
      <c r="Q92" s="89">
        <f t="shared" si="5"/>
        <v>66622.5</v>
      </c>
      <c r="R92" s="96" t="s">
        <v>94</v>
      </c>
      <c r="S92" s="96" t="s">
        <v>329</v>
      </c>
      <c r="T92" s="96" t="s">
        <v>94</v>
      </c>
      <c r="U92" s="96" t="s">
        <v>136</v>
      </c>
      <c r="V92" s="96" t="s">
        <v>94</v>
      </c>
      <c r="W92" s="96" t="s">
        <v>97</v>
      </c>
      <c r="X92" s="96" t="s">
        <v>290</v>
      </c>
      <c r="Y92" s="96" t="s">
        <v>110</v>
      </c>
      <c r="Z92" s="96" t="s">
        <v>110</v>
      </c>
      <c r="AA92" s="96" t="s">
        <v>330</v>
      </c>
      <c r="AB92" s="96" t="s">
        <v>110</v>
      </c>
      <c r="AC92" s="96" t="s">
        <v>331</v>
      </c>
      <c r="AD92" s="96" t="s">
        <v>332</v>
      </c>
      <c r="AE92" s="96" t="s">
        <v>333</v>
      </c>
      <c r="AF92" s="96" t="s">
        <v>334</v>
      </c>
      <c r="AG92" s="96" t="s">
        <v>335</v>
      </c>
      <c r="AH92" s="96">
        <v>1996</v>
      </c>
      <c r="AI92" s="96" t="s">
        <v>336</v>
      </c>
      <c r="AJ92" s="96" t="s">
        <v>337</v>
      </c>
      <c r="AK92" s="58" t="s">
        <v>110</v>
      </c>
    </row>
    <row r="93" s="58" customFormat="1" spans="1:37">
      <c r="A93" s="70">
        <v>88</v>
      </c>
      <c r="B93" s="70">
        <f t="shared" si="3"/>
        <v>0</v>
      </c>
      <c r="C93" s="71"/>
      <c r="D93" s="59" t="s">
        <v>92</v>
      </c>
      <c r="E93" s="60">
        <v>13713</v>
      </c>
      <c r="F93" s="10" t="s">
        <v>288</v>
      </c>
      <c r="G93" s="60">
        <v>603</v>
      </c>
      <c r="H93" s="81">
        <v>20</v>
      </c>
      <c r="I93" s="86">
        <v>24</v>
      </c>
      <c r="J93" s="81">
        <v>20</v>
      </c>
      <c r="K93" s="86">
        <v>24</v>
      </c>
      <c r="L93" s="81">
        <v>352</v>
      </c>
      <c r="M93" s="86">
        <v>371</v>
      </c>
      <c r="N93" s="81">
        <v>67274</v>
      </c>
      <c r="O93" s="86">
        <v>66081</v>
      </c>
      <c r="P93" s="89">
        <f t="shared" si="4"/>
        <v>361.5</v>
      </c>
      <c r="Q93" s="89">
        <f t="shared" si="5"/>
        <v>66677.5</v>
      </c>
      <c r="R93" s="96" t="s">
        <v>94</v>
      </c>
      <c r="S93" s="96" t="s">
        <v>289</v>
      </c>
      <c r="T93" s="96" t="s">
        <v>94</v>
      </c>
      <c r="U93" s="96" t="s">
        <v>136</v>
      </c>
      <c r="V93" s="96" t="s">
        <v>94</v>
      </c>
      <c r="W93" s="96" t="s">
        <v>97</v>
      </c>
      <c r="X93" s="96" t="s">
        <v>290</v>
      </c>
      <c r="Y93" s="96" t="s">
        <v>225</v>
      </c>
      <c r="Z93" s="96" t="s">
        <v>226</v>
      </c>
      <c r="AA93" s="96" t="s">
        <v>291</v>
      </c>
      <c r="AB93" s="96" t="s">
        <v>292</v>
      </c>
      <c r="AC93" s="96" t="s">
        <v>293</v>
      </c>
      <c r="AD93" s="96" t="s">
        <v>294</v>
      </c>
      <c r="AE93" s="96" t="s">
        <v>295</v>
      </c>
      <c r="AF93" s="96" t="s">
        <v>296</v>
      </c>
      <c r="AG93" s="96" t="s">
        <v>297</v>
      </c>
      <c r="AH93" s="96">
        <v>2012</v>
      </c>
      <c r="AI93" s="96" t="s">
        <v>298</v>
      </c>
      <c r="AJ93" s="96" t="s">
        <v>299</v>
      </c>
      <c r="AK93" s="58" t="s">
        <v>110</v>
      </c>
    </row>
    <row r="94" s="58" customFormat="1" spans="1:37">
      <c r="A94" s="70">
        <v>89</v>
      </c>
      <c r="B94" s="70">
        <f t="shared" si="3"/>
        <v>0</v>
      </c>
      <c r="C94" s="71"/>
      <c r="D94" s="59" t="s">
        <v>92</v>
      </c>
      <c r="E94" s="60">
        <v>10862</v>
      </c>
      <c r="F94" s="10" t="s">
        <v>278</v>
      </c>
      <c r="G94" s="60">
        <v>604</v>
      </c>
      <c r="H94" s="81">
        <v>185</v>
      </c>
      <c r="I94" s="86" t="s">
        <v>110</v>
      </c>
      <c r="J94" s="81">
        <v>185</v>
      </c>
      <c r="K94" s="86" t="s">
        <v>110</v>
      </c>
      <c r="L94" s="81">
        <v>352</v>
      </c>
      <c r="M94" s="86" t="s">
        <v>110</v>
      </c>
      <c r="N94" s="81">
        <v>67270</v>
      </c>
      <c r="O94" s="86" t="s">
        <v>110</v>
      </c>
      <c r="P94" s="89">
        <f t="shared" si="4"/>
        <v>352</v>
      </c>
      <c r="Q94" s="89">
        <f t="shared" si="5"/>
        <v>67270</v>
      </c>
      <c r="R94" s="96" t="s">
        <v>94</v>
      </c>
      <c r="S94" s="96" t="s">
        <v>124</v>
      </c>
      <c r="T94" s="96" t="s">
        <v>94</v>
      </c>
      <c r="U94" s="96" t="s">
        <v>136</v>
      </c>
      <c r="V94" s="96" t="s">
        <v>94</v>
      </c>
      <c r="W94" s="96" t="s">
        <v>97</v>
      </c>
      <c r="X94" s="96" t="s">
        <v>98</v>
      </c>
      <c r="Y94" s="96" t="s">
        <v>192</v>
      </c>
      <c r="Z94" s="96" t="s">
        <v>193</v>
      </c>
      <c r="AA94" s="96" t="s">
        <v>279</v>
      </c>
      <c r="AB94" s="96" t="s">
        <v>280</v>
      </c>
      <c r="AC94" s="96" t="s">
        <v>281</v>
      </c>
      <c r="AD94" s="96" t="s">
        <v>282</v>
      </c>
      <c r="AE94" s="96" t="s">
        <v>283</v>
      </c>
      <c r="AF94" s="96" t="s">
        <v>284</v>
      </c>
      <c r="AG94" s="96" t="s">
        <v>285</v>
      </c>
      <c r="AH94" s="96">
        <v>1410</v>
      </c>
      <c r="AI94" s="96" t="s">
        <v>286</v>
      </c>
      <c r="AJ94" s="96" t="s">
        <v>287</v>
      </c>
      <c r="AK94" s="58" t="s">
        <v>110</v>
      </c>
    </row>
    <row r="95" s="58" customFormat="1" spans="1:37">
      <c r="A95" s="70">
        <v>90</v>
      </c>
      <c r="B95" s="70">
        <f t="shared" si="3"/>
        <v>0</v>
      </c>
      <c r="C95" s="71"/>
      <c r="D95" s="59" t="s">
        <v>92</v>
      </c>
      <c r="E95" s="60">
        <v>10862</v>
      </c>
      <c r="F95" s="10" t="s">
        <v>278</v>
      </c>
      <c r="G95" s="60">
        <v>602</v>
      </c>
      <c r="H95" s="81">
        <v>190</v>
      </c>
      <c r="I95" s="86">
        <v>425</v>
      </c>
      <c r="J95" s="81">
        <v>190</v>
      </c>
      <c r="K95" s="86">
        <v>425</v>
      </c>
      <c r="L95" s="81">
        <v>354</v>
      </c>
      <c r="M95" s="86">
        <v>368</v>
      </c>
      <c r="N95" s="81">
        <v>63362</v>
      </c>
      <c r="O95" s="86">
        <v>74232</v>
      </c>
      <c r="P95" s="89">
        <f t="shared" si="4"/>
        <v>361</v>
      </c>
      <c r="Q95" s="89">
        <f t="shared" si="5"/>
        <v>68797</v>
      </c>
      <c r="R95" s="96" t="s">
        <v>94</v>
      </c>
      <c r="S95" s="96" t="s">
        <v>124</v>
      </c>
      <c r="T95" s="96" t="s">
        <v>94</v>
      </c>
      <c r="U95" s="96" t="s">
        <v>136</v>
      </c>
      <c r="V95" s="96" t="s">
        <v>94</v>
      </c>
      <c r="W95" s="96" t="s">
        <v>97</v>
      </c>
      <c r="X95" s="96" t="s">
        <v>98</v>
      </c>
      <c r="Y95" s="96" t="s">
        <v>192</v>
      </c>
      <c r="Z95" s="96" t="s">
        <v>193</v>
      </c>
      <c r="AA95" s="96" t="s">
        <v>279</v>
      </c>
      <c r="AB95" s="96" t="s">
        <v>280</v>
      </c>
      <c r="AC95" s="96" t="s">
        <v>281</v>
      </c>
      <c r="AD95" s="96" t="s">
        <v>282</v>
      </c>
      <c r="AE95" s="96" t="s">
        <v>283</v>
      </c>
      <c r="AF95" s="96" t="s">
        <v>284</v>
      </c>
      <c r="AG95" s="96" t="s">
        <v>285</v>
      </c>
      <c r="AH95" s="96">
        <v>1410</v>
      </c>
      <c r="AI95" s="96" t="s">
        <v>286</v>
      </c>
      <c r="AJ95" s="96" t="s">
        <v>287</v>
      </c>
      <c r="AK95" s="58" t="s">
        <v>110</v>
      </c>
    </row>
    <row r="96" s="58" customFormat="1" spans="1:37">
      <c r="A96" s="70">
        <v>91</v>
      </c>
      <c r="B96" s="70">
        <f t="shared" si="3"/>
        <v>0</v>
      </c>
      <c r="C96" s="71"/>
      <c r="D96" s="59" t="s">
        <v>92</v>
      </c>
      <c r="E96" s="60">
        <v>13929</v>
      </c>
      <c r="F96" s="10" t="s">
        <v>338</v>
      </c>
      <c r="G96" s="60">
        <v>601</v>
      </c>
      <c r="H96" s="81">
        <v>1390</v>
      </c>
      <c r="I96" s="86">
        <v>1850</v>
      </c>
      <c r="J96" s="81">
        <v>1390</v>
      </c>
      <c r="K96" s="86">
        <v>1850</v>
      </c>
      <c r="L96" s="81">
        <v>352</v>
      </c>
      <c r="M96" s="86">
        <v>369</v>
      </c>
      <c r="N96" s="81">
        <v>68168</v>
      </c>
      <c r="O96" s="86">
        <v>71332</v>
      </c>
      <c r="P96" s="89">
        <f t="shared" si="4"/>
        <v>360.5</v>
      </c>
      <c r="Q96" s="89">
        <f t="shared" si="5"/>
        <v>69750</v>
      </c>
      <c r="R96" s="96" t="s">
        <v>94</v>
      </c>
      <c r="S96" s="96" t="s">
        <v>124</v>
      </c>
      <c r="T96" s="96" t="s">
        <v>94</v>
      </c>
      <c r="U96" s="96" t="s">
        <v>136</v>
      </c>
      <c r="V96" s="96" t="s">
        <v>94</v>
      </c>
      <c r="W96" s="96" t="s">
        <v>97</v>
      </c>
      <c r="X96" s="96" t="s">
        <v>98</v>
      </c>
      <c r="Y96" s="96" t="s">
        <v>110</v>
      </c>
      <c r="Z96" s="96" t="s">
        <v>110</v>
      </c>
      <c r="AA96" s="96" t="s">
        <v>339</v>
      </c>
      <c r="AB96" s="96" t="s">
        <v>340</v>
      </c>
      <c r="AC96" s="96" t="s">
        <v>341</v>
      </c>
      <c r="AD96" s="96" t="s">
        <v>342</v>
      </c>
      <c r="AE96" s="96" t="s">
        <v>343</v>
      </c>
      <c r="AF96" s="96" t="s">
        <v>344</v>
      </c>
      <c r="AG96" s="96" t="s">
        <v>345</v>
      </c>
      <c r="AH96" s="96">
        <v>1436</v>
      </c>
      <c r="AI96" s="96" t="s">
        <v>346</v>
      </c>
      <c r="AJ96" s="96" t="s">
        <v>347</v>
      </c>
      <c r="AK96" s="58" t="s">
        <v>110</v>
      </c>
    </row>
    <row r="97" s="58" customFormat="1" spans="1:37">
      <c r="A97" s="70">
        <v>92</v>
      </c>
      <c r="B97" s="70">
        <f t="shared" si="3"/>
        <v>0</v>
      </c>
      <c r="C97" s="71"/>
      <c r="D97" s="59" t="s">
        <v>92</v>
      </c>
      <c r="E97" s="60">
        <v>13919</v>
      </c>
      <c r="F97" s="10" t="s">
        <v>348</v>
      </c>
      <c r="G97" s="60">
        <v>601</v>
      </c>
      <c r="H97" s="81">
        <v>590</v>
      </c>
      <c r="I97" s="86">
        <v>550</v>
      </c>
      <c r="J97" s="81">
        <v>590</v>
      </c>
      <c r="K97" s="86">
        <v>550</v>
      </c>
      <c r="L97" s="81">
        <v>350</v>
      </c>
      <c r="M97" s="86">
        <v>370</v>
      </c>
      <c r="N97" s="81">
        <v>72454</v>
      </c>
      <c r="O97" s="86">
        <v>68945</v>
      </c>
      <c r="P97" s="89">
        <f t="shared" si="4"/>
        <v>360</v>
      </c>
      <c r="Q97" s="89">
        <f t="shared" si="5"/>
        <v>70699.5</v>
      </c>
      <c r="R97" s="96" t="s">
        <v>94</v>
      </c>
      <c r="S97" s="96" t="s">
        <v>124</v>
      </c>
      <c r="T97" s="96" t="s">
        <v>94</v>
      </c>
      <c r="U97" s="96" t="s">
        <v>136</v>
      </c>
      <c r="V97" s="96" t="s">
        <v>94</v>
      </c>
      <c r="W97" s="96" t="s">
        <v>97</v>
      </c>
      <c r="X97" s="96" t="s">
        <v>98</v>
      </c>
      <c r="Y97" s="96" t="s">
        <v>349</v>
      </c>
      <c r="Z97" s="96" t="s">
        <v>226</v>
      </c>
      <c r="AA97" s="96" t="s">
        <v>350</v>
      </c>
      <c r="AB97" s="96" t="s">
        <v>351</v>
      </c>
      <c r="AC97" s="96" t="s">
        <v>352</v>
      </c>
      <c r="AD97" s="96" t="s">
        <v>353</v>
      </c>
      <c r="AE97" s="96" t="s">
        <v>354</v>
      </c>
      <c r="AF97" s="96" t="s">
        <v>355</v>
      </c>
      <c r="AG97" s="96" t="s">
        <v>356</v>
      </c>
      <c r="AH97" s="96">
        <v>1626</v>
      </c>
      <c r="AI97" s="96" t="s">
        <v>357</v>
      </c>
      <c r="AJ97" s="96" t="s">
        <v>358</v>
      </c>
      <c r="AK97" s="58" t="s">
        <v>110</v>
      </c>
    </row>
    <row r="98" s="58" customFormat="1" spans="1:37">
      <c r="A98" s="70">
        <v>93</v>
      </c>
      <c r="B98" s="70">
        <f t="shared" si="3"/>
        <v>0</v>
      </c>
      <c r="C98" s="71"/>
      <c r="D98" s="59" t="s">
        <v>92</v>
      </c>
      <c r="E98" s="60">
        <v>14065</v>
      </c>
      <c r="F98" s="10" t="s">
        <v>310</v>
      </c>
      <c r="G98" s="60">
        <v>605</v>
      </c>
      <c r="H98" s="81">
        <v>245</v>
      </c>
      <c r="I98" s="86">
        <v>260</v>
      </c>
      <c r="J98" s="81">
        <v>245</v>
      </c>
      <c r="K98" s="86">
        <v>260</v>
      </c>
      <c r="L98" s="81">
        <v>345</v>
      </c>
      <c r="M98" s="86">
        <v>373</v>
      </c>
      <c r="N98" s="81">
        <v>83345</v>
      </c>
      <c r="O98" s="86">
        <v>60186</v>
      </c>
      <c r="P98" s="89">
        <f t="shared" si="4"/>
        <v>359</v>
      </c>
      <c r="Q98" s="89">
        <f t="shared" si="5"/>
        <v>71765.5</v>
      </c>
      <c r="R98" s="96" t="s">
        <v>94</v>
      </c>
      <c r="S98" s="96" t="s">
        <v>124</v>
      </c>
      <c r="T98" s="96" t="s">
        <v>94</v>
      </c>
      <c r="U98" s="96" t="s">
        <v>136</v>
      </c>
      <c r="V98" s="96" t="s">
        <v>94</v>
      </c>
      <c r="W98" s="96" t="s">
        <v>97</v>
      </c>
      <c r="X98" s="96" t="s">
        <v>98</v>
      </c>
      <c r="Y98" s="96" t="s">
        <v>225</v>
      </c>
      <c r="Z98" s="96" t="s">
        <v>148</v>
      </c>
      <c r="AA98" s="96" t="s">
        <v>311</v>
      </c>
      <c r="AB98" s="96" t="s">
        <v>312</v>
      </c>
      <c r="AC98" s="96" t="s">
        <v>313</v>
      </c>
      <c r="AD98" s="96" t="s">
        <v>314</v>
      </c>
      <c r="AE98" s="96" t="s">
        <v>315</v>
      </c>
      <c r="AF98" s="96" t="s">
        <v>316</v>
      </c>
      <c r="AG98" s="96" t="s">
        <v>110</v>
      </c>
      <c r="AH98" s="96">
        <v>2004</v>
      </c>
      <c r="AI98" s="96" t="s">
        <v>317</v>
      </c>
      <c r="AJ98" s="96" t="s">
        <v>318</v>
      </c>
      <c r="AK98" s="58" t="s">
        <v>110</v>
      </c>
    </row>
    <row r="99" s="58" customFormat="1" spans="1:37">
      <c r="A99" s="70">
        <v>94</v>
      </c>
      <c r="B99" s="70">
        <f t="shared" si="3"/>
        <v>0</v>
      </c>
      <c r="C99" s="71"/>
      <c r="D99" s="59" t="s">
        <v>92</v>
      </c>
      <c r="E99" s="60">
        <v>12743</v>
      </c>
      <c r="F99" s="10" t="s">
        <v>300</v>
      </c>
      <c r="G99" s="60">
        <v>607</v>
      </c>
      <c r="H99" s="81">
        <v>234</v>
      </c>
      <c r="I99" s="86">
        <v>56</v>
      </c>
      <c r="J99" s="81">
        <v>234</v>
      </c>
      <c r="K99" s="86">
        <v>56</v>
      </c>
      <c r="L99" s="81">
        <v>339</v>
      </c>
      <c r="M99" s="86">
        <v>378</v>
      </c>
      <c r="N99" s="81">
        <v>97140</v>
      </c>
      <c r="O99" s="86">
        <v>47909</v>
      </c>
      <c r="P99" s="89">
        <f t="shared" si="4"/>
        <v>358.5</v>
      </c>
      <c r="Q99" s="89">
        <f t="shared" si="5"/>
        <v>72524.5</v>
      </c>
      <c r="R99" s="96" t="s">
        <v>94</v>
      </c>
      <c r="S99" s="96" t="s">
        <v>124</v>
      </c>
      <c r="T99" s="96" t="s">
        <v>94</v>
      </c>
      <c r="U99" s="96" t="s">
        <v>136</v>
      </c>
      <c r="V99" s="96" t="s">
        <v>94</v>
      </c>
      <c r="W99" s="96" t="s">
        <v>97</v>
      </c>
      <c r="X99" s="96" t="s">
        <v>98</v>
      </c>
      <c r="Y99" s="96" t="s">
        <v>256</v>
      </c>
      <c r="Z99" s="96" t="s">
        <v>148</v>
      </c>
      <c r="AA99" s="96" t="s">
        <v>301</v>
      </c>
      <c r="AB99" s="96" t="s">
        <v>302</v>
      </c>
      <c r="AC99" s="96" t="s">
        <v>303</v>
      </c>
      <c r="AD99" s="96" t="s">
        <v>304</v>
      </c>
      <c r="AE99" s="96" t="s">
        <v>305</v>
      </c>
      <c r="AF99" s="96" t="s">
        <v>306</v>
      </c>
      <c r="AG99" s="96" t="s">
        <v>307</v>
      </c>
      <c r="AH99" s="96">
        <v>1842</v>
      </c>
      <c r="AI99" s="96" t="s">
        <v>308</v>
      </c>
      <c r="AJ99" s="96" t="s">
        <v>309</v>
      </c>
      <c r="AK99" s="58" t="s">
        <v>110</v>
      </c>
    </row>
    <row r="100" s="58" customFormat="1" spans="1:37">
      <c r="A100" s="70">
        <v>95</v>
      </c>
      <c r="B100" s="70">
        <f t="shared" si="3"/>
        <v>0</v>
      </c>
      <c r="C100" s="71"/>
      <c r="D100" s="59" t="s">
        <v>92</v>
      </c>
      <c r="E100" s="60">
        <v>13919</v>
      </c>
      <c r="F100" s="10" t="s">
        <v>348</v>
      </c>
      <c r="G100" s="60">
        <v>604</v>
      </c>
      <c r="H100" s="81">
        <v>310</v>
      </c>
      <c r="I100" s="86">
        <v>295</v>
      </c>
      <c r="J100" s="81">
        <v>310</v>
      </c>
      <c r="K100" s="86">
        <v>295</v>
      </c>
      <c r="L100" s="81">
        <v>349</v>
      </c>
      <c r="M100" s="86">
        <v>368</v>
      </c>
      <c r="N100" s="81">
        <v>74918</v>
      </c>
      <c r="O100" s="86">
        <v>73366</v>
      </c>
      <c r="P100" s="89">
        <f t="shared" si="4"/>
        <v>358.5</v>
      </c>
      <c r="Q100" s="89">
        <f t="shared" si="5"/>
        <v>74142</v>
      </c>
      <c r="R100" s="96" t="s">
        <v>94</v>
      </c>
      <c r="S100" s="96" t="s">
        <v>124</v>
      </c>
      <c r="T100" s="96" t="s">
        <v>94</v>
      </c>
      <c r="U100" s="96" t="s">
        <v>136</v>
      </c>
      <c r="V100" s="96" t="s">
        <v>94</v>
      </c>
      <c r="W100" s="96" t="s">
        <v>97</v>
      </c>
      <c r="X100" s="96" t="s">
        <v>98</v>
      </c>
      <c r="Y100" s="96" t="s">
        <v>349</v>
      </c>
      <c r="Z100" s="96" t="s">
        <v>226</v>
      </c>
      <c r="AA100" s="96" t="s">
        <v>350</v>
      </c>
      <c r="AB100" s="96" t="s">
        <v>351</v>
      </c>
      <c r="AC100" s="96" t="s">
        <v>352</v>
      </c>
      <c r="AD100" s="96" t="s">
        <v>353</v>
      </c>
      <c r="AE100" s="96" t="s">
        <v>354</v>
      </c>
      <c r="AF100" s="96" t="s">
        <v>355</v>
      </c>
      <c r="AG100" s="96" t="s">
        <v>356</v>
      </c>
      <c r="AH100" s="96">
        <v>1626</v>
      </c>
      <c r="AI100" s="96" t="s">
        <v>357</v>
      </c>
      <c r="AJ100" s="96" t="s">
        <v>358</v>
      </c>
      <c r="AK100" s="58" t="s">
        <v>110</v>
      </c>
    </row>
    <row r="101" s="58" customFormat="1" spans="1:37">
      <c r="A101" s="70">
        <v>96</v>
      </c>
      <c r="B101" s="70">
        <f t="shared" si="3"/>
        <v>0</v>
      </c>
      <c r="C101" s="71"/>
      <c r="D101" s="59" t="s">
        <v>92</v>
      </c>
      <c r="E101" s="60">
        <v>10861</v>
      </c>
      <c r="F101" s="10" t="s">
        <v>359</v>
      </c>
      <c r="G101" s="60">
        <v>601</v>
      </c>
      <c r="H101" s="81">
        <v>861</v>
      </c>
      <c r="I101" s="86">
        <v>1950</v>
      </c>
      <c r="J101" s="81">
        <v>861</v>
      </c>
      <c r="K101" s="86">
        <v>1950</v>
      </c>
      <c r="L101" s="81">
        <v>352</v>
      </c>
      <c r="M101" s="86">
        <v>365</v>
      </c>
      <c r="N101" s="81">
        <v>68483</v>
      </c>
      <c r="O101" s="86">
        <v>81121</v>
      </c>
      <c r="P101" s="89">
        <f t="shared" si="4"/>
        <v>358.5</v>
      </c>
      <c r="Q101" s="89">
        <f t="shared" si="5"/>
        <v>74802</v>
      </c>
      <c r="R101" s="96" t="s">
        <v>94</v>
      </c>
      <c r="S101" s="96" t="s">
        <v>124</v>
      </c>
      <c r="T101" s="96" t="s">
        <v>94</v>
      </c>
      <c r="U101" s="96" t="s">
        <v>136</v>
      </c>
      <c r="V101" s="96" t="s">
        <v>94</v>
      </c>
      <c r="W101" s="96" t="s">
        <v>97</v>
      </c>
      <c r="X101" s="96" t="s">
        <v>98</v>
      </c>
      <c r="Y101" s="96" t="s">
        <v>360</v>
      </c>
      <c r="Z101" s="96" t="s">
        <v>361</v>
      </c>
      <c r="AA101" s="96" t="s">
        <v>362</v>
      </c>
      <c r="AB101" s="96" t="s">
        <v>363</v>
      </c>
      <c r="AC101" s="96" t="s">
        <v>364</v>
      </c>
      <c r="AD101" s="96" t="s">
        <v>365</v>
      </c>
      <c r="AE101" s="96" t="s">
        <v>366</v>
      </c>
      <c r="AF101" s="96" t="s">
        <v>367</v>
      </c>
      <c r="AG101" s="96" t="s">
        <v>368</v>
      </c>
      <c r="AH101" s="96">
        <v>1765</v>
      </c>
      <c r="AI101" s="96" t="s">
        <v>369</v>
      </c>
      <c r="AJ101" s="96" t="s">
        <v>370</v>
      </c>
      <c r="AK101" s="58" t="s">
        <v>110</v>
      </c>
    </row>
    <row r="102" s="58" customFormat="1" spans="1:37">
      <c r="A102" s="70">
        <v>97</v>
      </c>
      <c r="B102" s="70">
        <f t="shared" si="3"/>
        <v>0</v>
      </c>
      <c r="C102" s="71"/>
      <c r="D102" s="59" t="s">
        <v>92</v>
      </c>
      <c r="E102" s="60">
        <v>12573</v>
      </c>
      <c r="F102" s="10" t="s">
        <v>371</v>
      </c>
      <c r="G102" s="60">
        <v>601</v>
      </c>
      <c r="H102" s="81">
        <v>1973</v>
      </c>
      <c r="I102" s="86">
        <v>1220</v>
      </c>
      <c r="J102" s="81">
        <v>1973</v>
      </c>
      <c r="K102" s="86">
        <v>1220</v>
      </c>
      <c r="L102" s="81">
        <v>338</v>
      </c>
      <c r="M102" s="86">
        <v>375</v>
      </c>
      <c r="N102" s="81">
        <v>98693</v>
      </c>
      <c r="O102" s="86">
        <v>56478</v>
      </c>
      <c r="P102" s="89">
        <f t="shared" si="4"/>
        <v>356.5</v>
      </c>
      <c r="Q102" s="89">
        <f t="shared" si="5"/>
        <v>77585.5</v>
      </c>
      <c r="R102" s="96" t="s">
        <v>94</v>
      </c>
      <c r="S102" s="96" t="s">
        <v>124</v>
      </c>
      <c r="T102" s="96" t="s">
        <v>94</v>
      </c>
      <c r="U102" s="96" t="s">
        <v>136</v>
      </c>
      <c r="V102" s="96" t="s">
        <v>94</v>
      </c>
      <c r="W102" s="96" t="s">
        <v>97</v>
      </c>
      <c r="X102" s="96" t="s">
        <v>98</v>
      </c>
      <c r="Y102" s="96" t="s">
        <v>268</v>
      </c>
      <c r="Z102" s="96" t="s">
        <v>257</v>
      </c>
      <c r="AA102" s="96" t="s">
        <v>372</v>
      </c>
      <c r="AB102" s="96" t="s">
        <v>373</v>
      </c>
      <c r="AC102" s="96" t="s">
        <v>374</v>
      </c>
      <c r="AD102" s="96" t="s">
        <v>375</v>
      </c>
      <c r="AE102" s="96" t="s">
        <v>376</v>
      </c>
      <c r="AF102" s="96" t="s">
        <v>377</v>
      </c>
      <c r="AG102" s="96" t="s">
        <v>378</v>
      </c>
      <c r="AH102" s="96">
        <v>1543</v>
      </c>
      <c r="AI102" s="96" t="s">
        <v>379</v>
      </c>
      <c r="AJ102" s="96" t="s">
        <v>380</v>
      </c>
      <c r="AK102" s="58" t="s">
        <v>110</v>
      </c>
    </row>
    <row r="103" s="58" customFormat="1" spans="1:37">
      <c r="A103" s="70">
        <v>98</v>
      </c>
      <c r="B103" s="70">
        <f t="shared" si="3"/>
        <v>0</v>
      </c>
      <c r="C103" s="71"/>
      <c r="D103" s="59" t="s">
        <v>92</v>
      </c>
      <c r="E103" s="60">
        <v>13919</v>
      </c>
      <c r="F103" s="10" t="s">
        <v>348</v>
      </c>
      <c r="G103" s="60">
        <v>602</v>
      </c>
      <c r="H103" s="81">
        <v>470</v>
      </c>
      <c r="I103" s="86">
        <v>450</v>
      </c>
      <c r="J103" s="81">
        <v>470</v>
      </c>
      <c r="K103" s="86">
        <v>450</v>
      </c>
      <c r="L103" s="81">
        <v>349</v>
      </c>
      <c r="M103" s="86">
        <v>364</v>
      </c>
      <c r="N103" s="81">
        <v>75015</v>
      </c>
      <c r="O103" s="86">
        <v>83288</v>
      </c>
      <c r="P103" s="89">
        <f t="shared" si="4"/>
        <v>356.5</v>
      </c>
      <c r="Q103" s="89">
        <f t="shared" si="5"/>
        <v>79151.5</v>
      </c>
      <c r="R103" s="96" t="s">
        <v>94</v>
      </c>
      <c r="S103" s="96" t="s">
        <v>124</v>
      </c>
      <c r="T103" s="96" t="s">
        <v>94</v>
      </c>
      <c r="U103" s="96" t="s">
        <v>136</v>
      </c>
      <c r="V103" s="96" t="s">
        <v>94</v>
      </c>
      <c r="W103" s="96" t="s">
        <v>97</v>
      </c>
      <c r="X103" s="96" t="s">
        <v>98</v>
      </c>
      <c r="Y103" s="96" t="s">
        <v>349</v>
      </c>
      <c r="Z103" s="96" t="s">
        <v>226</v>
      </c>
      <c r="AA103" s="96" t="s">
        <v>350</v>
      </c>
      <c r="AB103" s="96" t="s">
        <v>351</v>
      </c>
      <c r="AC103" s="96" t="s">
        <v>352</v>
      </c>
      <c r="AD103" s="96" t="s">
        <v>353</v>
      </c>
      <c r="AE103" s="96" t="s">
        <v>354</v>
      </c>
      <c r="AF103" s="96" t="s">
        <v>355</v>
      </c>
      <c r="AG103" s="96" t="s">
        <v>356</v>
      </c>
      <c r="AH103" s="96">
        <v>1626</v>
      </c>
      <c r="AI103" s="96" t="s">
        <v>357</v>
      </c>
      <c r="AJ103" s="96" t="s">
        <v>358</v>
      </c>
      <c r="AK103" s="58" t="s">
        <v>110</v>
      </c>
    </row>
    <row r="104" s="58" customFormat="1" spans="1:37">
      <c r="A104" s="70">
        <v>99</v>
      </c>
      <c r="B104" s="70">
        <f t="shared" si="3"/>
        <v>0</v>
      </c>
      <c r="C104" s="71"/>
      <c r="D104" s="59" t="s">
        <v>92</v>
      </c>
      <c r="E104" s="60">
        <v>12960</v>
      </c>
      <c r="F104" s="10" t="s">
        <v>381</v>
      </c>
      <c r="G104" s="60">
        <v>601</v>
      </c>
      <c r="H104" s="81">
        <v>375</v>
      </c>
      <c r="I104" s="86">
        <v>570</v>
      </c>
      <c r="J104" s="81">
        <v>375</v>
      </c>
      <c r="K104" s="86">
        <v>570</v>
      </c>
      <c r="L104" s="81">
        <v>344</v>
      </c>
      <c r="M104" s="86">
        <v>368</v>
      </c>
      <c r="N104" s="81">
        <v>86343</v>
      </c>
      <c r="O104" s="86">
        <v>72412</v>
      </c>
      <c r="P104" s="89">
        <f t="shared" si="4"/>
        <v>356</v>
      </c>
      <c r="Q104" s="89">
        <f t="shared" si="5"/>
        <v>79377.5</v>
      </c>
      <c r="R104" s="96" t="s">
        <v>94</v>
      </c>
      <c r="S104" s="96" t="s">
        <v>124</v>
      </c>
      <c r="T104" s="96" t="s">
        <v>94</v>
      </c>
      <c r="U104" s="96" t="s">
        <v>136</v>
      </c>
      <c r="V104" s="96" t="s">
        <v>94</v>
      </c>
      <c r="W104" s="96" t="s">
        <v>97</v>
      </c>
      <c r="X104" s="96" t="s">
        <v>98</v>
      </c>
      <c r="Y104" s="96" t="s">
        <v>382</v>
      </c>
      <c r="Z104" s="96" t="s">
        <v>110</v>
      </c>
      <c r="AA104" s="96" t="s">
        <v>383</v>
      </c>
      <c r="AB104" s="96" t="s">
        <v>384</v>
      </c>
      <c r="AC104" s="96" t="s">
        <v>385</v>
      </c>
      <c r="AD104" s="96" t="s">
        <v>386</v>
      </c>
      <c r="AE104" s="96" t="s">
        <v>387</v>
      </c>
      <c r="AF104" s="96" t="s">
        <v>388</v>
      </c>
      <c r="AG104" s="96" t="s">
        <v>110</v>
      </c>
      <c r="AH104" s="96">
        <v>1993</v>
      </c>
      <c r="AI104" s="96" t="s">
        <v>389</v>
      </c>
      <c r="AJ104" s="96" t="s">
        <v>390</v>
      </c>
      <c r="AK104" s="58" t="s">
        <v>110</v>
      </c>
    </row>
    <row r="105" spans="1:37">
      <c r="A105" s="70">
        <v>100</v>
      </c>
      <c r="B105" s="70">
        <f t="shared" si="3"/>
        <v>0</v>
      </c>
      <c r="C105" s="71"/>
      <c r="D105" s="59" t="s">
        <v>92</v>
      </c>
      <c r="E105" s="60">
        <v>14065</v>
      </c>
      <c r="F105" s="10" t="s">
        <v>310</v>
      </c>
      <c r="G105" s="60">
        <v>614</v>
      </c>
      <c r="H105" s="81">
        <v>40</v>
      </c>
      <c r="I105" s="86">
        <v>50</v>
      </c>
      <c r="J105" s="81">
        <v>40</v>
      </c>
      <c r="K105" s="86">
        <v>50</v>
      </c>
      <c r="L105" s="81">
        <v>346</v>
      </c>
      <c r="M105" s="86">
        <v>364</v>
      </c>
      <c r="N105" s="81">
        <v>80298</v>
      </c>
      <c r="O105" s="86">
        <v>82738</v>
      </c>
      <c r="P105" s="89">
        <f t="shared" si="4"/>
        <v>355</v>
      </c>
      <c r="Q105" s="89">
        <f t="shared" si="5"/>
        <v>81518</v>
      </c>
      <c r="R105" s="96" t="s">
        <v>94</v>
      </c>
      <c r="S105" s="96" t="s">
        <v>124</v>
      </c>
      <c r="T105" s="96" t="s">
        <v>94</v>
      </c>
      <c r="U105" s="96" t="s">
        <v>136</v>
      </c>
      <c r="V105" s="96" t="s">
        <v>94</v>
      </c>
      <c r="W105" s="96" t="s">
        <v>97</v>
      </c>
      <c r="X105" s="96" t="s">
        <v>98</v>
      </c>
      <c r="Y105" s="96" t="s">
        <v>225</v>
      </c>
      <c r="Z105" s="96" t="s">
        <v>148</v>
      </c>
      <c r="AA105" s="96" t="s">
        <v>311</v>
      </c>
      <c r="AB105" s="96" t="s">
        <v>312</v>
      </c>
      <c r="AC105" s="96" t="s">
        <v>313</v>
      </c>
      <c r="AD105" s="96" t="s">
        <v>314</v>
      </c>
      <c r="AE105" s="96" t="s">
        <v>315</v>
      </c>
      <c r="AF105" s="96" t="s">
        <v>316</v>
      </c>
      <c r="AG105" s="96" t="s">
        <v>110</v>
      </c>
      <c r="AH105" s="96">
        <v>2004</v>
      </c>
      <c r="AI105" s="96" t="s">
        <v>317</v>
      </c>
      <c r="AJ105" s="96" t="s">
        <v>318</v>
      </c>
      <c r="AK105" s="58" t="s">
        <v>110</v>
      </c>
    </row>
    <row r="106" spans="1:37">
      <c r="A106" s="70">
        <v>101</v>
      </c>
      <c r="B106" s="70">
        <f t="shared" si="3"/>
        <v>0</v>
      </c>
      <c r="C106" s="71"/>
      <c r="D106" s="59" t="s">
        <v>92</v>
      </c>
      <c r="E106" s="60">
        <v>13713</v>
      </c>
      <c r="F106" s="10" t="s">
        <v>288</v>
      </c>
      <c r="G106" s="60">
        <v>602</v>
      </c>
      <c r="H106" s="81">
        <v>610</v>
      </c>
      <c r="I106" s="86">
        <v>538</v>
      </c>
      <c r="J106" s="81">
        <v>610</v>
      </c>
      <c r="K106" s="86">
        <v>538</v>
      </c>
      <c r="L106" s="81">
        <v>329</v>
      </c>
      <c r="M106" s="86">
        <v>375</v>
      </c>
      <c r="N106" s="81">
        <v>118003</v>
      </c>
      <c r="O106" s="86">
        <v>56100</v>
      </c>
      <c r="P106" s="89">
        <f t="shared" si="4"/>
        <v>352</v>
      </c>
      <c r="Q106" s="89">
        <f t="shared" si="5"/>
        <v>87051.5</v>
      </c>
      <c r="R106" s="96" t="s">
        <v>94</v>
      </c>
      <c r="S106" s="96" t="s">
        <v>289</v>
      </c>
      <c r="T106" s="96" t="s">
        <v>94</v>
      </c>
      <c r="U106" s="96" t="s">
        <v>136</v>
      </c>
      <c r="V106" s="96" t="s">
        <v>94</v>
      </c>
      <c r="W106" s="96" t="s">
        <v>97</v>
      </c>
      <c r="X106" s="96" t="s">
        <v>290</v>
      </c>
      <c r="Y106" s="96" t="s">
        <v>225</v>
      </c>
      <c r="Z106" s="96" t="s">
        <v>226</v>
      </c>
      <c r="AA106" s="96" t="s">
        <v>291</v>
      </c>
      <c r="AB106" s="96" t="s">
        <v>292</v>
      </c>
      <c r="AC106" s="96" t="s">
        <v>293</v>
      </c>
      <c r="AD106" s="96" t="s">
        <v>294</v>
      </c>
      <c r="AE106" s="96" t="s">
        <v>295</v>
      </c>
      <c r="AF106" s="96" t="s">
        <v>296</v>
      </c>
      <c r="AG106" s="96" t="s">
        <v>297</v>
      </c>
      <c r="AH106" s="96">
        <v>2012</v>
      </c>
      <c r="AI106" s="96" t="s">
        <v>298</v>
      </c>
      <c r="AJ106" s="96" t="s">
        <v>299</v>
      </c>
      <c r="AK106" s="58" t="s">
        <v>110</v>
      </c>
    </row>
    <row r="107" spans="1:37">
      <c r="A107" s="70">
        <v>102</v>
      </c>
      <c r="B107" s="70">
        <f t="shared" si="3"/>
        <v>0</v>
      </c>
      <c r="C107" s="71"/>
      <c r="D107" s="59" t="s">
        <v>92</v>
      </c>
      <c r="E107" s="60">
        <v>13919</v>
      </c>
      <c r="F107" s="10" t="s">
        <v>348</v>
      </c>
      <c r="G107" s="60">
        <v>603</v>
      </c>
      <c r="H107" s="81">
        <v>380</v>
      </c>
      <c r="I107" s="86">
        <v>270</v>
      </c>
      <c r="J107" s="81">
        <v>380</v>
      </c>
      <c r="K107" s="86">
        <v>270</v>
      </c>
      <c r="L107" s="81">
        <v>341</v>
      </c>
      <c r="M107" s="86">
        <v>364</v>
      </c>
      <c r="N107" s="81">
        <v>91430</v>
      </c>
      <c r="O107" s="86">
        <v>84930</v>
      </c>
      <c r="P107" s="89">
        <f t="shared" si="4"/>
        <v>352.5</v>
      </c>
      <c r="Q107" s="89">
        <f t="shared" si="5"/>
        <v>88180</v>
      </c>
      <c r="R107" s="96" t="s">
        <v>94</v>
      </c>
      <c r="S107" s="96" t="s">
        <v>124</v>
      </c>
      <c r="T107" s="96" t="s">
        <v>94</v>
      </c>
      <c r="U107" s="96" t="s">
        <v>136</v>
      </c>
      <c r="V107" s="96" t="s">
        <v>94</v>
      </c>
      <c r="W107" s="96" t="s">
        <v>97</v>
      </c>
      <c r="X107" s="96" t="s">
        <v>98</v>
      </c>
      <c r="Y107" s="96" t="s">
        <v>349</v>
      </c>
      <c r="Z107" s="96" t="s">
        <v>226</v>
      </c>
      <c r="AA107" s="96" t="s">
        <v>350</v>
      </c>
      <c r="AB107" s="96" t="s">
        <v>351</v>
      </c>
      <c r="AC107" s="96" t="s">
        <v>352</v>
      </c>
      <c r="AD107" s="96" t="s">
        <v>353</v>
      </c>
      <c r="AE107" s="96" t="s">
        <v>354</v>
      </c>
      <c r="AF107" s="96" t="s">
        <v>355</v>
      </c>
      <c r="AG107" s="96" t="s">
        <v>356</v>
      </c>
      <c r="AH107" s="96">
        <v>1626</v>
      </c>
      <c r="AI107" s="96" t="s">
        <v>357</v>
      </c>
      <c r="AJ107" s="96" t="s">
        <v>358</v>
      </c>
      <c r="AK107" s="58" t="s">
        <v>110</v>
      </c>
    </row>
    <row r="108" spans="1:37">
      <c r="A108" s="70">
        <v>103</v>
      </c>
      <c r="B108" s="70">
        <f t="shared" si="3"/>
        <v>0</v>
      </c>
      <c r="C108" s="71"/>
      <c r="D108" s="59" t="s">
        <v>92</v>
      </c>
      <c r="E108" s="60">
        <v>13919</v>
      </c>
      <c r="F108" s="10" t="s">
        <v>348</v>
      </c>
      <c r="G108" s="60">
        <v>605</v>
      </c>
      <c r="H108" s="81">
        <v>90</v>
      </c>
      <c r="I108" s="86">
        <v>110</v>
      </c>
      <c r="J108" s="81">
        <v>90</v>
      </c>
      <c r="K108" s="86">
        <v>110</v>
      </c>
      <c r="L108" s="81">
        <v>341</v>
      </c>
      <c r="M108" s="86">
        <v>363</v>
      </c>
      <c r="N108" s="81">
        <v>92306</v>
      </c>
      <c r="O108" s="86">
        <v>86976</v>
      </c>
      <c r="P108" s="89">
        <f t="shared" si="4"/>
        <v>352</v>
      </c>
      <c r="Q108" s="89">
        <f t="shared" si="5"/>
        <v>89641</v>
      </c>
      <c r="R108" s="96" t="s">
        <v>94</v>
      </c>
      <c r="S108" s="96" t="s">
        <v>124</v>
      </c>
      <c r="T108" s="96" t="s">
        <v>94</v>
      </c>
      <c r="U108" s="96" t="s">
        <v>136</v>
      </c>
      <c r="V108" s="96" t="s">
        <v>94</v>
      </c>
      <c r="W108" s="96" t="s">
        <v>97</v>
      </c>
      <c r="X108" s="96" t="s">
        <v>98</v>
      </c>
      <c r="Y108" s="96" t="s">
        <v>349</v>
      </c>
      <c r="Z108" s="96" t="s">
        <v>226</v>
      </c>
      <c r="AA108" s="96" t="s">
        <v>350</v>
      </c>
      <c r="AB108" s="96" t="s">
        <v>351</v>
      </c>
      <c r="AC108" s="96" t="s">
        <v>352</v>
      </c>
      <c r="AD108" s="96" t="s">
        <v>353</v>
      </c>
      <c r="AE108" s="96" t="s">
        <v>354</v>
      </c>
      <c r="AF108" s="96" t="s">
        <v>355</v>
      </c>
      <c r="AG108" s="96" t="s">
        <v>356</v>
      </c>
      <c r="AH108" s="96">
        <v>1626</v>
      </c>
      <c r="AI108" s="96" t="s">
        <v>357</v>
      </c>
      <c r="AJ108" s="96" t="s">
        <v>358</v>
      </c>
      <c r="AK108" s="58" t="s">
        <v>110</v>
      </c>
    </row>
    <row r="109" spans="1:37">
      <c r="A109" s="70">
        <v>104</v>
      </c>
      <c r="B109" s="70">
        <f t="shared" si="3"/>
        <v>0</v>
      </c>
      <c r="C109" s="71"/>
      <c r="D109" s="59" t="s">
        <v>92</v>
      </c>
      <c r="E109" s="60">
        <v>12960</v>
      </c>
      <c r="F109" s="10" t="s">
        <v>381</v>
      </c>
      <c r="G109" s="60">
        <v>602</v>
      </c>
      <c r="H109" s="81">
        <v>10</v>
      </c>
      <c r="I109" s="86">
        <v>90</v>
      </c>
      <c r="J109" s="81">
        <v>10</v>
      </c>
      <c r="K109" s="86">
        <v>90</v>
      </c>
      <c r="L109" s="81">
        <v>343</v>
      </c>
      <c r="M109" s="86">
        <v>360</v>
      </c>
      <c r="N109" s="81">
        <v>87266</v>
      </c>
      <c r="O109" s="86">
        <v>93377</v>
      </c>
      <c r="P109" s="89">
        <f t="shared" si="4"/>
        <v>351.5</v>
      </c>
      <c r="Q109" s="89">
        <f t="shared" si="5"/>
        <v>90321.5</v>
      </c>
      <c r="R109" s="96" t="s">
        <v>94</v>
      </c>
      <c r="S109" s="96" t="s">
        <v>124</v>
      </c>
      <c r="T109" s="96" t="s">
        <v>94</v>
      </c>
      <c r="U109" s="96" t="s">
        <v>136</v>
      </c>
      <c r="V109" s="96" t="s">
        <v>94</v>
      </c>
      <c r="W109" s="96" t="s">
        <v>97</v>
      </c>
      <c r="X109" s="96" t="s">
        <v>98</v>
      </c>
      <c r="Y109" s="96" t="s">
        <v>382</v>
      </c>
      <c r="Z109" s="96" t="s">
        <v>110</v>
      </c>
      <c r="AA109" s="96" t="s">
        <v>383</v>
      </c>
      <c r="AB109" s="96" t="s">
        <v>384</v>
      </c>
      <c r="AC109" s="96" t="s">
        <v>385</v>
      </c>
      <c r="AD109" s="96" t="s">
        <v>386</v>
      </c>
      <c r="AE109" s="96" t="s">
        <v>387</v>
      </c>
      <c r="AF109" s="96" t="s">
        <v>388</v>
      </c>
      <c r="AG109" s="96" t="s">
        <v>110</v>
      </c>
      <c r="AH109" s="96">
        <v>1993</v>
      </c>
      <c r="AI109" s="96" t="s">
        <v>389</v>
      </c>
      <c r="AJ109" s="96" t="s">
        <v>390</v>
      </c>
      <c r="AK109" s="58" t="s">
        <v>110</v>
      </c>
    </row>
    <row r="110" spans="1:37">
      <c r="A110" s="70">
        <v>105</v>
      </c>
      <c r="B110" s="70">
        <f t="shared" si="3"/>
        <v>0</v>
      </c>
      <c r="C110" s="71"/>
      <c r="D110" s="59" t="s">
        <v>92</v>
      </c>
      <c r="E110" s="60">
        <v>12577</v>
      </c>
      <c r="F110" s="10" t="s">
        <v>391</v>
      </c>
      <c r="G110" s="60">
        <v>601</v>
      </c>
      <c r="H110" s="81">
        <v>800</v>
      </c>
      <c r="I110" s="86">
        <v>1236</v>
      </c>
      <c r="J110" s="81">
        <v>800</v>
      </c>
      <c r="K110" s="86">
        <v>1236</v>
      </c>
      <c r="L110" s="81">
        <v>337</v>
      </c>
      <c r="M110" s="86">
        <v>364</v>
      </c>
      <c r="N110" s="81">
        <v>101851</v>
      </c>
      <c r="O110" s="86">
        <v>84651</v>
      </c>
      <c r="P110" s="89">
        <f t="shared" si="4"/>
        <v>350.5</v>
      </c>
      <c r="Q110" s="89">
        <f t="shared" si="5"/>
        <v>93251</v>
      </c>
      <c r="R110" s="96" t="s">
        <v>94</v>
      </c>
      <c r="S110" s="96" t="s">
        <v>124</v>
      </c>
      <c r="T110" s="96" t="s">
        <v>94</v>
      </c>
      <c r="U110" s="96" t="s">
        <v>136</v>
      </c>
      <c r="V110" s="96" t="s">
        <v>94</v>
      </c>
      <c r="W110" s="96" t="s">
        <v>97</v>
      </c>
      <c r="X110" s="96" t="s">
        <v>98</v>
      </c>
      <c r="Y110" s="96" t="s">
        <v>382</v>
      </c>
      <c r="Z110" s="96" t="s">
        <v>392</v>
      </c>
      <c r="AA110" s="96" t="s">
        <v>393</v>
      </c>
      <c r="AB110" s="96" t="s">
        <v>394</v>
      </c>
      <c r="AC110" s="96" t="s">
        <v>395</v>
      </c>
      <c r="AD110" s="96" t="s">
        <v>396</v>
      </c>
      <c r="AE110" s="96" t="s">
        <v>397</v>
      </c>
      <c r="AF110" s="96" t="s">
        <v>398</v>
      </c>
      <c r="AG110" s="96" t="s">
        <v>399</v>
      </c>
      <c r="AH110" s="96">
        <v>1873</v>
      </c>
      <c r="AI110" s="96" t="s">
        <v>400</v>
      </c>
      <c r="AJ110" s="96" t="s">
        <v>401</v>
      </c>
      <c r="AK110" s="58" t="s">
        <v>110</v>
      </c>
    </row>
    <row r="111" spans="1:37">
      <c r="A111" s="70">
        <v>106</v>
      </c>
      <c r="B111" s="70">
        <f t="shared" si="3"/>
        <v>0</v>
      </c>
      <c r="C111" s="71"/>
      <c r="D111" s="59" t="s">
        <v>92</v>
      </c>
      <c r="E111" s="60">
        <v>13707</v>
      </c>
      <c r="F111" s="10" t="s">
        <v>402</v>
      </c>
      <c r="G111" s="60">
        <v>609</v>
      </c>
      <c r="H111" s="81">
        <v>54</v>
      </c>
      <c r="I111" s="86">
        <v>7</v>
      </c>
      <c r="J111" s="81">
        <v>54</v>
      </c>
      <c r="K111" s="86">
        <v>7</v>
      </c>
      <c r="L111" s="81">
        <v>317</v>
      </c>
      <c r="M111" s="86">
        <v>381</v>
      </c>
      <c r="N111" s="81">
        <v>146647</v>
      </c>
      <c r="O111" s="86">
        <v>41420</v>
      </c>
      <c r="P111" s="89">
        <f t="shared" si="4"/>
        <v>349</v>
      </c>
      <c r="Q111" s="89">
        <f t="shared" si="5"/>
        <v>94033.5</v>
      </c>
      <c r="R111" s="96" t="s">
        <v>94</v>
      </c>
      <c r="S111" s="96" t="s">
        <v>124</v>
      </c>
      <c r="T111" s="96" t="s">
        <v>94</v>
      </c>
      <c r="U111" s="96" t="s">
        <v>136</v>
      </c>
      <c r="V111" s="96" t="s">
        <v>94</v>
      </c>
      <c r="W111" s="96" t="s">
        <v>97</v>
      </c>
      <c r="X111" s="96" t="s">
        <v>98</v>
      </c>
      <c r="Y111" s="96" t="s">
        <v>110</v>
      </c>
      <c r="Z111" s="96" t="s">
        <v>110</v>
      </c>
      <c r="AA111" s="96" t="s">
        <v>403</v>
      </c>
      <c r="AB111" s="96" t="s">
        <v>404</v>
      </c>
      <c r="AC111" s="96" t="s">
        <v>405</v>
      </c>
      <c r="AD111" s="96" t="s">
        <v>406</v>
      </c>
      <c r="AE111" s="96" t="s">
        <v>407</v>
      </c>
      <c r="AF111" s="96" t="s">
        <v>408</v>
      </c>
      <c r="AG111" s="96" t="s">
        <v>110</v>
      </c>
      <c r="AH111" s="96">
        <v>2421</v>
      </c>
      <c r="AI111" s="96" t="s">
        <v>409</v>
      </c>
      <c r="AJ111" s="96" t="s">
        <v>410</v>
      </c>
      <c r="AK111" s="58" t="s">
        <v>110</v>
      </c>
    </row>
    <row r="112" spans="1:37">
      <c r="A112" s="70">
        <v>107</v>
      </c>
      <c r="B112" s="70">
        <f t="shared" si="3"/>
        <v>0</v>
      </c>
      <c r="C112" s="71"/>
      <c r="D112" s="59" t="s">
        <v>92</v>
      </c>
      <c r="E112" s="60">
        <v>10862</v>
      </c>
      <c r="F112" s="10" t="s">
        <v>278</v>
      </c>
      <c r="G112" s="60">
        <v>617</v>
      </c>
      <c r="H112" s="81">
        <v>15</v>
      </c>
      <c r="I112" s="86" t="s">
        <v>110</v>
      </c>
      <c r="J112" s="81">
        <v>15</v>
      </c>
      <c r="K112" s="86" t="s">
        <v>110</v>
      </c>
      <c r="L112" s="81">
        <v>340</v>
      </c>
      <c r="M112" s="86" t="s">
        <v>110</v>
      </c>
      <c r="N112" s="81">
        <v>95088</v>
      </c>
      <c r="O112" s="86" t="s">
        <v>110</v>
      </c>
      <c r="P112" s="89">
        <f t="shared" si="4"/>
        <v>340</v>
      </c>
      <c r="Q112" s="89">
        <f t="shared" si="5"/>
        <v>95088</v>
      </c>
      <c r="R112" s="96" t="s">
        <v>94</v>
      </c>
      <c r="S112" s="96" t="s">
        <v>124</v>
      </c>
      <c r="T112" s="96" t="s">
        <v>94</v>
      </c>
      <c r="U112" s="96" t="s">
        <v>136</v>
      </c>
      <c r="V112" s="96" t="s">
        <v>94</v>
      </c>
      <c r="W112" s="96" t="s">
        <v>97</v>
      </c>
      <c r="X112" s="96" t="s">
        <v>98</v>
      </c>
      <c r="Y112" s="96" t="s">
        <v>192</v>
      </c>
      <c r="Z112" s="96" t="s">
        <v>193</v>
      </c>
      <c r="AA112" s="96" t="s">
        <v>279</v>
      </c>
      <c r="AB112" s="96" t="s">
        <v>280</v>
      </c>
      <c r="AC112" s="96" t="s">
        <v>281</v>
      </c>
      <c r="AD112" s="96" t="s">
        <v>282</v>
      </c>
      <c r="AE112" s="96" t="s">
        <v>283</v>
      </c>
      <c r="AF112" s="96" t="s">
        <v>284</v>
      </c>
      <c r="AG112" s="96" t="s">
        <v>285</v>
      </c>
      <c r="AH112" s="96">
        <v>1410</v>
      </c>
      <c r="AI112" s="96" t="s">
        <v>286</v>
      </c>
      <c r="AJ112" s="96" t="s">
        <v>287</v>
      </c>
      <c r="AK112" s="58" t="s">
        <v>110</v>
      </c>
    </row>
    <row r="113" spans="1:37">
      <c r="A113" s="70">
        <v>108</v>
      </c>
      <c r="B113" s="70">
        <f t="shared" si="3"/>
        <v>0</v>
      </c>
      <c r="C113" s="71"/>
      <c r="D113" s="59" t="s">
        <v>92</v>
      </c>
      <c r="E113" s="60">
        <v>13708</v>
      </c>
      <c r="F113" s="10" t="s">
        <v>411</v>
      </c>
      <c r="G113" s="60">
        <v>603</v>
      </c>
      <c r="H113" s="81">
        <v>20</v>
      </c>
      <c r="I113" s="86">
        <v>40</v>
      </c>
      <c r="J113" s="81">
        <v>20</v>
      </c>
      <c r="K113" s="86">
        <v>40</v>
      </c>
      <c r="L113" s="81">
        <v>339</v>
      </c>
      <c r="M113" s="86">
        <v>360</v>
      </c>
      <c r="N113" s="81">
        <v>96765</v>
      </c>
      <c r="O113" s="86">
        <v>94324</v>
      </c>
      <c r="P113" s="89">
        <f t="shared" si="4"/>
        <v>349.5</v>
      </c>
      <c r="Q113" s="89">
        <f t="shared" si="5"/>
        <v>95544.5</v>
      </c>
      <c r="R113" s="96" t="s">
        <v>94</v>
      </c>
      <c r="S113" s="96" t="s">
        <v>124</v>
      </c>
      <c r="T113" s="96" t="s">
        <v>94</v>
      </c>
      <c r="U113" s="96" t="s">
        <v>136</v>
      </c>
      <c r="V113" s="96" t="s">
        <v>94</v>
      </c>
      <c r="W113" s="96" t="s">
        <v>97</v>
      </c>
      <c r="X113" s="96" t="s">
        <v>98</v>
      </c>
      <c r="Y113" s="96" t="s">
        <v>110</v>
      </c>
      <c r="Z113" s="96" t="s">
        <v>148</v>
      </c>
      <c r="AA113" s="96" t="s">
        <v>412</v>
      </c>
      <c r="AB113" s="96" t="s">
        <v>413</v>
      </c>
      <c r="AC113" s="96" t="s">
        <v>414</v>
      </c>
      <c r="AD113" s="96" t="s">
        <v>415</v>
      </c>
      <c r="AE113" s="96" t="s">
        <v>416</v>
      </c>
      <c r="AF113" s="96" t="s">
        <v>417</v>
      </c>
      <c r="AG113" s="96" t="s">
        <v>110</v>
      </c>
      <c r="AH113" s="96">
        <v>2091</v>
      </c>
      <c r="AI113" s="96" t="s">
        <v>418</v>
      </c>
      <c r="AJ113" s="96" t="s">
        <v>419</v>
      </c>
      <c r="AK113" s="58" t="s">
        <v>110</v>
      </c>
    </row>
    <row r="114" spans="1:37">
      <c r="A114" s="70">
        <v>109</v>
      </c>
      <c r="B114" s="70">
        <f t="shared" si="3"/>
        <v>0</v>
      </c>
      <c r="C114" s="71"/>
      <c r="D114" s="59" t="s">
        <v>92</v>
      </c>
      <c r="E114" s="60">
        <v>12953</v>
      </c>
      <c r="F114" s="10" t="s">
        <v>420</v>
      </c>
      <c r="G114" s="60">
        <v>602</v>
      </c>
      <c r="H114" s="81">
        <v>100</v>
      </c>
      <c r="I114" s="86">
        <v>275</v>
      </c>
      <c r="J114" s="81">
        <v>100</v>
      </c>
      <c r="K114" s="86">
        <v>275</v>
      </c>
      <c r="L114" s="81">
        <v>347</v>
      </c>
      <c r="M114" s="86">
        <v>351</v>
      </c>
      <c r="N114" s="81">
        <v>78057</v>
      </c>
      <c r="O114" s="86">
        <v>116436</v>
      </c>
      <c r="P114" s="89">
        <f t="shared" si="4"/>
        <v>349</v>
      </c>
      <c r="Q114" s="89">
        <f t="shared" si="5"/>
        <v>97246.5</v>
      </c>
      <c r="R114" s="96" t="s">
        <v>94</v>
      </c>
      <c r="S114" s="96" t="s">
        <v>124</v>
      </c>
      <c r="T114" s="96" t="s">
        <v>94</v>
      </c>
      <c r="U114" s="96" t="s">
        <v>136</v>
      </c>
      <c r="V114" s="96" t="s">
        <v>94</v>
      </c>
      <c r="W114" s="96" t="s">
        <v>97</v>
      </c>
      <c r="X114" s="96" t="s">
        <v>98</v>
      </c>
      <c r="Y114" s="96" t="s">
        <v>225</v>
      </c>
      <c r="Z114" s="96" t="s">
        <v>148</v>
      </c>
      <c r="AA114" s="96" t="s">
        <v>421</v>
      </c>
      <c r="AB114" s="96" t="s">
        <v>422</v>
      </c>
      <c r="AC114" s="96" t="s">
        <v>423</v>
      </c>
      <c r="AD114" s="96" t="s">
        <v>424</v>
      </c>
      <c r="AE114" s="96" t="s">
        <v>425</v>
      </c>
      <c r="AF114" s="96" t="s">
        <v>426</v>
      </c>
      <c r="AG114" s="96" t="s">
        <v>110</v>
      </c>
      <c r="AH114" s="96">
        <v>2506</v>
      </c>
      <c r="AI114" s="96" t="s">
        <v>427</v>
      </c>
      <c r="AJ114" s="96" t="s">
        <v>428</v>
      </c>
      <c r="AK114" s="58" t="s">
        <v>110</v>
      </c>
    </row>
    <row r="115" spans="1:37">
      <c r="A115" s="70">
        <v>110</v>
      </c>
      <c r="B115" s="70">
        <f t="shared" si="3"/>
        <v>0</v>
      </c>
      <c r="C115" s="71"/>
      <c r="D115" s="59" t="s">
        <v>92</v>
      </c>
      <c r="E115" s="60">
        <v>12953</v>
      </c>
      <c r="F115" s="10" t="s">
        <v>420</v>
      </c>
      <c r="G115" s="60">
        <v>601</v>
      </c>
      <c r="H115" s="81">
        <v>220</v>
      </c>
      <c r="I115" s="86">
        <v>270</v>
      </c>
      <c r="J115" s="81">
        <v>221</v>
      </c>
      <c r="K115" s="86">
        <v>271</v>
      </c>
      <c r="L115" s="81">
        <v>341</v>
      </c>
      <c r="M115" s="86">
        <v>356</v>
      </c>
      <c r="N115" s="81">
        <v>91473</v>
      </c>
      <c r="O115" s="86">
        <v>104206</v>
      </c>
      <c r="P115" s="89">
        <f t="shared" si="4"/>
        <v>348.5</v>
      </c>
      <c r="Q115" s="89">
        <f t="shared" si="5"/>
        <v>97839.5</v>
      </c>
      <c r="R115" s="96" t="s">
        <v>94</v>
      </c>
      <c r="S115" s="96" t="s">
        <v>124</v>
      </c>
      <c r="T115" s="96" t="s">
        <v>94</v>
      </c>
      <c r="U115" s="96" t="s">
        <v>136</v>
      </c>
      <c r="V115" s="96" t="s">
        <v>94</v>
      </c>
      <c r="W115" s="96" t="s">
        <v>97</v>
      </c>
      <c r="X115" s="96" t="s">
        <v>98</v>
      </c>
      <c r="Y115" s="96" t="s">
        <v>225</v>
      </c>
      <c r="Z115" s="96" t="s">
        <v>148</v>
      </c>
      <c r="AA115" s="96" t="s">
        <v>421</v>
      </c>
      <c r="AB115" s="96" t="s">
        <v>422</v>
      </c>
      <c r="AC115" s="96" t="s">
        <v>423</v>
      </c>
      <c r="AD115" s="96" t="s">
        <v>424</v>
      </c>
      <c r="AE115" s="96" t="s">
        <v>425</v>
      </c>
      <c r="AF115" s="96" t="s">
        <v>426</v>
      </c>
      <c r="AG115" s="96" t="s">
        <v>110</v>
      </c>
      <c r="AH115" s="96">
        <v>2506</v>
      </c>
      <c r="AI115" s="96" t="s">
        <v>427</v>
      </c>
      <c r="AJ115" s="96" t="s">
        <v>428</v>
      </c>
      <c r="AK115" s="58" t="s">
        <v>110</v>
      </c>
    </row>
    <row r="116" spans="1:37">
      <c r="A116" s="70">
        <v>111</v>
      </c>
      <c r="B116" s="70">
        <f t="shared" si="3"/>
        <v>0</v>
      </c>
      <c r="C116" s="71"/>
      <c r="D116" s="59" t="s">
        <v>92</v>
      </c>
      <c r="E116" s="60">
        <v>10861</v>
      </c>
      <c r="F116" s="10" t="s">
        <v>359</v>
      </c>
      <c r="G116" s="60">
        <v>602</v>
      </c>
      <c r="H116" s="81">
        <v>546</v>
      </c>
      <c r="I116" s="86">
        <v>878</v>
      </c>
      <c r="J116" s="81">
        <v>546</v>
      </c>
      <c r="K116" s="86">
        <v>878</v>
      </c>
      <c r="L116" s="81">
        <v>339</v>
      </c>
      <c r="M116" s="86">
        <v>358</v>
      </c>
      <c r="N116" s="81">
        <v>97131</v>
      </c>
      <c r="O116" s="86">
        <v>99256</v>
      </c>
      <c r="P116" s="89">
        <f t="shared" si="4"/>
        <v>348.5</v>
      </c>
      <c r="Q116" s="89">
        <f t="shared" si="5"/>
        <v>98193.5</v>
      </c>
      <c r="R116" s="96" t="s">
        <v>94</v>
      </c>
      <c r="S116" s="96" t="s">
        <v>124</v>
      </c>
      <c r="T116" s="96" t="s">
        <v>94</v>
      </c>
      <c r="U116" s="96" t="s">
        <v>136</v>
      </c>
      <c r="V116" s="96" t="s">
        <v>94</v>
      </c>
      <c r="W116" s="96" t="s">
        <v>97</v>
      </c>
      <c r="X116" s="96" t="s">
        <v>98</v>
      </c>
      <c r="Y116" s="96" t="s">
        <v>360</v>
      </c>
      <c r="Z116" s="96" t="s">
        <v>361</v>
      </c>
      <c r="AA116" s="96" t="s">
        <v>362</v>
      </c>
      <c r="AB116" s="96" t="s">
        <v>363</v>
      </c>
      <c r="AC116" s="96" t="s">
        <v>364</v>
      </c>
      <c r="AD116" s="96" t="s">
        <v>365</v>
      </c>
      <c r="AE116" s="96" t="s">
        <v>366</v>
      </c>
      <c r="AF116" s="96" t="s">
        <v>367</v>
      </c>
      <c r="AG116" s="96" t="s">
        <v>368</v>
      </c>
      <c r="AH116" s="96">
        <v>1765</v>
      </c>
      <c r="AI116" s="96" t="s">
        <v>369</v>
      </c>
      <c r="AJ116" s="96" t="s">
        <v>370</v>
      </c>
      <c r="AK116" s="58" t="s">
        <v>110</v>
      </c>
    </row>
    <row r="117" spans="1:37">
      <c r="A117" s="70">
        <v>112</v>
      </c>
      <c r="B117" s="70">
        <f t="shared" si="3"/>
        <v>0</v>
      </c>
      <c r="C117" s="71"/>
      <c r="D117" s="59" t="s">
        <v>92</v>
      </c>
      <c r="E117" s="60">
        <v>13709</v>
      </c>
      <c r="F117" s="10" t="s">
        <v>429</v>
      </c>
      <c r="G117" s="60">
        <v>602</v>
      </c>
      <c r="H117" s="81">
        <v>357</v>
      </c>
      <c r="I117" s="86">
        <v>123</v>
      </c>
      <c r="J117" s="81">
        <v>357</v>
      </c>
      <c r="K117" s="86">
        <v>123</v>
      </c>
      <c r="L117" s="81">
        <v>340</v>
      </c>
      <c r="M117" s="86">
        <v>356</v>
      </c>
      <c r="N117" s="81">
        <v>93157</v>
      </c>
      <c r="O117" s="86">
        <v>103798</v>
      </c>
      <c r="P117" s="89">
        <f t="shared" si="4"/>
        <v>348</v>
      </c>
      <c r="Q117" s="89">
        <f t="shared" si="5"/>
        <v>98477.5</v>
      </c>
      <c r="R117" s="96" t="s">
        <v>94</v>
      </c>
      <c r="S117" s="96" t="s">
        <v>124</v>
      </c>
      <c r="T117" s="96" t="s">
        <v>94</v>
      </c>
      <c r="U117" s="96" t="s">
        <v>136</v>
      </c>
      <c r="V117" s="96" t="s">
        <v>94</v>
      </c>
      <c r="W117" s="96" t="s">
        <v>97</v>
      </c>
      <c r="X117" s="96" t="s">
        <v>98</v>
      </c>
      <c r="Y117" s="96" t="s">
        <v>225</v>
      </c>
      <c r="Z117" s="96" t="s">
        <v>148</v>
      </c>
      <c r="AA117" s="96" t="s">
        <v>430</v>
      </c>
      <c r="AB117" s="96" t="s">
        <v>431</v>
      </c>
      <c r="AC117" s="96" t="s">
        <v>432</v>
      </c>
      <c r="AD117" s="96" t="s">
        <v>433</v>
      </c>
      <c r="AE117" s="96" t="s">
        <v>434</v>
      </c>
      <c r="AF117" s="96" t="s">
        <v>435</v>
      </c>
      <c r="AG117" s="96" t="s">
        <v>110</v>
      </c>
      <c r="AH117" s="96">
        <v>2369</v>
      </c>
      <c r="AI117" s="96" t="s">
        <v>436</v>
      </c>
      <c r="AJ117" s="96" t="s">
        <v>437</v>
      </c>
      <c r="AK117" s="58" t="s">
        <v>110</v>
      </c>
    </row>
    <row r="118" spans="1:37">
      <c r="A118" s="70">
        <v>113</v>
      </c>
      <c r="B118" s="70">
        <f t="shared" si="3"/>
        <v>0</v>
      </c>
      <c r="C118" s="71"/>
      <c r="D118" s="59" t="s">
        <v>92</v>
      </c>
      <c r="E118" s="60">
        <v>14664</v>
      </c>
      <c r="F118" s="10" t="s">
        <v>438</v>
      </c>
      <c r="G118" s="60">
        <v>603</v>
      </c>
      <c r="H118" s="81">
        <v>155</v>
      </c>
      <c r="I118" s="86">
        <v>135</v>
      </c>
      <c r="J118" s="81">
        <v>155</v>
      </c>
      <c r="K118" s="86">
        <v>135</v>
      </c>
      <c r="L118" s="81">
        <v>320</v>
      </c>
      <c r="M118" s="86">
        <v>374</v>
      </c>
      <c r="N118" s="81">
        <v>139392</v>
      </c>
      <c r="O118" s="86">
        <v>58087</v>
      </c>
      <c r="P118" s="89">
        <f t="shared" si="4"/>
        <v>347</v>
      </c>
      <c r="Q118" s="89">
        <f t="shared" si="5"/>
        <v>98739.5</v>
      </c>
      <c r="R118" s="96" t="s">
        <v>94</v>
      </c>
      <c r="S118" s="96" t="s">
        <v>237</v>
      </c>
      <c r="T118" s="96" t="s">
        <v>94</v>
      </c>
      <c r="U118" s="96" t="s">
        <v>136</v>
      </c>
      <c r="V118" s="96" t="s">
        <v>94</v>
      </c>
      <c r="W118" s="96" t="s">
        <v>97</v>
      </c>
      <c r="X118" s="96" t="s">
        <v>147</v>
      </c>
      <c r="Y118" s="96" t="s">
        <v>110</v>
      </c>
      <c r="Z118" s="96" t="s">
        <v>110</v>
      </c>
      <c r="AA118" s="96" t="s">
        <v>439</v>
      </c>
      <c r="AB118" s="96" t="s">
        <v>110</v>
      </c>
      <c r="AC118" s="96" t="s">
        <v>440</v>
      </c>
      <c r="AD118" s="96" t="s">
        <v>441</v>
      </c>
      <c r="AE118" s="96" t="s">
        <v>442</v>
      </c>
      <c r="AF118" s="96" t="s">
        <v>443</v>
      </c>
      <c r="AG118" s="96" t="s">
        <v>110</v>
      </c>
      <c r="AH118" s="96">
        <v>2851</v>
      </c>
      <c r="AI118" s="96" t="s">
        <v>444</v>
      </c>
      <c r="AJ118" s="96" t="s">
        <v>445</v>
      </c>
      <c r="AK118" s="58" t="s">
        <v>110</v>
      </c>
    </row>
    <row r="119" spans="1:37">
      <c r="A119" s="70">
        <v>114</v>
      </c>
      <c r="B119" s="70">
        <f t="shared" si="3"/>
        <v>0</v>
      </c>
      <c r="C119" s="71"/>
      <c r="D119" s="59" t="s">
        <v>92</v>
      </c>
      <c r="E119" s="60">
        <v>12572</v>
      </c>
      <c r="F119" s="10" t="s">
        <v>191</v>
      </c>
      <c r="G119" s="60">
        <v>608</v>
      </c>
      <c r="H119" s="81">
        <v>30</v>
      </c>
      <c r="I119" s="86">
        <v>80</v>
      </c>
      <c r="J119" s="81">
        <v>30</v>
      </c>
      <c r="K119" s="86">
        <v>80</v>
      </c>
      <c r="L119" s="81">
        <v>332</v>
      </c>
      <c r="M119" s="86">
        <v>363</v>
      </c>
      <c r="N119" s="81">
        <v>111152</v>
      </c>
      <c r="O119" s="86">
        <v>86413</v>
      </c>
      <c r="P119" s="89">
        <f t="shared" si="4"/>
        <v>347.5</v>
      </c>
      <c r="Q119" s="89">
        <f t="shared" si="5"/>
        <v>98782.5</v>
      </c>
      <c r="R119" s="96" t="s">
        <v>94</v>
      </c>
      <c r="S119" s="96" t="s">
        <v>124</v>
      </c>
      <c r="T119" s="96" t="s">
        <v>94</v>
      </c>
      <c r="U119" s="96" t="s">
        <v>136</v>
      </c>
      <c r="V119" s="96" t="s">
        <v>94</v>
      </c>
      <c r="W119" s="96" t="s">
        <v>97</v>
      </c>
      <c r="X119" s="96" t="s">
        <v>98</v>
      </c>
      <c r="Y119" s="96" t="s">
        <v>192</v>
      </c>
      <c r="Z119" s="96" t="s">
        <v>193</v>
      </c>
      <c r="AA119" s="96" t="s">
        <v>194</v>
      </c>
      <c r="AB119" s="96" t="s">
        <v>195</v>
      </c>
      <c r="AC119" s="96" t="s">
        <v>196</v>
      </c>
      <c r="AD119" s="96" t="s">
        <v>197</v>
      </c>
      <c r="AE119" s="96" t="s">
        <v>198</v>
      </c>
      <c r="AF119" s="96" t="s">
        <v>199</v>
      </c>
      <c r="AG119" s="96" t="s">
        <v>200</v>
      </c>
      <c r="AH119" s="96">
        <v>1329</v>
      </c>
      <c r="AI119" s="96" t="s">
        <v>201</v>
      </c>
      <c r="AJ119" s="96" t="s">
        <v>202</v>
      </c>
      <c r="AK119" s="58" t="s">
        <v>110</v>
      </c>
    </row>
    <row r="120" spans="1:37">
      <c r="A120" s="70">
        <v>115</v>
      </c>
      <c r="B120" s="70">
        <f t="shared" si="3"/>
        <v>0</v>
      </c>
      <c r="C120" s="71"/>
      <c r="D120" s="59" t="s">
        <v>92</v>
      </c>
      <c r="E120" s="60">
        <v>14065</v>
      </c>
      <c r="F120" s="10" t="s">
        <v>310</v>
      </c>
      <c r="G120" s="60">
        <v>602</v>
      </c>
      <c r="H120" s="81">
        <v>40</v>
      </c>
      <c r="I120" s="86">
        <v>50</v>
      </c>
      <c r="J120" s="81">
        <v>40</v>
      </c>
      <c r="K120" s="86">
        <v>50</v>
      </c>
      <c r="L120" s="81">
        <v>323</v>
      </c>
      <c r="M120" s="86">
        <v>371</v>
      </c>
      <c r="N120" s="81">
        <v>132397</v>
      </c>
      <c r="O120" s="86">
        <v>66320</v>
      </c>
      <c r="P120" s="89">
        <f t="shared" si="4"/>
        <v>347</v>
      </c>
      <c r="Q120" s="89">
        <f t="shared" si="5"/>
        <v>99358.5</v>
      </c>
      <c r="R120" s="96" t="s">
        <v>94</v>
      </c>
      <c r="S120" s="96" t="s">
        <v>124</v>
      </c>
      <c r="T120" s="96" t="s">
        <v>94</v>
      </c>
      <c r="U120" s="96" t="s">
        <v>136</v>
      </c>
      <c r="V120" s="96" t="s">
        <v>94</v>
      </c>
      <c r="W120" s="96" t="s">
        <v>97</v>
      </c>
      <c r="X120" s="96" t="s">
        <v>98</v>
      </c>
      <c r="Y120" s="96" t="s">
        <v>225</v>
      </c>
      <c r="Z120" s="96" t="s">
        <v>148</v>
      </c>
      <c r="AA120" s="96" t="s">
        <v>311</v>
      </c>
      <c r="AB120" s="96" t="s">
        <v>312</v>
      </c>
      <c r="AC120" s="96" t="s">
        <v>313</v>
      </c>
      <c r="AD120" s="96" t="s">
        <v>314</v>
      </c>
      <c r="AE120" s="96" t="s">
        <v>315</v>
      </c>
      <c r="AF120" s="96" t="s">
        <v>316</v>
      </c>
      <c r="AG120" s="96" t="s">
        <v>110</v>
      </c>
      <c r="AH120" s="96">
        <v>2004</v>
      </c>
      <c r="AI120" s="96" t="s">
        <v>317</v>
      </c>
      <c r="AJ120" s="96" t="s">
        <v>318</v>
      </c>
      <c r="AK120" s="58" t="s">
        <v>110</v>
      </c>
    </row>
    <row r="121" spans="1:37">
      <c r="A121" s="70">
        <v>116</v>
      </c>
      <c r="B121" s="70">
        <f t="shared" si="3"/>
        <v>0</v>
      </c>
      <c r="C121" s="71"/>
      <c r="D121" s="59" t="s">
        <v>92</v>
      </c>
      <c r="E121" s="60">
        <v>12953</v>
      </c>
      <c r="F121" s="10" t="s">
        <v>420</v>
      </c>
      <c r="G121" s="60">
        <v>603</v>
      </c>
      <c r="H121" s="81">
        <v>294</v>
      </c>
      <c r="I121" s="86">
        <v>415</v>
      </c>
      <c r="J121" s="81">
        <v>294</v>
      </c>
      <c r="K121" s="86">
        <v>415</v>
      </c>
      <c r="L121" s="81">
        <v>337</v>
      </c>
      <c r="M121" s="86">
        <v>356</v>
      </c>
      <c r="N121" s="81">
        <v>101070</v>
      </c>
      <c r="O121" s="86">
        <v>102812</v>
      </c>
      <c r="P121" s="89">
        <f t="shared" si="4"/>
        <v>346.5</v>
      </c>
      <c r="Q121" s="89">
        <f t="shared" si="5"/>
        <v>101941</v>
      </c>
      <c r="R121" s="96" t="s">
        <v>94</v>
      </c>
      <c r="S121" s="96" t="s">
        <v>124</v>
      </c>
      <c r="T121" s="96" t="s">
        <v>94</v>
      </c>
      <c r="U121" s="96" t="s">
        <v>136</v>
      </c>
      <c r="V121" s="96" t="s">
        <v>94</v>
      </c>
      <c r="W121" s="96" t="s">
        <v>97</v>
      </c>
      <c r="X121" s="96" t="s">
        <v>98</v>
      </c>
      <c r="Y121" s="96" t="s">
        <v>225</v>
      </c>
      <c r="Z121" s="96" t="s">
        <v>148</v>
      </c>
      <c r="AA121" s="96" t="s">
        <v>421</v>
      </c>
      <c r="AB121" s="96" t="s">
        <v>422</v>
      </c>
      <c r="AC121" s="96" t="s">
        <v>423</v>
      </c>
      <c r="AD121" s="96" t="s">
        <v>424</v>
      </c>
      <c r="AE121" s="96" t="s">
        <v>425</v>
      </c>
      <c r="AF121" s="96" t="s">
        <v>426</v>
      </c>
      <c r="AG121" s="96" t="s">
        <v>110</v>
      </c>
      <c r="AH121" s="96">
        <v>2506</v>
      </c>
      <c r="AI121" s="96" t="s">
        <v>427</v>
      </c>
      <c r="AJ121" s="96" t="s">
        <v>428</v>
      </c>
      <c r="AK121" s="58" t="s">
        <v>110</v>
      </c>
    </row>
    <row r="122" spans="1:37">
      <c r="A122" s="70">
        <v>117</v>
      </c>
      <c r="B122" s="70">
        <f t="shared" si="3"/>
        <v>0</v>
      </c>
      <c r="C122" s="71"/>
      <c r="D122" s="59" t="s">
        <v>92</v>
      </c>
      <c r="E122" s="60">
        <v>12046</v>
      </c>
      <c r="F122" s="10" t="s">
        <v>156</v>
      </c>
      <c r="G122" s="60">
        <v>608</v>
      </c>
      <c r="H122" s="81">
        <v>70</v>
      </c>
      <c r="I122" s="86" t="s">
        <v>110</v>
      </c>
      <c r="J122" s="81">
        <v>70</v>
      </c>
      <c r="K122" s="86" t="s">
        <v>110</v>
      </c>
      <c r="L122" s="81">
        <v>336</v>
      </c>
      <c r="M122" s="86" t="s">
        <v>110</v>
      </c>
      <c r="N122" s="81">
        <v>102735</v>
      </c>
      <c r="O122" s="86" t="s">
        <v>110</v>
      </c>
      <c r="P122" s="89">
        <f t="shared" si="4"/>
        <v>336</v>
      </c>
      <c r="Q122" s="89">
        <f t="shared" si="5"/>
        <v>102735</v>
      </c>
      <c r="R122" s="96" t="s">
        <v>94</v>
      </c>
      <c r="S122" s="96" t="s">
        <v>124</v>
      </c>
      <c r="T122" s="96" t="s">
        <v>94</v>
      </c>
      <c r="U122" s="96" t="s">
        <v>96</v>
      </c>
      <c r="V122" s="96" t="s">
        <v>94</v>
      </c>
      <c r="W122" s="96" t="s">
        <v>97</v>
      </c>
      <c r="X122" s="96" t="s">
        <v>98</v>
      </c>
      <c r="Y122" s="96" t="s">
        <v>157</v>
      </c>
      <c r="Z122" s="96" t="s">
        <v>126</v>
      </c>
      <c r="AA122" s="96" t="s">
        <v>158</v>
      </c>
      <c r="AB122" s="96" t="s">
        <v>159</v>
      </c>
      <c r="AC122" s="96" t="s">
        <v>160</v>
      </c>
      <c r="AD122" s="96" t="s">
        <v>161</v>
      </c>
      <c r="AE122" s="96" t="s">
        <v>162</v>
      </c>
      <c r="AF122" s="96" t="s">
        <v>163</v>
      </c>
      <c r="AG122" s="96" t="s">
        <v>164</v>
      </c>
      <c r="AH122" s="96">
        <v>426</v>
      </c>
      <c r="AI122" s="96" t="s">
        <v>165</v>
      </c>
      <c r="AJ122" s="96" t="s">
        <v>166</v>
      </c>
      <c r="AK122" s="58" t="s">
        <v>110</v>
      </c>
    </row>
    <row r="123" spans="1:37">
      <c r="A123" s="70">
        <v>118</v>
      </c>
      <c r="B123" s="70">
        <f t="shared" si="3"/>
        <v>0</v>
      </c>
      <c r="C123" s="71"/>
      <c r="D123" s="59" t="s">
        <v>92</v>
      </c>
      <c r="E123" s="60">
        <v>10862</v>
      </c>
      <c r="F123" s="10" t="s">
        <v>278</v>
      </c>
      <c r="G123" s="60">
        <v>615</v>
      </c>
      <c r="H123" s="81">
        <v>46</v>
      </c>
      <c r="I123" s="86" t="s">
        <v>110</v>
      </c>
      <c r="J123" s="81">
        <v>46</v>
      </c>
      <c r="K123" s="86" t="s">
        <v>110</v>
      </c>
      <c r="L123" s="81">
        <v>336</v>
      </c>
      <c r="M123" s="86" t="s">
        <v>110</v>
      </c>
      <c r="N123" s="81">
        <v>103272</v>
      </c>
      <c r="O123" s="86" t="s">
        <v>110</v>
      </c>
      <c r="P123" s="89">
        <f t="shared" si="4"/>
        <v>336</v>
      </c>
      <c r="Q123" s="89">
        <f t="shared" si="5"/>
        <v>103272</v>
      </c>
      <c r="R123" s="96" t="s">
        <v>94</v>
      </c>
      <c r="S123" s="96" t="s">
        <v>124</v>
      </c>
      <c r="T123" s="96" t="s">
        <v>94</v>
      </c>
      <c r="U123" s="96" t="s">
        <v>136</v>
      </c>
      <c r="V123" s="96" t="s">
        <v>94</v>
      </c>
      <c r="W123" s="96" t="s">
        <v>97</v>
      </c>
      <c r="X123" s="96" t="s">
        <v>98</v>
      </c>
      <c r="Y123" s="96" t="s">
        <v>192</v>
      </c>
      <c r="Z123" s="96" t="s">
        <v>193</v>
      </c>
      <c r="AA123" s="96" t="s">
        <v>279</v>
      </c>
      <c r="AB123" s="96" t="s">
        <v>280</v>
      </c>
      <c r="AC123" s="96" t="s">
        <v>281</v>
      </c>
      <c r="AD123" s="96" t="s">
        <v>282</v>
      </c>
      <c r="AE123" s="96" t="s">
        <v>283</v>
      </c>
      <c r="AF123" s="96" t="s">
        <v>284</v>
      </c>
      <c r="AG123" s="96" t="s">
        <v>285</v>
      </c>
      <c r="AH123" s="96">
        <v>1410</v>
      </c>
      <c r="AI123" s="96" t="s">
        <v>286</v>
      </c>
      <c r="AJ123" s="96" t="s">
        <v>287</v>
      </c>
      <c r="AK123" s="58" t="s">
        <v>110</v>
      </c>
    </row>
    <row r="124" spans="1:37">
      <c r="A124" s="70">
        <v>119</v>
      </c>
      <c r="B124" s="70">
        <f t="shared" si="3"/>
        <v>0</v>
      </c>
      <c r="C124" s="71"/>
      <c r="D124" s="59" t="s">
        <v>92</v>
      </c>
      <c r="E124" s="60">
        <v>12953</v>
      </c>
      <c r="F124" s="10" t="s">
        <v>420</v>
      </c>
      <c r="G124" s="60">
        <v>604</v>
      </c>
      <c r="H124" s="81">
        <v>220</v>
      </c>
      <c r="I124" s="86" t="s">
        <v>110</v>
      </c>
      <c r="J124" s="81">
        <v>220</v>
      </c>
      <c r="K124" s="86" t="s">
        <v>110</v>
      </c>
      <c r="L124" s="81">
        <v>334</v>
      </c>
      <c r="M124" s="86" t="s">
        <v>110</v>
      </c>
      <c r="N124" s="81">
        <v>108432</v>
      </c>
      <c r="O124" s="86" t="s">
        <v>110</v>
      </c>
      <c r="P124" s="89">
        <f t="shared" si="4"/>
        <v>334</v>
      </c>
      <c r="Q124" s="89">
        <f t="shared" si="5"/>
        <v>108432</v>
      </c>
      <c r="R124" s="96" t="s">
        <v>94</v>
      </c>
      <c r="S124" s="96" t="s">
        <v>124</v>
      </c>
      <c r="T124" s="96" t="s">
        <v>94</v>
      </c>
      <c r="U124" s="96" t="s">
        <v>136</v>
      </c>
      <c r="V124" s="96" t="s">
        <v>94</v>
      </c>
      <c r="W124" s="96" t="s">
        <v>97</v>
      </c>
      <c r="X124" s="96" t="s">
        <v>98</v>
      </c>
      <c r="Y124" s="96" t="s">
        <v>225</v>
      </c>
      <c r="Z124" s="96" t="s">
        <v>148</v>
      </c>
      <c r="AA124" s="96" t="s">
        <v>421</v>
      </c>
      <c r="AB124" s="96" t="s">
        <v>422</v>
      </c>
      <c r="AC124" s="96" t="s">
        <v>423</v>
      </c>
      <c r="AD124" s="96" t="s">
        <v>424</v>
      </c>
      <c r="AE124" s="96" t="s">
        <v>425</v>
      </c>
      <c r="AF124" s="96" t="s">
        <v>426</v>
      </c>
      <c r="AG124" s="96" t="s">
        <v>110</v>
      </c>
      <c r="AH124" s="96">
        <v>2506</v>
      </c>
      <c r="AI124" s="96" t="s">
        <v>427</v>
      </c>
      <c r="AJ124" s="96" t="s">
        <v>428</v>
      </c>
      <c r="AK124" s="58" t="s">
        <v>110</v>
      </c>
    </row>
    <row r="125" spans="1:37">
      <c r="A125" s="70">
        <v>120</v>
      </c>
      <c r="B125" s="70">
        <f t="shared" si="3"/>
        <v>0</v>
      </c>
      <c r="C125" s="71"/>
      <c r="D125" s="59" t="s">
        <v>92</v>
      </c>
      <c r="E125" s="60">
        <v>10862</v>
      </c>
      <c r="F125" s="10" t="s">
        <v>278</v>
      </c>
      <c r="G125" s="60">
        <v>607</v>
      </c>
      <c r="H125" s="81">
        <v>148</v>
      </c>
      <c r="I125" s="86">
        <v>83</v>
      </c>
      <c r="J125" s="81">
        <v>148</v>
      </c>
      <c r="K125" s="86">
        <v>83</v>
      </c>
      <c r="L125" s="81">
        <v>325</v>
      </c>
      <c r="M125" s="86">
        <v>362</v>
      </c>
      <c r="N125" s="81">
        <v>127015</v>
      </c>
      <c r="O125" s="86">
        <v>89912</v>
      </c>
      <c r="P125" s="89">
        <f t="shared" si="4"/>
        <v>343.5</v>
      </c>
      <c r="Q125" s="89">
        <f t="shared" si="5"/>
        <v>108463.5</v>
      </c>
      <c r="R125" s="96" t="s">
        <v>94</v>
      </c>
      <c r="S125" s="96" t="s">
        <v>124</v>
      </c>
      <c r="T125" s="96" t="s">
        <v>94</v>
      </c>
      <c r="U125" s="96" t="s">
        <v>136</v>
      </c>
      <c r="V125" s="96" t="s">
        <v>94</v>
      </c>
      <c r="W125" s="96" t="s">
        <v>97</v>
      </c>
      <c r="X125" s="96" t="s">
        <v>98</v>
      </c>
      <c r="Y125" s="96" t="s">
        <v>192</v>
      </c>
      <c r="Z125" s="96" t="s">
        <v>193</v>
      </c>
      <c r="AA125" s="96" t="s">
        <v>279</v>
      </c>
      <c r="AB125" s="96" t="s">
        <v>280</v>
      </c>
      <c r="AC125" s="96" t="s">
        <v>281</v>
      </c>
      <c r="AD125" s="96" t="s">
        <v>282</v>
      </c>
      <c r="AE125" s="96" t="s">
        <v>283</v>
      </c>
      <c r="AF125" s="96" t="s">
        <v>284</v>
      </c>
      <c r="AG125" s="96" t="s">
        <v>285</v>
      </c>
      <c r="AH125" s="96">
        <v>1410</v>
      </c>
      <c r="AI125" s="96" t="s">
        <v>286</v>
      </c>
      <c r="AJ125" s="96" t="s">
        <v>287</v>
      </c>
      <c r="AK125" s="58" t="s">
        <v>110</v>
      </c>
    </row>
    <row r="126" spans="1:37">
      <c r="A126" s="70">
        <v>121</v>
      </c>
      <c r="B126" s="70">
        <f t="shared" si="3"/>
        <v>0</v>
      </c>
      <c r="C126" s="71"/>
      <c r="D126" s="59" t="s">
        <v>92</v>
      </c>
      <c r="E126" s="60">
        <v>12770</v>
      </c>
      <c r="F126" s="10" t="s">
        <v>446</v>
      </c>
      <c r="G126" s="60">
        <v>607</v>
      </c>
      <c r="H126" s="81">
        <v>68</v>
      </c>
      <c r="I126" s="86" t="s">
        <v>110</v>
      </c>
      <c r="J126" s="81">
        <v>68</v>
      </c>
      <c r="K126" s="86" t="s">
        <v>110</v>
      </c>
      <c r="L126" s="81">
        <v>333</v>
      </c>
      <c r="M126" s="86" t="s">
        <v>110</v>
      </c>
      <c r="N126" s="81">
        <v>109597</v>
      </c>
      <c r="O126" s="86" t="s">
        <v>110</v>
      </c>
      <c r="P126" s="89">
        <f t="shared" si="4"/>
        <v>333</v>
      </c>
      <c r="Q126" s="89">
        <f t="shared" si="5"/>
        <v>109597</v>
      </c>
      <c r="R126" s="96" t="s">
        <v>94</v>
      </c>
      <c r="S126" s="96" t="s">
        <v>447</v>
      </c>
      <c r="T126" s="96" t="s">
        <v>94</v>
      </c>
      <c r="U126" s="96" t="s">
        <v>136</v>
      </c>
      <c r="V126" s="96" t="s">
        <v>94</v>
      </c>
      <c r="W126" s="96" t="s">
        <v>97</v>
      </c>
      <c r="X126" s="96" t="s">
        <v>448</v>
      </c>
      <c r="Y126" s="96" t="s">
        <v>110</v>
      </c>
      <c r="Z126" s="96" t="s">
        <v>110</v>
      </c>
      <c r="AA126" s="96" t="s">
        <v>449</v>
      </c>
      <c r="AB126" s="96" t="s">
        <v>450</v>
      </c>
      <c r="AC126" s="96" t="s">
        <v>451</v>
      </c>
      <c r="AD126" s="96" t="s">
        <v>452</v>
      </c>
      <c r="AE126" s="96" t="s">
        <v>453</v>
      </c>
      <c r="AF126" s="96" t="s">
        <v>454</v>
      </c>
      <c r="AG126" s="96" t="s">
        <v>455</v>
      </c>
      <c r="AH126" s="96">
        <v>2300</v>
      </c>
      <c r="AI126" s="96" t="s">
        <v>456</v>
      </c>
      <c r="AJ126" s="96" t="s">
        <v>457</v>
      </c>
      <c r="AK126" s="58" t="s">
        <v>110</v>
      </c>
    </row>
    <row r="127" spans="1:37">
      <c r="A127" s="70">
        <v>122</v>
      </c>
      <c r="B127" s="70">
        <f t="shared" si="3"/>
        <v>0</v>
      </c>
      <c r="C127" s="71"/>
      <c r="D127" s="59" t="s">
        <v>92</v>
      </c>
      <c r="E127" s="60">
        <v>13710</v>
      </c>
      <c r="F127" s="10" t="s">
        <v>458</v>
      </c>
      <c r="G127" s="60">
        <v>604</v>
      </c>
      <c r="H127" s="81">
        <v>260</v>
      </c>
      <c r="I127" s="86">
        <v>150</v>
      </c>
      <c r="J127" s="81">
        <v>260</v>
      </c>
      <c r="K127" s="86">
        <v>150</v>
      </c>
      <c r="L127" s="81">
        <v>337</v>
      </c>
      <c r="M127" s="86">
        <v>349</v>
      </c>
      <c r="N127" s="81">
        <v>99845</v>
      </c>
      <c r="O127" s="86">
        <v>121330</v>
      </c>
      <c r="P127" s="89">
        <f t="shared" si="4"/>
        <v>343</v>
      </c>
      <c r="Q127" s="89">
        <f t="shared" si="5"/>
        <v>110587.5</v>
      </c>
      <c r="R127" s="96" t="s">
        <v>94</v>
      </c>
      <c r="S127" s="96" t="s">
        <v>224</v>
      </c>
      <c r="T127" s="96" t="s">
        <v>94</v>
      </c>
      <c r="U127" s="96" t="s">
        <v>136</v>
      </c>
      <c r="V127" s="96" t="s">
        <v>94</v>
      </c>
      <c r="W127" s="96" t="s">
        <v>97</v>
      </c>
      <c r="X127" s="96" t="s">
        <v>147</v>
      </c>
      <c r="Y127" s="96" t="s">
        <v>213</v>
      </c>
      <c r="Z127" s="96" t="s">
        <v>459</v>
      </c>
      <c r="AA127" s="96" t="s">
        <v>460</v>
      </c>
      <c r="AB127" s="96" t="s">
        <v>461</v>
      </c>
      <c r="AC127" s="96" t="s">
        <v>462</v>
      </c>
      <c r="AD127" s="96" t="s">
        <v>463</v>
      </c>
      <c r="AE127" s="96" t="s">
        <v>464</v>
      </c>
      <c r="AF127" s="96" t="s">
        <v>465</v>
      </c>
      <c r="AG127" s="96" t="s">
        <v>466</v>
      </c>
      <c r="AH127" s="96">
        <v>1413</v>
      </c>
      <c r="AI127" s="96" t="s">
        <v>467</v>
      </c>
      <c r="AJ127" s="96" t="s">
        <v>468</v>
      </c>
      <c r="AK127" s="58" t="s">
        <v>110</v>
      </c>
    </row>
    <row r="128" spans="1:37">
      <c r="A128" s="70">
        <v>123</v>
      </c>
      <c r="B128" s="70">
        <f t="shared" si="3"/>
        <v>0</v>
      </c>
      <c r="C128" s="71"/>
      <c r="D128" s="59" t="s">
        <v>92</v>
      </c>
      <c r="E128" s="60">
        <v>12742</v>
      </c>
      <c r="F128" s="10" t="s">
        <v>469</v>
      </c>
      <c r="G128" s="60">
        <v>607</v>
      </c>
      <c r="H128" s="81">
        <v>60</v>
      </c>
      <c r="I128" s="86" t="s">
        <v>110</v>
      </c>
      <c r="J128" s="81">
        <v>60</v>
      </c>
      <c r="K128" s="86" t="s">
        <v>110</v>
      </c>
      <c r="L128" s="81">
        <v>332</v>
      </c>
      <c r="M128" s="86" t="s">
        <v>110</v>
      </c>
      <c r="N128" s="81">
        <v>110982</v>
      </c>
      <c r="O128" s="86" t="s">
        <v>110</v>
      </c>
      <c r="P128" s="89">
        <f t="shared" si="4"/>
        <v>332</v>
      </c>
      <c r="Q128" s="89">
        <f t="shared" si="5"/>
        <v>110982</v>
      </c>
      <c r="R128" s="96" t="s">
        <v>94</v>
      </c>
      <c r="S128" s="96" t="s">
        <v>124</v>
      </c>
      <c r="T128" s="96" t="s">
        <v>94</v>
      </c>
      <c r="U128" s="96" t="s">
        <v>136</v>
      </c>
      <c r="V128" s="96" t="s">
        <v>94</v>
      </c>
      <c r="W128" s="96" t="s">
        <v>97</v>
      </c>
      <c r="X128" s="96" t="s">
        <v>98</v>
      </c>
      <c r="Y128" s="96" t="s">
        <v>110</v>
      </c>
      <c r="Z128" s="96" t="s">
        <v>110</v>
      </c>
      <c r="AA128" s="96" t="s">
        <v>470</v>
      </c>
      <c r="AB128" s="96" t="s">
        <v>471</v>
      </c>
      <c r="AC128" s="96" t="s">
        <v>472</v>
      </c>
      <c r="AD128" s="96" t="s">
        <v>473</v>
      </c>
      <c r="AE128" s="96" t="s">
        <v>474</v>
      </c>
      <c r="AF128" s="96" t="s">
        <v>475</v>
      </c>
      <c r="AG128" s="96" t="s">
        <v>110</v>
      </c>
      <c r="AH128" s="96">
        <v>2027</v>
      </c>
      <c r="AI128" s="96" t="s">
        <v>476</v>
      </c>
      <c r="AJ128" s="96" t="s">
        <v>477</v>
      </c>
      <c r="AK128" s="58" t="s">
        <v>110</v>
      </c>
    </row>
    <row r="129" spans="1:37">
      <c r="A129" s="70">
        <v>124</v>
      </c>
      <c r="B129" s="70">
        <f t="shared" si="3"/>
        <v>0</v>
      </c>
      <c r="C129" s="71"/>
      <c r="D129" s="59" t="s">
        <v>92</v>
      </c>
      <c r="E129" s="60">
        <v>10862</v>
      </c>
      <c r="F129" s="10" t="s">
        <v>278</v>
      </c>
      <c r="G129" s="60">
        <v>609</v>
      </c>
      <c r="H129" s="81">
        <v>170</v>
      </c>
      <c r="I129" s="86">
        <v>95</v>
      </c>
      <c r="J129" s="81">
        <v>170</v>
      </c>
      <c r="K129" s="86">
        <v>95</v>
      </c>
      <c r="L129" s="81">
        <v>338</v>
      </c>
      <c r="M129" s="86">
        <v>348</v>
      </c>
      <c r="N129" s="81">
        <v>99628</v>
      </c>
      <c r="O129" s="86">
        <v>122405</v>
      </c>
      <c r="P129" s="89">
        <f t="shared" si="4"/>
        <v>343</v>
      </c>
      <c r="Q129" s="89">
        <f t="shared" si="5"/>
        <v>111016.5</v>
      </c>
      <c r="R129" s="96" t="s">
        <v>94</v>
      </c>
      <c r="S129" s="96" t="s">
        <v>124</v>
      </c>
      <c r="T129" s="96" t="s">
        <v>94</v>
      </c>
      <c r="U129" s="96" t="s">
        <v>136</v>
      </c>
      <c r="V129" s="96" t="s">
        <v>94</v>
      </c>
      <c r="W129" s="96" t="s">
        <v>97</v>
      </c>
      <c r="X129" s="96" t="s">
        <v>98</v>
      </c>
      <c r="Y129" s="96" t="s">
        <v>192</v>
      </c>
      <c r="Z129" s="96" t="s">
        <v>193</v>
      </c>
      <c r="AA129" s="96" t="s">
        <v>279</v>
      </c>
      <c r="AB129" s="96" t="s">
        <v>280</v>
      </c>
      <c r="AC129" s="96" t="s">
        <v>281</v>
      </c>
      <c r="AD129" s="96" t="s">
        <v>282</v>
      </c>
      <c r="AE129" s="96" t="s">
        <v>283</v>
      </c>
      <c r="AF129" s="96" t="s">
        <v>284</v>
      </c>
      <c r="AG129" s="96" t="s">
        <v>285</v>
      </c>
      <c r="AH129" s="96">
        <v>1410</v>
      </c>
      <c r="AI129" s="96" t="s">
        <v>286</v>
      </c>
      <c r="AJ129" s="96" t="s">
        <v>287</v>
      </c>
      <c r="AK129" s="58" t="s">
        <v>110</v>
      </c>
    </row>
    <row r="130" spans="1:37">
      <c r="A130" s="70">
        <v>125</v>
      </c>
      <c r="B130" s="70">
        <f t="shared" si="3"/>
        <v>0</v>
      </c>
      <c r="C130" s="71"/>
      <c r="D130" s="59" t="s">
        <v>92</v>
      </c>
      <c r="E130" s="60">
        <v>12322</v>
      </c>
      <c r="F130" s="10" t="s">
        <v>478</v>
      </c>
      <c r="G130" s="60">
        <v>601</v>
      </c>
      <c r="H130" s="81">
        <v>1640</v>
      </c>
      <c r="I130" s="86">
        <v>1211</v>
      </c>
      <c r="J130" s="81">
        <v>1640</v>
      </c>
      <c r="K130" s="86">
        <v>1213</v>
      </c>
      <c r="L130" s="81">
        <v>307</v>
      </c>
      <c r="M130" s="86">
        <v>376</v>
      </c>
      <c r="N130" s="81">
        <v>168733</v>
      </c>
      <c r="O130" s="86">
        <v>53750</v>
      </c>
      <c r="P130" s="89">
        <f t="shared" si="4"/>
        <v>341.5</v>
      </c>
      <c r="Q130" s="89">
        <f t="shared" si="5"/>
        <v>111241.5</v>
      </c>
      <c r="R130" s="96" t="s">
        <v>94</v>
      </c>
      <c r="S130" s="96" t="s">
        <v>124</v>
      </c>
      <c r="T130" s="96" t="s">
        <v>94</v>
      </c>
      <c r="U130" s="96" t="s">
        <v>136</v>
      </c>
      <c r="V130" s="96" t="s">
        <v>94</v>
      </c>
      <c r="W130" s="96" t="s">
        <v>97</v>
      </c>
      <c r="X130" s="96" t="s">
        <v>98</v>
      </c>
      <c r="Y130" s="96" t="s">
        <v>479</v>
      </c>
      <c r="Z130" s="96" t="s">
        <v>480</v>
      </c>
      <c r="AA130" s="96" t="s">
        <v>481</v>
      </c>
      <c r="AB130" s="96" t="s">
        <v>482</v>
      </c>
      <c r="AC130" s="96" t="s">
        <v>483</v>
      </c>
      <c r="AD130" s="96" t="s">
        <v>484</v>
      </c>
      <c r="AE130" s="96" t="s">
        <v>485</v>
      </c>
      <c r="AF130" s="96" t="s">
        <v>486</v>
      </c>
      <c r="AG130" s="96" t="s">
        <v>487</v>
      </c>
      <c r="AH130" s="96">
        <v>1473</v>
      </c>
      <c r="AI130" s="96" t="s">
        <v>488</v>
      </c>
      <c r="AJ130" s="96" t="s">
        <v>489</v>
      </c>
      <c r="AK130" s="58" t="s">
        <v>110</v>
      </c>
    </row>
    <row r="131" spans="1:37">
      <c r="A131" s="70">
        <v>126</v>
      </c>
      <c r="B131" s="70">
        <f t="shared" si="3"/>
        <v>0</v>
      </c>
      <c r="C131" s="71"/>
      <c r="D131" s="59" t="s">
        <v>92</v>
      </c>
      <c r="E131" s="60">
        <v>14509</v>
      </c>
      <c r="F131" s="10" t="s">
        <v>490</v>
      </c>
      <c r="G131" s="60">
        <v>606</v>
      </c>
      <c r="H131" s="81">
        <v>351</v>
      </c>
      <c r="I131" s="86" t="s">
        <v>110</v>
      </c>
      <c r="J131" s="81">
        <v>351</v>
      </c>
      <c r="K131" s="86" t="s">
        <v>110</v>
      </c>
      <c r="L131" s="81">
        <v>332</v>
      </c>
      <c r="M131" s="86" t="s">
        <v>110</v>
      </c>
      <c r="N131" s="81">
        <v>112226</v>
      </c>
      <c r="O131" s="86" t="s">
        <v>110</v>
      </c>
      <c r="P131" s="89">
        <f t="shared" si="4"/>
        <v>332</v>
      </c>
      <c r="Q131" s="89">
        <f t="shared" si="5"/>
        <v>112226</v>
      </c>
      <c r="R131" s="96" t="s">
        <v>94</v>
      </c>
      <c r="S131" s="96" t="s">
        <v>124</v>
      </c>
      <c r="T131" s="96" t="s">
        <v>94</v>
      </c>
      <c r="U131" s="96" t="s">
        <v>136</v>
      </c>
      <c r="V131" s="96" t="s">
        <v>94</v>
      </c>
      <c r="W131" s="96" t="s">
        <v>97</v>
      </c>
      <c r="X131" s="96" t="s">
        <v>98</v>
      </c>
      <c r="Y131" s="96" t="s">
        <v>110</v>
      </c>
      <c r="Z131" s="96" t="s">
        <v>148</v>
      </c>
      <c r="AA131" s="96" t="s">
        <v>491</v>
      </c>
      <c r="AB131" s="96" t="s">
        <v>110</v>
      </c>
      <c r="AC131" s="96" t="s">
        <v>492</v>
      </c>
      <c r="AD131" s="96" t="s">
        <v>493</v>
      </c>
      <c r="AE131" s="96" t="s">
        <v>494</v>
      </c>
      <c r="AF131" s="96" t="s">
        <v>495</v>
      </c>
      <c r="AG131" s="96" t="s">
        <v>110</v>
      </c>
      <c r="AH131" s="96">
        <v>1977</v>
      </c>
      <c r="AI131" s="96" t="s">
        <v>496</v>
      </c>
      <c r="AJ131" s="96" t="s">
        <v>497</v>
      </c>
      <c r="AK131" s="58" t="s">
        <v>110</v>
      </c>
    </row>
    <row r="132" spans="1:37">
      <c r="A132" s="70">
        <v>127</v>
      </c>
      <c r="B132" s="70">
        <f t="shared" si="3"/>
        <v>0</v>
      </c>
      <c r="C132" s="71"/>
      <c r="D132" s="59" t="s">
        <v>92</v>
      </c>
      <c r="E132" s="60">
        <v>12958</v>
      </c>
      <c r="F132" s="10" t="s">
        <v>498</v>
      </c>
      <c r="G132" s="60">
        <v>605</v>
      </c>
      <c r="H132" s="81">
        <v>210</v>
      </c>
      <c r="I132" s="86">
        <v>223</v>
      </c>
      <c r="J132" s="81">
        <v>210</v>
      </c>
      <c r="K132" s="86">
        <v>223</v>
      </c>
      <c r="L132" s="81">
        <v>328</v>
      </c>
      <c r="M132" s="86">
        <v>355</v>
      </c>
      <c r="N132" s="81">
        <v>121131</v>
      </c>
      <c r="O132" s="86">
        <v>105070</v>
      </c>
      <c r="P132" s="89">
        <f t="shared" si="4"/>
        <v>341.5</v>
      </c>
      <c r="Q132" s="89">
        <f t="shared" si="5"/>
        <v>113100.5</v>
      </c>
      <c r="R132" s="96" t="s">
        <v>94</v>
      </c>
      <c r="S132" s="96" t="s">
        <v>499</v>
      </c>
      <c r="T132" s="96" t="s">
        <v>94</v>
      </c>
      <c r="U132" s="96" t="s">
        <v>136</v>
      </c>
      <c r="V132" s="96" t="s">
        <v>94</v>
      </c>
      <c r="W132" s="96" t="s">
        <v>97</v>
      </c>
      <c r="X132" s="96" t="s">
        <v>500</v>
      </c>
      <c r="Y132" s="96" t="s">
        <v>225</v>
      </c>
      <c r="Z132" s="96" t="s">
        <v>226</v>
      </c>
      <c r="AA132" s="96" t="s">
        <v>501</v>
      </c>
      <c r="AB132" s="96" t="s">
        <v>502</v>
      </c>
      <c r="AC132" s="96" t="s">
        <v>503</v>
      </c>
      <c r="AD132" s="96" t="s">
        <v>504</v>
      </c>
      <c r="AE132" s="96" t="s">
        <v>505</v>
      </c>
      <c r="AF132" s="96" t="s">
        <v>506</v>
      </c>
      <c r="AG132" s="96" t="s">
        <v>507</v>
      </c>
      <c r="AH132" s="96">
        <v>1527</v>
      </c>
      <c r="AI132" s="96" t="s">
        <v>508</v>
      </c>
      <c r="AJ132" s="96" t="s">
        <v>509</v>
      </c>
      <c r="AK132" s="58" t="s">
        <v>110</v>
      </c>
    </row>
    <row r="133" spans="1:37">
      <c r="A133" s="70">
        <v>128</v>
      </c>
      <c r="B133" s="70">
        <f t="shared" si="3"/>
        <v>0</v>
      </c>
      <c r="C133" s="71"/>
      <c r="D133" s="59" t="s">
        <v>92</v>
      </c>
      <c r="E133" s="60">
        <v>14610</v>
      </c>
      <c r="F133" s="10" t="s">
        <v>510</v>
      </c>
      <c r="G133" s="60">
        <v>601</v>
      </c>
      <c r="H133" s="81">
        <v>1283</v>
      </c>
      <c r="I133" s="86">
        <v>1508</v>
      </c>
      <c r="J133" s="81">
        <v>1283</v>
      </c>
      <c r="K133" s="86">
        <v>1508</v>
      </c>
      <c r="L133" s="81">
        <v>319</v>
      </c>
      <c r="M133" s="86">
        <v>364</v>
      </c>
      <c r="N133" s="81">
        <v>141490</v>
      </c>
      <c r="O133" s="86">
        <v>84789</v>
      </c>
      <c r="P133" s="89">
        <f t="shared" si="4"/>
        <v>341.5</v>
      </c>
      <c r="Q133" s="89">
        <f t="shared" si="5"/>
        <v>113139.5</v>
      </c>
      <c r="R133" s="96" t="s">
        <v>94</v>
      </c>
      <c r="S133" s="96" t="s">
        <v>237</v>
      </c>
      <c r="T133" s="96" t="s">
        <v>94</v>
      </c>
      <c r="U133" s="96" t="s">
        <v>136</v>
      </c>
      <c r="V133" s="96" t="s">
        <v>94</v>
      </c>
      <c r="W133" s="96" t="s">
        <v>97</v>
      </c>
      <c r="X133" s="96" t="s">
        <v>147</v>
      </c>
      <c r="Y133" s="96" t="s">
        <v>110</v>
      </c>
      <c r="Z133" s="96" t="s">
        <v>511</v>
      </c>
      <c r="AA133" s="96" t="s">
        <v>512</v>
      </c>
      <c r="AB133" s="96" t="s">
        <v>110</v>
      </c>
      <c r="AC133" s="96" t="s">
        <v>513</v>
      </c>
      <c r="AD133" s="96" t="s">
        <v>514</v>
      </c>
      <c r="AE133" s="96" t="s">
        <v>515</v>
      </c>
      <c r="AF133" s="96" t="s">
        <v>516</v>
      </c>
      <c r="AG133" s="96" t="s">
        <v>110</v>
      </c>
      <c r="AH133" s="96">
        <v>1317</v>
      </c>
      <c r="AI133" s="96" t="s">
        <v>517</v>
      </c>
      <c r="AJ133" s="96" t="s">
        <v>518</v>
      </c>
      <c r="AK133" s="58" t="s">
        <v>110</v>
      </c>
    </row>
    <row r="134" spans="1:37">
      <c r="A134" s="70">
        <v>129</v>
      </c>
      <c r="B134" s="70">
        <f t="shared" ref="B134:B197" si="6">C134</f>
        <v>0</v>
      </c>
      <c r="C134" s="71"/>
      <c r="D134" s="59" t="s">
        <v>92</v>
      </c>
      <c r="E134" s="60">
        <v>13710</v>
      </c>
      <c r="F134" s="10" t="s">
        <v>458</v>
      </c>
      <c r="G134" s="60">
        <v>601</v>
      </c>
      <c r="H134" s="81">
        <v>365</v>
      </c>
      <c r="I134" s="86" t="s">
        <v>110</v>
      </c>
      <c r="J134" s="81">
        <v>365</v>
      </c>
      <c r="K134" s="86" t="s">
        <v>110</v>
      </c>
      <c r="L134" s="81">
        <v>331</v>
      </c>
      <c r="M134" s="86" t="s">
        <v>110</v>
      </c>
      <c r="N134" s="81">
        <v>113333</v>
      </c>
      <c r="O134" s="86" t="s">
        <v>110</v>
      </c>
      <c r="P134" s="89">
        <f t="shared" si="4"/>
        <v>331</v>
      </c>
      <c r="Q134" s="89">
        <f t="shared" si="5"/>
        <v>113333</v>
      </c>
      <c r="R134" s="96" t="s">
        <v>94</v>
      </c>
      <c r="S134" s="96" t="s">
        <v>224</v>
      </c>
      <c r="T134" s="96" t="s">
        <v>94</v>
      </c>
      <c r="U134" s="96" t="s">
        <v>136</v>
      </c>
      <c r="V134" s="96" t="s">
        <v>94</v>
      </c>
      <c r="W134" s="96" t="s">
        <v>97</v>
      </c>
      <c r="X134" s="96" t="s">
        <v>147</v>
      </c>
      <c r="Y134" s="96" t="s">
        <v>213</v>
      </c>
      <c r="Z134" s="96" t="s">
        <v>459</v>
      </c>
      <c r="AA134" s="96" t="s">
        <v>460</v>
      </c>
      <c r="AB134" s="96" t="s">
        <v>461</v>
      </c>
      <c r="AC134" s="96" t="s">
        <v>462</v>
      </c>
      <c r="AD134" s="96" t="s">
        <v>463</v>
      </c>
      <c r="AE134" s="96" t="s">
        <v>464</v>
      </c>
      <c r="AF134" s="96" t="s">
        <v>465</v>
      </c>
      <c r="AG134" s="96" t="s">
        <v>466</v>
      </c>
      <c r="AH134" s="96">
        <v>1413</v>
      </c>
      <c r="AI134" s="96" t="s">
        <v>467</v>
      </c>
      <c r="AJ134" s="96" t="s">
        <v>468</v>
      </c>
      <c r="AK134" s="58" t="s">
        <v>110</v>
      </c>
    </row>
    <row r="135" spans="1:37">
      <c r="A135" s="70">
        <v>130</v>
      </c>
      <c r="B135" s="70">
        <f t="shared" si="6"/>
        <v>0</v>
      </c>
      <c r="C135" s="71"/>
      <c r="D135" s="59" t="s">
        <v>92</v>
      </c>
      <c r="E135" s="60">
        <v>13710</v>
      </c>
      <c r="F135" s="10" t="s">
        <v>458</v>
      </c>
      <c r="G135" s="60">
        <v>603</v>
      </c>
      <c r="H135" s="81">
        <v>135</v>
      </c>
      <c r="I135" s="86">
        <v>547</v>
      </c>
      <c r="J135" s="81">
        <v>135</v>
      </c>
      <c r="K135" s="86">
        <v>547</v>
      </c>
      <c r="L135" s="81">
        <v>329</v>
      </c>
      <c r="M135" s="86">
        <v>354</v>
      </c>
      <c r="N135" s="81">
        <v>118526</v>
      </c>
      <c r="O135" s="86">
        <v>108550</v>
      </c>
      <c r="P135" s="89">
        <f t="shared" ref="P135:P198" si="7">IFERROR(AVERAGE(L135:M135),"/")</f>
        <v>341.5</v>
      </c>
      <c r="Q135" s="89">
        <f t="shared" ref="Q135:Q198" si="8">IFERROR(AVERAGE(N135:O135),"/")</f>
        <v>113538</v>
      </c>
      <c r="R135" s="96" t="s">
        <v>94</v>
      </c>
      <c r="S135" s="96" t="s">
        <v>224</v>
      </c>
      <c r="T135" s="96" t="s">
        <v>94</v>
      </c>
      <c r="U135" s="96" t="s">
        <v>136</v>
      </c>
      <c r="V135" s="96" t="s">
        <v>94</v>
      </c>
      <c r="W135" s="96" t="s">
        <v>97</v>
      </c>
      <c r="X135" s="96" t="s">
        <v>147</v>
      </c>
      <c r="Y135" s="96" t="s">
        <v>213</v>
      </c>
      <c r="Z135" s="96" t="s">
        <v>459</v>
      </c>
      <c r="AA135" s="96" t="s">
        <v>460</v>
      </c>
      <c r="AB135" s="96" t="s">
        <v>461</v>
      </c>
      <c r="AC135" s="96" t="s">
        <v>462</v>
      </c>
      <c r="AD135" s="96" t="s">
        <v>463</v>
      </c>
      <c r="AE135" s="96" t="s">
        <v>464</v>
      </c>
      <c r="AF135" s="96" t="s">
        <v>465</v>
      </c>
      <c r="AG135" s="96" t="s">
        <v>466</v>
      </c>
      <c r="AH135" s="96">
        <v>1413</v>
      </c>
      <c r="AI135" s="96" t="s">
        <v>467</v>
      </c>
      <c r="AJ135" s="96" t="s">
        <v>468</v>
      </c>
      <c r="AK135" s="58" t="s">
        <v>110</v>
      </c>
    </row>
    <row r="136" spans="1:37">
      <c r="A136" s="70">
        <v>131</v>
      </c>
      <c r="B136" s="70">
        <f t="shared" si="6"/>
        <v>0</v>
      </c>
      <c r="C136" s="71"/>
      <c r="D136" s="59" t="s">
        <v>92</v>
      </c>
      <c r="E136" s="60">
        <v>14066</v>
      </c>
      <c r="F136" s="10" t="s">
        <v>223</v>
      </c>
      <c r="G136" s="60">
        <v>605</v>
      </c>
      <c r="H136" s="81">
        <v>30</v>
      </c>
      <c r="I136" s="86">
        <v>30</v>
      </c>
      <c r="J136" s="81">
        <v>30</v>
      </c>
      <c r="K136" s="86">
        <v>30</v>
      </c>
      <c r="L136" s="81">
        <v>297</v>
      </c>
      <c r="M136" s="86">
        <v>384</v>
      </c>
      <c r="N136" s="81">
        <v>192014</v>
      </c>
      <c r="O136" s="86">
        <v>35632</v>
      </c>
      <c r="P136" s="89">
        <f t="shared" si="7"/>
        <v>340.5</v>
      </c>
      <c r="Q136" s="89">
        <f t="shared" si="8"/>
        <v>113823</v>
      </c>
      <c r="R136" s="96" t="s">
        <v>94</v>
      </c>
      <c r="S136" s="96" t="s">
        <v>224</v>
      </c>
      <c r="T136" s="96" t="s">
        <v>94</v>
      </c>
      <c r="U136" s="96" t="s">
        <v>136</v>
      </c>
      <c r="V136" s="96" t="s">
        <v>94</v>
      </c>
      <c r="W136" s="96" t="s">
        <v>97</v>
      </c>
      <c r="X136" s="96" t="s">
        <v>147</v>
      </c>
      <c r="Y136" s="96" t="s">
        <v>225</v>
      </c>
      <c r="Z136" s="96" t="s">
        <v>226</v>
      </c>
      <c r="AA136" s="96" t="s">
        <v>227</v>
      </c>
      <c r="AB136" s="96" t="s">
        <v>228</v>
      </c>
      <c r="AC136" s="96" t="s">
        <v>229</v>
      </c>
      <c r="AD136" s="96" t="s">
        <v>230</v>
      </c>
      <c r="AE136" s="96" t="s">
        <v>231</v>
      </c>
      <c r="AF136" s="96" t="s">
        <v>232</v>
      </c>
      <c r="AG136" s="96" t="s">
        <v>233</v>
      </c>
      <c r="AH136" s="96">
        <v>1464</v>
      </c>
      <c r="AI136" s="96" t="s">
        <v>234</v>
      </c>
      <c r="AJ136" s="96" t="s">
        <v>235</v>
      </c>
      <c r="AK136" s="58" t="s">
        <v>110</v>
      </c>
    </row>
    <row r="137" spans="1:37">
      <c r="A137" s="70">
        <v>132</v>
      </c>
      <c r="B137" s="70">
        <f t="shared" si="6"/>
        <v>0</v>
      </c>
      <c r="C137" s="71"/>
      <c r="D137" s="59" t="s">
        <v>92</v>
      </c>
      <c r="E137" s="60">
        <v>10862</v>
      </c>
      <c r="F137" s="10" t="s">
        <v>278</v>
      </c>
      <c r="G137" s="60">
        <v>608</v>
      </c>
      <c r="H137" s="81">
        <v>220</v>
      </c>
      <c r="I137" s="86">
        <v>75</v>
      </c>
      <c r="J137" s="81">
        <v>220</v>
      </c>
      <c r="K137" s="86">
        <v>75</v>
      </c>
      <c r="L137" s="81">
        <v>355</v>
      </c>
      <c r="M137" s="86">
        <v>328</v>
      </c>
      <c r="N137" s="81">
        <v>61805</v>
      </c>
      <c r="O137" s="86">
        <v>165847</v>
      </c>
      <c r="P137" s="89">
        <f t="shared" si="7"/>
        <v>341.5</v>
      </c>
      <c r="Q137" s="89">
        <f t="shared" si="8"/>
        <v>113826</v>
      </c>
      <c r="R137" s="96" t="s">
        <v>94</v>
      </c>
      <c r="S137" s="96" t="s">
        <v>124</v>
      </c>
      <c r="T137" s="96" t="s">
        <v>94</v>
      </c>
      <c r="U137" s="96" t="s">
        <v>136</v>
      </c>
      <c r="V137" s="96" t="s">
        <v>94</v>
      </c>
      <c r="W137" s="96" t="s">
        <v>97</v>
      </c>
      <c r="X137" s="96" t="s">
        <v>98</v>
      </c>
      <c r="Y137" s="96" t="s">
        <v>192</v>
      </c>
      <c r="Z137" s="96" t="s">
        <v>193</v>
      </c>
      <c r="AA137" s="96" t="s">
        <v>279</v>
      </c>
      <c r="AB137" s="96" t="s">
        <v>280</v>
      </c>
      <c r="AC137" s="96" t="s">
        <v>281</v>
      </c>
      <c r="AD137" s="96" t="s">
        <v>282</v>
      </c>
      <c r="AE137" s="96" t="s">
        <v>283</v>
      </c>
      <c r="AF137" s="96" t="s">
        <v>284</v>
      </c>
      <c r="AG137" s="96" t="s">
        <v>285</v>
      </c>
      <c r="AH137" s="96">
        <v>1410</v>
      </c>
      <c r="AI137" s="96" t="s">
        <v>286</v>
      </c>
      <c r="AJ137" s="96" t="s">
        <v>287</v>
      </c>
      <c r="AK137" s="58" t="s">
        <v>110</v>
      </c>
    </row>
    <row r="138" spans="1:37">
      <c r="A138" s="70">
        <v>133</v>
      </c>
      <c r="B138" s="70">
        <f t="shared" si="6"/>
        <v>0</v>
      </c>
      <c r="C138" s="71"/>
      <c r="D138" s="59" t="s">
        <v>92</v>
      </c>
      <c r="E138" s="60">
        <v>12743</v>
      </c>
      <c r="F138" s="10" t="s">
        <v>300</v>
      </c>
      <c r="G138" s="60">
        <v>608</v>
      </c>
      <c r="H138" s="81">
        <v>14</v>
      </c>
      <c r="I138" s="86">
        <v>50</v>
      </c>
      <c r="J138" s="81">
        <v>14</v>
      </c>
      <c r="K138" s="86">
        <v>50</v>
      </c>
      <c r="L138" s="81">
        <v>309</v>
      </c>
      <c r="M138" s="86">
        <v>371</v>
      </c>
      <c r="N138" s="81">
        <v>163700</v>
      </c>
      <c r="O138" s="86">
        <v>66032</v>
      </c>
      <c r="P138" s="89">
        <f t="shared" si="7"/>
        <v>340</v>
      </c>
      <c r="Q138" s="89">
        <f t="shared" si="8"/>
        <v>114866</v>
      </c>
      <c r="R138" s="96" t="s">
        <v>94</v>
      </c>
      <c r="S138" s="96" t="s">
        <v>124</v>
      </c>
      <c r="T138" s="96" t="s">
        <v>94</v>
      </c>
      <c r="U138" s="96" t="s">
        <v>136</v>
      </c>
      <c r="V138" s="96" t="s">
        <v>94</v>
      </c>
      <c r="W138" s="96" t="s">
        <v>97</v>
      </c>
      <c r="X138" s="96" t="s">
        <v>98</v>
      </c>
      <c r="Y138" s="96" t="s">
        <v>256</v>
      </c>
      <c r="Z138" s="96" t="s">
        <v>148</v>
      </c>
      <c r="AA138" s="96" t="s">
        <v>301</v>
      </c>
      <c r="AB138" s="96" t="s">
        <v>302</v>
      </c>
      <c r="AC138" s="96" t="s">
        <v>303</v>
      </c>
      <c r="AD138" s="96" t="s">
        <v>304</v>
      </c>
      <c r="AE138" s="96" t="s">
        <v>305</v>
      </c>
      <c r="AF138" s="96" t="s">
        <v>306</v>
      </c>
      <c r="AG138" s="96" t="s">
        <v>307</v>
      </c>
      <c r="AH138" s="96">
        <v>1842</v>
      </c>
      <c r="AI138" s="96" t="s">
        <v>308</v>
      </c>
      <c r="AJ138" s="96" t="s">
        <v>309</v>
      </c>
      <c r="AK138" s="58" t="s">
        <v>110</v>
      </c>
    </row>
    <row r="139" spans="1:37">
      <c r="A139" s="70">
        <v>134</v>
      </c>
      <c r="B139" s="70">
        <f t="shared" si="6"/>
        <v>0</v>
      </c>
      <c r="C139" s="71"/>
      <c r="D139" s="59" t="s">
        <v>92</v>
      </c>
      <c r="E139" s="60">
        <v>13709</v>
      </c>
      <c r="F139" s="10" t="s">
        <v>429</v>
      </c>
      <c r="G139" s="60">
        <v>603</v>
      </c>
      <c r="H139" s="81">
        <v>114</v>
      </c>
      <c r="I139" s="86">
        <v>308</v>
      </c>
      <c r="J139" s="81">
        <v>114</v>
      </c>
      <c r="K139" s="86">
        <v>308</v>
      </c>
      <c r="L139" s="81">
        <v>333</v>
      </c>
      <c r="M139" s="86">
        <v>348</v>
      </c>
      <c r="N139" s="81">
        <v>108787</v>
      </c>
      <c r="O139" s="86">
        <v>123707</v>
      </c>
      <c r="P139" s="89">
        <f t="shared" si="7"/>
        <v>340.5</v>
      </c>
      <c r="Q139" s="89">
        <f t="shared" si="8"/>
        <v>116247</v>
      </c>
      <c r="R139" s="96" t="s">
        <v>94</v>
      </c>
      <c r="S139" s="96" t="s">
        <v>124</v>
      </c>
      <c r="T139" s="96" t="s">
        <v>94</v>
      </c>
      <c r="U139" s="96" t="s">
        <v>136</v>
      </c>
      <c r="V139" s="96" t="s">
        <v>94</v>
      </c>
      <c r="W139" s="96" t="s">
        <v>97</v>
      </c>
      <c r="X139" s="96" t="s">
        <v>98</v>
      </c>
      <c r="Y139" s="96" t="s">
        <v>225</v>
      </c>
      <c r="Z139" s="96" t="s">
        <v>148</v>
      </c>
      <c r="AA139" s="96" t="s">
        <v>430</v>
      </c>
      <c r="AB139" s="96" t="s">
        <v>431</v>
      </c>
      <c r="AC139" s="96" t="s">
        <v>432</v>
      </c>
      <c r="AD139" s="96" t="s">
        <v>433</v>
      </c>
      <c r="AE139" s="96" t="s">
        <v>434</v>
      </c>
      <c r="AF139" s="96" t="s">
        <v>435</v>
      </c>
      <c r="AG139" s="96" t="s">
        <v>110</v>
      </c>
      <c r="AH139" s="96">
        <v>2369</v>
      </c>
      <c r="AI139" s="96" t="s">
        <v>436</v>
      </c>
      <c r="AJ139" s="96" t="s">
        <v>437</v>
      </c>
      <c r="AK139" s="58" t="s">
        <v>110</v>
      </c>
    </row>
    <row r="140" spans="1:37">
      <c r="A140" s="70">
        <v>135</v>
      </c>
      <c r="B140" s="70">
        <f t="shared" si="6"/>
        <v>0</v>
      </c>
      <c r="C140" s="71"/>
      <c r="D140" s="59" t="s">
        <v>92</v>
      </c>
      <c r="E140" s="60">
        <v>14756</v>
      </c>
      <c r="F140" s="10" t="s">
        <v>519</v>
      </c>
      <c r="G140" s="60">
        <v>601</v>
      </c>
      <c r="H140" s="81">
        <v>260</v>
      </c>
      <c r="I140" s="86">
        <v>475</v>
      </c>
      <c r="J140" s="81">
        <v>260</v>
      </c>
      <c r="K140" s="86">
        <v>475</v>
      </c>
      <c r="L140" s="81">
        <v>329</v>
      </c>
      <c r="M140" s="86">
        <v>352</v>
      </c>
      <c r="N140" s="81">
        <v>119738</v>
      </c>
      <c r="O140" s="86">
        <v>112913</v>
      </c>
      <c r="P140" s="89">
        <f t="shared" si="7"/>
        <v>340.5</v>
      </c>
      <c r="Q140" s="89">
        <f t="shared" si="8"/>
        <v>116325.5</v>
      </c>
      <c r="R140" s="96" t="s">
        <v>94</v>
      </c>
      <c r="S140" s="96" t="s">
        <v>124</v>
      </c>
      <c r="T140" s="96" t="s">
        <v>94</v>
      </c>
      <c r="U140" s="96" t="s">
        <v>136</v>
      </c>
      <c r="V140" s="96" t="s">
        <v>94</v>
      </c>
      <c r="W140" s="96" t="s">
        <v>97</v>
      </c>
      <c r="X140" s="96" t="s">
        <v>98</v>
      </c>
      <c r="Y140" s="96" t="s">
        <v>110</v>
      </c>
      <c r="Z140" s="96" t="s">
        <v>110</v>
      </c>
      <c r="AA140" s="96" t="s">
        <v>520</v>
      </c>
      <c r="AB140" s="96" t="s">
        <v>110</v>
      </c>
      <c r="AC140" s="96" t="s">
        <v>110</v>
      </c>
      <c r="AD140" s="96" t="s">
        <v>110</v>
      </c>
      <c r="AE140" s="96" t="s">
        <v>521</v>
      </c>
      <c r="AF140" s="96" t="s">
        <v>522</v>
      </c>
      <c r="AG140" s="96" t="s">
        <v>110</v>
      </c>
      <c r="AH140" s="96">
        <v>2685</v>
      </c>
      <c r="AI140" s="96" t="s">
        <v>523</v>
      </c>
      <c r="AJ140" s="96" t="s">
        <v>524</v>
      </c>
      <c r="AK140" s="58" t="s">
        <v>110</v>
      </c>
    </row>
    <row r="141" spans="1:37">
      <c r="A141" s="70">
        <v>136</v>
      </c>
      <c r="B141" s="70">
        <f t="shared" si="6"/>
        <v>0</v>
      </c>
      <c r="C141" s="71"/>
      <c r="D141" s="59" t="s">
        <v>92</v>
      </c>
      <c r="E141" s="60">
        <v>13930</v>
      </c>
      <c r="F141" s="10" t="s">
        <v>525</v>
      </c>
      <c r="G141" s="60">
        <v>601</v>
      </c>
      <c r="H141" s="81">
        <v>1041</v>
      </c>
      <c r="I141" s="86">
        <v>3480</v>
      </c>
      <c r="J141" s="81">
        <v>1041</v>
      </c>
      <c r="K141" s="86">
        <v>3480</v>
      </c>
      <c r="L141" s="81">
        <v>331</v>
      </c>
      <c r="M141" s="86">
        <v>350</v>
      </c>
      <c r="N141" s="81">
        <v>115297</v>
      </c>
      <c r="O141" s="86">
        <v>117855</v>
      </c>
      <c r="P141" s="89">
        <f t="shared" si="7"/>
        <v>340.5</v>
      </c>
      <c r="Q141" s="89">
        <f t="shared" si="8"/>
        <v>116576</v>
      </c>
      <c r="R141" s="96" t="s">
        <v>94</v>
      </c>
      <c r="S141" s="96" t="s">
        <v>124</v>
      </c>
      <c r="T141" s="96" t="s">
        <v>94</v>
      </c>
      <c r="U141" s="96" t="s">
        <v>136</v>
      </c>
      <c r="V141" s="96" t="s">
        <v>94</v>
      </c>
      <c r="W141" s="96" t="s">
        <v>97</v>
      </c>
      <c r="X141" s="96" t="s">
        <v>98</v>
      </c>
      <c r="Y141" s="96" t="s">
        <v>349</v>
      </c>
      <c r="Z141" s="96" t="s">
        <v>226</v>
      </c>
      <c r="AA141" s="96" t="s">
        <v>526</v>
      </c>
      <c r="AB141" s="96" t="s">
        <v>527</v>
      </c>
      <c r="AC141" s="96" t="s">
        <v>528</v>
      </c>
      <c r="AD141" s="96" t="s">
        <v>529</v>
      </c>
      <c r="AE141" s="96" t="s">
        <v>530</v>
      </c>
      <c r="AF141" s="96" t="s">
        <v>531</v>
      </c>
      <c r="AG141" s="96" t="s">
        <v>110</v>
      </c>
      <c r="AH141" s="96">
        <v>1998</v>
      </c>
      <c r="AI141" s="96" t="s">
        <v>532</v>
      </c>
      <c r="AJ141" s="96" t="s">
        <v>533</v>
      </c>
      <c r="AK141" s="58" t="s">
        <v>110</v>
      </c>
    </row>
    <row r="142" spans="1:37">
      <c r="A142" s="70">
        <v>137</v>
      </c>
      <c r="B142" s="70">
        <f t="shared" si="6"/>
        <v>0</v>
      </c>
      <c r="C142" s="71"/>
      <c r="D142" s="59" t="s">
        <v>92</v>
      </c>
      <c r="E142" s="60">
        <v>14063</v>
      </c>
      <c r="F142" s="10" t="s">
        <v>534</v>
      </c>
      <c r="G142" s="60">
        <v>601</v>
      </c>
      <c r="H142" s="81">
        <v>3128</v>
      </c>
      <c r="I142" s="86">
        <v>3236</v>
      </c>
      <c r="J142" s="81">
        <v>3128</v>
      </c>
      <c r="K142" s="86">
        <v>3236</v>
      </c>
      <c r="L142" s="81">
        <v>318</v>
      </c>
      <c r="M142" s="86">
        <v>362</v>
      </c>
      <c r="N142" s="81">
        <v>145321</v>
      </c>
      <c r="O142" s="86">
        <v>87889</v>
      </c>
      <c r="P142" s="89">
        <f t="shared" si="7"/>
        <v>340</v>
      </c>
      <c r="Q142" s="89">
        <f t="shared" si="8"/>
        <v>116605</v>
      </c>
      <c r="R142" s="96" t="s">
        <v>94</v>
      </c>
      <c r="S142" s="96" t="s">
        <v>124</v>
      </c>
      <c r="T142" s="96" t="s">
        <v>94</v>
      </c>
      <c r="U142" s="96" t="s">
        <v>136</v>
      </c>
      <c r="V142" s="96" t="s">
        <v>94</v>
      </c>
      <c r="W142" s="96" t="s">
        <v>97</v>
      </c>
      <c r="X142" s="96" t="s">
        <v>98</v>
      </c>
      <c r="Y142" s="96" t="s">
        <v>225</v>
      </c>
      <c r="Z142" s="96" t="s">
        <v>110</v>
      </c>
      <c r="AA142" s="96" t="s">
        <v>535</v>
      </c>
      <c r="AB142" s="96" t="s">
        <v>536</v>
      </c>
      <c r="AC142" s="96" t="s">
        <v>537</v>
      </c>
      <c r="AD142" s="96" t="s">
        <v>538</v>
      </c>
      <c r="AE142" s="96" t="s">
        <v>539</v>
      </c>
      <c r="AF142" s="96" t="s">
        <v>540</v>
      </c>
      <c r="AG142" s="96" t="s">
        <v>541</v>
      </c>
      <c r="AH142" s="96">
        <v>1822</v>
      </c>
      <c r="AI142" s="96" t="s">
        <v>542</v>
      </c>
      <c r="AJ142" s="96" t="s">
        <v>543</v>
      </c>
      <c r="AK142" s="58" t="s">
        <v>110</v>
      </c>
    </row>
    <row r="143" spans="1:37">
      <c r="A143" s="70">
        <v>138</v>
      </c>
      <c r="B143" s="70">
        <f t="shared" si="6"/>
        <v>0</v>
      </c>
      <c r="C143" s="71"/>
      <c r="D143" s="59" t="s">
        <v>92</v>
      </c>
      <c r="E143" s="60">
        <v>13711</v>
      </c>
      <c r="F143" s="10" t="s">
        <v>236</v>
      </c>
      <c r="G143" s="60">
        <v>603</v>
      </c>
      <c r="H143" s="81">
        <v>11</v>
      </c>
      <c r="I143" s="86">
        <v>18</v>
      </c>
      <c r="J143" s="81">
        <v>11</v>
      </c>
      <c r="K143" s="86">
        <v>18</v>
      </c>
      <c r="L143" s="81">
        <v>317</v>
      </c>
      <c r="M143" s="86">
        <v>362</v>
      </c>
      <c r="N143" s="81">
        <v>146418</v>
      </c>
      <c r="O143" s="86">
        <v>88202</v>
      </c>
      <c r="P143" s="89">
        <f t="shared" si="7"/>
        <v>339.5</v>
      </c>
      <c r="Q143" s="89">
        <f t="shared" si="8"/>
        <v>117310</v>
      </c>
      <c r="R143" s="96" t="s">
        <v>94</v>
      </c>
      <c r="S143" s="96" t="s">
        <v>237</v>
      </c>
      <c r="T143" s="96" t="s">
        <v>94</v>
      </c>
      <c r="U143" s="96" t="s">
        <v>136</v>
      </c>
      <c r="V143" s="96" t="s">
        <v>94</v>
      </c>
      <c r="W143" s="96" t="s">
        <v>97</v>
      </c>
      <c r="X143" s="96" t="s">
        <v>147</v>
      </c>
      <c r="Y143" s="96" t="s">
        <v>110</v>
      </c>
      <c r="Z143" s="96" t="s">
        <v>110</v>
      </c>
      <c r="AA143" s="96" t="s">
        <v>238</v>
      </c>
      <c r="AB143" s="96" t="s">
        <v>239</v>
      </c>
      <c r="AC143" s="96" t="s">
        <v>240</v>
      </c>
      <c r="AD143" s="96" t="s">
        <v>241</v>
      </c>
      <c r="AE143" s="96" t="s">
        <v>242</v>
      </c>
      <c r="AF143" s="96" t="s">
        <v>243</v>
      </c>
      <c r="AG143" s="96" t="s">
        <v>110</v>
      </c>
      <c r="AH143" s="96">
        <v>1606</v>
      </c>
      <c r="AI143" s="96" t="s">
        <v>244</v>
      </c>
      <c r="AJ143" s="96" t="s">
        <v>245</v>
      </c>
      <c r="AK143" s="58" t="s">
        <v>110</v>
      </c>
    </row>
    <row r="144" spans="1:37">
      <c r="A144" s="70">
        <v>139</v>
      </c>
      <c r="B144" s="70">
        <f t="shared" si="6"/>
        <v>0</v>
      </c>
      <c r="C144" s="71"/>
      <c r="D144" s="59" t="s">
        <v>92</v>
      </c>
      <c r="E144" s="60">
        <v>13710</v>
      </c>
      <c r="F144" s="10" t="s">
        <v>458</v>
      </c>
      <c r="G144" s="60">
        <v>602</v>
      </c>
      <c r="H144" s="81">
        <v>330</v>
      </c>
      <c r="I144" s="86" t="s">
        <v>110</v>
      </c>
      <c r="J144" s="81">
        <v>330</v>
      </c>
      <c r="K144" s="86" t="s">
        <v>110</v>
      </c>
      <c r="L144" s="81">
        <v>329</v>
      </c>
      <c r="M144" s="86" t="s">
        <v>110</v>
      </c>
      <c r="N144" s="81">
        <v>118951</v>
      </c>
      <c r="O144" s="86" t="s">
        <v>110</v>
      </c>
      <c r="P144" s="89">
        <f t="shared" si="7"/>
        <v>329</v>
      </c>
      <c r="Q144" s="89">
        <f t="shared" si="8"/>
        <v>118951</v>
      </c>
      <c r="R144" s="96" t="s">
        <v>94</v>
      </c>
      <c r="S144" s="96" t="s">
        <v>224</v>
      </c>
      <c r="T144" s="96" t="s">
        <v>94</v>
      </c>
      <c r="U144" s="96" t="s">
        <v>136</v>
      </c>
      <c r="V144" s="96" t="s">
        <v>94</v>
      </c>
      <c r="W144" s="96" t="s">
        <v>97</v>
      </c>
      <c r="X144" s="96" t="s">
        <v>147</v>
      </c>
      <c r="Y144" s="96" t="s">
        <v>213</v>
      </c>
      <c r="Z144" s="96" t="s">
        <v>459</v>
      </c>
      <c r="AA144" s="96" t="s">
        <v>460</v>
      </c>
      <c r="AB144" s="96" t="s">
        <v>461</v>
      </c>
      <c r="AC144" s="96" t="s">
        <v>462</v>
      </c>
      <c r="AD144" s="96" t="s">
        <v>463</v>
      </c>
      <c r="AE144" s="96" t="s">
        <v>464</v>
      </c>
      <c r="AF144" s="96" t="s">
        <v>465</v>
      </c>
      <c r="AG144" s="96" t="s">
        <v>466</v>
      </c>
      <c r="AH144" s="96">
        <v>1413</v>
      </c>
      <c r="AI144" s="96" t="s">
        <v>467</v>
      </c>
      <c r="AJ144" s="96" t="s">
        <v>468</v>
      </c>
      <c r="AK144" s="58" t="s">
        <v>110</v>
      </c>
    </row>
    <row r="145" spans="1:37">
      <c r="A145" s="70">
        <v>140</v>
      </c>
      <c r="B145" s="70">
        <f t="shared" si="6"/>
        <v>0</v>
      </c>
      <c r="C145" s="71"/>
      <c r="D145" s="59" t="s">
        <v>92</v>
      </c>
      <c r="E145" s="60">
        <v>14760</v>
      </c>
      <c r="F145" s="10" t="s">
        <v>544</v>
      </c>
      <c r="G145" s="60">
        <v>601</v>
      </c>
      <c r="H145" s="81">
        <v>818</v>
      </c>
      <c r="I145" s="86">
        <v>748</v>
      </c>
      <c r="J145" s="81">
        <v>818</v>
      </c>
      <c r="K145" s="86">
        <v>748</v>
      </c>
      <c r="L145" s="81">
        <v>324</v>
      </c>
      <c r="M145" s="86">
        <v>353</v>
      </c>
      <c r="N145" s="81">
        <v>129502</v>
      </c>
      <c r="O145" s="86">
        <v>109825</v>
      </c>
      <c r="P145" s="89">
        <f t="shared" si="7"/>
        <v>338.5</v>
      </c>
      <c r="Q145" s="89">
        <f t="shared" si="8"/>
        <v>119663.5</v>
      </c>
      <c r="R145" s="96" t="s">
        <v>94</v>
      </c>
      <c r="S145" s="96" t="s">
        <v>447</v>
      </c>
      <c r="T145" s="96" t="s">
        <v>94</v>
      </c>
      <c r="U145" s="96" t="s">
        <v>136</v>
      </c>
      <c r="V145" s="96" t="s">
        <v>94</v>
      </c>
      <c r="W145" s="96" t="s">
        <v>97</v>
      </c>
      <c r="X145" s="96" t="s">
        <v>448</v>
      </c>
      <c r="Y145" s="96" t="s">
        <v>110</v>
      </c>
      <c r="Z145" s="96" t="s">
        <v>110</v>
      </c>
      <c r="AA145" s="96" t="s">
        <v>545</v>
      </c>
      <c r="AB145" s="96" t="s">
        <v>110</v>
      </c>
      <c r="AC145" s="96" t="s">
        <v>546</v>
      </c>
      <c r="AD145" s="96" t="s">
        <v>547</v>
      </c>
      <c r="AE145" s="96" t="s">
        <v>548</v>
      </c>
      <c r="AF145" s="96" t="s">
        <v>549</v>
      </c>
      <c r="AG145" s="96" t="s">
        <v>110</v>
      </c>
      <c r="AH145" s="96">
        <v>2689</v>
      </c>
      <c r="AI145" s="96" t="s">
        <v>550</v>
      </c>
      <c r="AJ145" s="96" t="s">
        <v>551</v>
      </c>
      <c r="AK145" s="58" t="s">
        <v>110</v>
      </c>
    </row>
    <row r="146" spans="1:37">
      <c r="A146" s="70">
        <v>141</v>
      </c>
      <c r="B146" s="70">
        <f t="shared" si="6"/>
        <v>0</v>
      </c>
      <c r="C146" s="71"/>
      <c r="D146" s="59" t="s">
        <v>92</v>
      </c>
      <c r="E146" s="60">
        <v>12322</v>
      </c>
      <c r="F146" s="10" t="s">
        <v>478</v>
      </c>
      <c r="G146" s="60">
        <v>606</v>
      </c>
      <c r="H146" s="81">
        <v>125</v>
      </c>
      <c r="I146" s="86">
        <v>75</v>
      </c>
      <c r="J146" s="81">
        <v>125</v>
      </c>
      <c r="K146" s="86">
        <v>75</v>
      </c>
      <c r="L146" s="81">
        <v>299</v>
      </c>
      <c r="M146" s="86">
        <v>377</v>
      </c>
      <c r="N146" s="81">
        <v>187874</v>
      </c>
      <c r="O146" s="86">
        <v>52445</v>
      </c>
      <c r="P146" s="89">
        <f t="shared" si="7"/>
        <v>338</v>
      </c>
      <c r="Q146" s="89">
        <f t="shared" si="8"/>
        <v>120159.5</v>
      </c>
      <c r="R146" s="96" t="s">
        <v>94</v>
      </c>
      <c r="S146" s="96" t="s">
        <v>124</v>
      </c>
      <c r="T146" s="96" t="s">
        <v>94</v>
      </c>
      <c r="U146" s="96" t="s">
        <v>136</v>
      </c>
      <c r="V146" s="96" t="s">
        <v>94</v>
      </c>
      <c r="W146" s="96" t="s">
        <v>97</v>
      </c>
      <c r="X146" s="96" t="s">
        <v>98</v>
      </c>
      <c r="Y146" s="96" t="s">
        <v>479</v>
      </c>
      <c r="Z146" s="96" t="s">
        <v>480</v>
      </c>
      <c r="AA146" s="96" t="s">
        <v>481</v>
      </c>
      <c r="AB146" s="96" t="s">
        <v>482</v>
      </c>
      <c r="AC146" s="96" t="s">
        <v>483</v>
      </c>
      <c r="AD146" s="96" t="s">
        <v>484</v>
      </c>
      <c r="AE146" s="96" t="s">
        <v>485</v>
      </c>
      <c r="AF146" s="96" t="s">
        <v>486</v>
      </c>
      <c r="AG146" s="96" t="s">
        <v>487</v>
      </c>
      <c r="AH146" s="96">
        <v>1473</v>
      </c>
      <c r="AI146" s="96" t="s">
        <v>488</v>
      </c>
      <c r="AJ146" s="96" t="s">
        <v>489</v>
      </c>
      <c r="AK146" s="58" t="s">
        <v>110</v>
      </c>
    </row>
    <row r="147" spans="1:37">
      <c r="A147" s="70">
        <v>142</v>
      </c>
      <c r="B147" s="70">
        <f t="shared" si="6"/>
        <v>0</v>
      </c>
      <c r="C147" s="71"/>
      <c r="D147" s="59" t="s">
        <v>92</v>
      </c>
      <c r="E147" s="60">
        <v>14759</v>
      </c>
      <c r="F147" s="10" t="s">
        <v>552</v>
      </c>
      <c r="G147" s="60">
        <v>601</v>
      </c>
      <c r="H147" s="81">
        <v>650</v>
      </c>
      <c r="I147" s="86">
        <v>542</v>
      </c>
      <c r="J147" s="81">
        <v>650</v>
      </c>
      <c r="K147" s="86">
        <v>542</v>
      </c>
      <c r="L147" s="81">
        <v>320</v>
      </c>
      <c r="M147" s="86">
        <v>357</v>
      </c>
      <c r="N147" s="81">
        <v>138614</v>
      </c>
      <c r="O147" s="86">
        <v>102065</v>
      </c>
      <c r="P147" s="89">
        <f t="shared" si="7"/>
        <v>338.5</v>
      </c>
      <c r="Q147" s="89">
        <f t="shared" si="8"/>
        <v>120339.5</v>
      </c>
      <c r="R147" s="96" t="s">
        <v>94</v>
      </c>
      <c r="S147" s="96" t="s">
        <v>553</v>
      </c>
      <c r="T147" s="96" t="s">
        <v>94</v>
      </c>
      <c r="U147" s="96" t="s">
        <v>136</v>
      </c>
      <c r="V147" s="96" t="s">
        <v>94</v>
      </c>
      <c r="W147" s="96" t="s">
        <v>97</v>
      </c>
      <c r="X147" s="96" t="s">
        <v>500</v>
      </c>
      <c r="Y147" s="96" t="s">
        <v>110</v>
      </c>
      <c r="Z147" s="96" t="s">
        <v>110</v>
      </c>
      <c r="AA147" s="96" t="s">
        <v>554</v>
      </c>
      <c r="AB147" s="96" t="s">
        <v>110</v>
      </c>
      <c r="AC147" s="96" t="s">
        <v>555</v>
      </c>
      <c r="AD147" s="96" t="s">
        <v>556</v>
      </c>
      <c r="AE147" s="96" t="s">
        <v>557</v>
      </c>
      <c r="AF147" s="96" t="s">
        <v>558</v>
      </c>
      <c r="AG147" s="96" t="s">
        <v>110</v>
      </c>
      <c r="AH147" s="96">
        <v>2688</v>
      </c>
      <c r="AI147" s="96" t="s">
        <v>559</v>
      </c>
      <c r="AJ147" s="96" t="s">
        <v>560</v>
      </c>
      <c r="AK147" s="58" t="s">
        <v>110</v>
      </c>
    </row>
    <row r="148" spans="1:37">
      <c r="A148" s="70">
        <v>143</v>
      </c>
      <c r="B148" s="70">
        <f t="shared" si="6"/>
        <v>0</v>
      </c>
      <c r="C148" s="71"/>
      <c r="D148" s="59" t="s">
        <v>92</v>
      </c>
      <c r="E148" s="60">
        <v>12958</v>
      </c>
      <c r="F148" s="10" t="s">
        <v>498</v>
      </c>
      <c r="G148" s="60">
        <v>602</v>
      </c>
      <c r="H148" s="81">
        <v>219</v>
      </c>
      <c r="I148" s="86">
        <v>258</v>
      </c>
      <c r="J148" s="81">
        <v>219</v>
      </c>
      <c r="K148" s="86">
        <v>258</v>
      </c>
      <c r="L148" s="81">
        <v>323</v>
      </c>
      <c r="M148" s="86">
        <v>353</v>
      </c>
      <c r="N148" s="81">
        <v>131661</v>
      </c>
      <c r="O148" s="86">
        <v>109870</v>
      </c>
      <c r="P148" s="89">
        <f t="shared" si="7"/>
        <v>338</v>
      </c>
      <c r="Q148" s="89">
        <f t="shared" si="8"/>
        <v>120765.5</v>
      </c>
      <c r="R148" s="96" t="s">
        <v>94</v>
      </c>
      <c r="S148" s="96" t="s">
        <v>499</v>
      </c>
      <c r="T148" s="96" t="s">
        <v>94</v>
      </c>
      <c r="U148" s="96" t="s">
        <v>136</v>
      </c>
      <c r="V148" s="96" t="s">
        <v>94</v>
      </c>
      <c r="W148" s="96" t="s">
        <v>97</v>
      </c>
      <c r="X148" s="96" t="s">
        <v>500</v>
      </c>
      <c r="Y148" s="96" t="s">
        <v>225</v>
      </c>
      <c r="Z148" s="96" t="s">
        <v>226</v>
      </c>
      <c r="AA148" s="96" t="s">
        <v>501</v>
      </c>
      <c r="AB148" s="96" t="s">
        <v>502</v>
      </c>
      <c r="AC148" s="96" t="s">
        <v>503</v>
      </c>
      <c r="AD148" s="96" t="s">
        <v>504</v>
      </c>
      <c r="AE148" s="96" t="s">
        <v>505</v>
      </c>
      <c r="AF148" s="96" t="s">
        <v>506</v>
      </c>
      <c r="AG148" s="96" t="s">
        <v>507</v>
      </c>
      <c r="AH148" s="96">
        <v>1527</v>
      </c>
      <c r="AI148" s="96" t="s">
        <v>508</v>
      </c>
      <c r="AJ148" s="96" t="s">
        <v>509</v>
      </c>
      <c r="AK148" s="58" t="s">
        <v>110</v>
      </c>
    </row>
    <row r="149" spans="1:37">
      <c r="A149" s="70">
        <v>144</v>
      </c>
      <c r="B149" s="70">
        <f t="shared" si="6"/>
        <v>0</v>
      </c>
      <c r="C149" s="71"/>
      <c r="D149" s="59" t="s">
        <v>92</v>
      </c>
      <c r="E149" s="60">
        <v>14509</v>
      </c>
      <c r="F149" s="10" t="s">
        <v>490</v>
      </c>
      <c r="G149" s="60">
        <v>603</v>
      </c>
      <c r="H149" s="81">
        <v>264</v>
      </c>
      <c r="I149" s="86">
        <v>579</v>
      </c>
      <c r="J149" s="81">
        <v>264</v>
      </c>
      <c r="K149" s="86">
        <v>579</v>
      </c>
      <c r="L149" s="81">
        <v>330</v>
      </c>
      <c r="M149" s="86">
        <v>346</v>
      </c>
      <c r="N149" s="81">
        <v>115642</v>
      </c>
      <c r="O149" s="86">
        <v>126635</v>
      </c>
      <c r="P149" s="89">
        <f t="shared" si="7"/>
        <v>338</v>
      </c>
      <c r="Q149" s="89">
        <f t="shared" si="8"/>
        <v>121138.5</v>
      </c>
      <c r="R149" s="96" t="s">
        <v>94</v>
      </c>
      <c r="S149" s="96" t="s">
        <v>124</v>
      </c>
      <c r="T149" s="96" t="s">
        <v>94</v>
      </c>
      <c r="U149" s="96" t="s">
        <v>136</v>
      </c>
      <c r="V149" s="96" t="s">
        <v>94</v>
      </c>
      <c r="W149" s="96" t="s">
        <v>97</v>
      </c>
      <c r="X149" s="96" t="s">
        <v>98</v>
      </c>
      <c r="Y149" s="96" t="s">
        <v>110</v>
      </c>
      <c r="Z149" s="96" t="s">
        <v>148</v>
      </c>
      <c r="AA149" s="96" t="s">
        <v>491</v>
      </c>
      <c r="AB149" s="96" t="s">
        <v>110</v>
      </c>
      <c r="AC149" s="96" t="s">
        <v>492</v>
      </c>
      <c r="AD149" s="96" t="s">
        <v>493</v>
      </c>
      <c r="AE149" s="96" t="s">
        <v>494</v>
      </c>
      <c r="AF149" s="96" t="s">
        <v>495</v>
      </c>
      <c r="AG149" s="96" t="s">
        <v>110</v>
      </c>
      <c r="AH149" s="96">
        <v>1977</v>
      </c>
      <c r="AI149" s="96" t="s">
        <v>496</v>
      </c>
      <c r="AJ149" s="96" t="s">
        <v>497</v>
      </c>
      <c r="AK149" s="58" t="s">
        <v>110</v>
      </c>
    </row>
    <row r="150" spans="1:37">
      <c r="A150" s="70">
        <v>145</v>
      </c>
      <c r="B150" s="70">
        <f t="shared" si="6"/>
        <v>0</v>
      </c>
      <c r="C150" s="71"/>
      <c r="D150" s="59" t="s">
        <v>92</v>
      </c>
      <c r="E150" s="60">
        <v>12573</v>
      </c>
      <c r="F150" s="10" t="s">
        <v>371</v>
      </c>
      <c r="G150" s="60">
        <v>602</v>
      </c>
      <c r="H150" s="81">
        <v>995</v>
      </c>
      <c r="I150" s="86">
        <v>660</v>
      </c>
      <c r="J150" s="81">
        <v>995</v>
      </c>
      <c r="K150" s="86">
        <v>660</v>
      </c>
      <c r="L150" s="81">
        <v>315</v>
      </c>
      <c r="M150" s="86">
        <v>361</v>
      </c>
      <c r="N150" s="81">
        <v>150961</v>
      </c>
      <c r="O150" s="86">
        <v>91538</v>
      </c>
      <c r="P150" s="89">
        <f t="shared" si="7"/>
        <v>338</v>
      </c>
      <c r="Q150" s="89">
        <f t="shared" si="8"/>
        <v>121249.5</v>
      </c>
      <c r="R150" s="96" t="s">
        <v>94</v>
      </c>
      <c r="S150" s="96" t="s">
        <v>124</v>
      </c>
      <c r="T150" s="96" t="s">
        <v>94</v>
      </c>
      <c r="U150" s="96" t="s">
        <v>136</v>
      </c>
      <c r="V150" s="96" t="s">
        <v>94</v>
      </c>
      <c r="W150" s="96" t="s">
        <v>97</v>
      </c>
      <c r="X150" s="96" t="s">
        <v>98</v>
      </c>
      <c r="Y150" s="96" t="s">
        <v>268</v>
      </c>
      <c r="Z150" s="96" t="s">
        <v>257</v>
      </c>
      <c r="AA150" s="96" t="s">
        <v>372</v>
      </c>
      <c r="AB150" s="96" t="s">
        <v>373</v>
      </c>
      <c r="AC150" s="96" t="s">
        <v>374</v>
      </c>
      <c r="AD150" s="96" t="s">
        <v>375</v>
      </c>
      <c r="AE150" s="96" t="s">
        <v>376</v>
      </c>
      <c r="AF150" s="96" t="s">
        <v>377</v>
      </c>
      <c r="AG150" s="96" t="s">
        <v>378</v>
      </c>
      <c r="AH150" s="96">
        <v>1543</v>
      </c>
      <c r="AI150" s="96" t="s">
        <v>379</v>
      </c>
      <c r="AJ150" s="96" t="s">
        <v>380</v>
      </c>
      <c r="AK150" s="58" t="s">
        <v>110</v>
      </c>
    </row>
    <row r="151" spans="1:37">
      <c r="A151" s="70">
        <v>146</v>
      </c>
      <c r="B151" s="70">
        <f t="shared" si="6"/>
        <v>0</v>
      </c>
      <c r="C151" s="71"/>
      <c r="D151" s="59" t="s">
        <v>92</v>
      </c>
      <c r="E151" s="60">
        <v>14065</v>
      </c>
      <c r="F151" s="10" t="s">
        <v>310</v>
      </c>
      <c r="G151" s="60">
        <v>601</v>
      </c>
      <c r="H151" s="81">
        <v>380</v>
      </c>
      <c r="I151" s="86">
        <v>590</v>
      </c>
      <c r="J151" s="81">
        <v>380</v>
      </c>
      <c r="K151" s="86">
        <v>590</v>
      </c>
      <c r="L151" s="81">
        <v>308</v>
      </c>
      <c r="M151" s="86">
        <v>366</v>
      </c>
      <c r="N151" s="81">
        <v>166592</v>
      </c>
      <c r="O151" s="86">
        <v>78010</v>
      </c>
      <c r="P151" s="89">
        <f t="shared" si="7"/>
        <v>337</v>
      </c>
      <c r="Q151" s="89">
        <f t="shared" si="8"/>
        <v>122301</v>
      </c>
      <c r="R151" s="96" t="s">
        <v>94</v>
      </c>
      <c r="S151" s="96" t="s">
        <v>124</v>
      </c>
      <c r="T151" s="96" t="s">
        <v>94</v>
      </c>
      <c r="U151" s="96" t="s">
        <v>136</v>
      </c>
      <c r="V151" s="96" t="s">
        <v>94</v>
      </c>
      <c r="W151" s="96" t="s">
        <v>97</v>
      </c>
      <c r="X151" s="96" t="s">
        <v>98</v>
      </c>
      <c r="Y151" s="96" t="s">
        <v>225</v>
      </c>
      <c r="Z151" s="96" t="s">
        <v>148</v>
      </c>
      <c r="AA151" s="96" t="s">
        <v>311</v>
      </c>
      <c r="AB151" s="96" t="s">
        <v>312</v>
      </c>
      <c r="AC151" s="96" t="s">
        <v>313</v>
      </c>
      <c r="AD151" s="96" t="s">
        <v>314</v>
      </c>
      <c r="AE151" s="96" t="s">
        <v>315</v>
      </c>
      <c r="AF151" s="96" t="s">
        <v>316</v>
      </c>
      <c r="AG151" s="96" t="s">
        <v>110</v>
      </c>
      <c r="AH151" s="96">
        <v>2004</v>
      </c>
      <c r="AI151" s="96" t="s">
        <v>317</v>
      </c>
      <c r="AJ151" s="96" t="s">
        <v>318</v>
      </c>
      <c r="AK151" s="58" t="s">
        <v>110</v>
      </c>
    </row>
    <row r="152" spans="1:37">
      <c r="A152" s="70">
        <v>147</v>
      </c>
      <c r="B152" s="70">
        <f t="shared" si="6"/>
        <v>0</v>
      </c>
      <c r="C152" s="71"/>
      <c r="D152" s="59" t="s">
        <v>92</v>
      </c>
      <c r="E152" s="60">
        <v>12772</v>
      </c>
      <c r="F152" s="10" t="s">
        <v>561</v>
      </c>
      <c r="G152" s="60">
        <v>603</v>
      </c>
      <c r="H152" s="81">
        <v>263</v>
      </c>
      <c r="I152" s="86">
        <v>375</v>
      </c>
      <c r="J152" s="81">
        <v>263</v>
      </c>
      <c r="K152" s="86">
        <v>375</v>
      </c>
      <c r="L152" s="81">
        <v>320</v>
      </c>
      <c r="M152" s="86">
        <v>355</v>
      </c>
      <c r="N152" s="81">
        <v>140112</v>
      </c>
      <c r="O152" s="86">
        <v>105503</v>
      </c>
      <c r="P152" s="89">
        <f t="shared" si="7"/>
        <v>337.5</v>
      </c>
      <c r="Q152" s="89">
        <f t="shared" si="8"/>
        <v>122807.5</v>
      </c>
      <c r="R152" s="96" t="s">
        <v>94</v>
      </c>
      <c r="S152" s="96" t="s">
        <v>562</v>
      </c>
      <c r="T152" s="96" t="s">
        <v>94</v>
      </c>
      <c r="U152" s="96" t="s">
        <v>136</v>
      </c>
      <c r="V152" s="96" t="s">
        <v>94</v>
      </c>
      <c r="W152" s="96" t="s">
        <v>97</v>
      </c>
      <c r="X152" s="96" t="s">
        <v>500</v>
      </c>
      <c r="Y152" s="96" t="s">
        <v>225</v>
      </c>
      <c r="Z152" s="96" t="s">
        <v>226</v>
      </c>
      <c r="AA152" s="96" t="s">
        <v>563</v>
      </c>
      <c r="AB152" s="96" t="s">
        <v>564</v>
      </c>
      <c r="AC152" s="96" t="s">
        <v>565</v>
      </c>
      <c r="AD152" s="96" t="s">
        <v>566</v>
      </c>
      <c r="AE152" s="96" t="s">
        <v>567</v>
      </c>
      <c r="AF152" s="96" t="s">
        <v>568</v>
      </c>
      <c r="AG152" s="96" t="s">
        <v>569</v>
      </c>
      <c r="AH152" s="96">
        <v>1839</v>
      </c>
      <c r="AI152" s="96" t="s">
        <v>570</v>
      </c>
      <c r="AJ152" s="96" t="s">
        <v>571</v>
      </c>
      <c r="AK152" s="58" t="s">
        <v>110</v>
      </c>
    </row>
    <row r="153" spans="1:37">
      <c r="A153" s="70">
        <v>148</v>
      </c>
      <c r="B153" s="70">
        <f t="shared" si="6"/>
        <v>0</v>
      </c>
      <c r="C153" s="71"/>
      <c r="D153" s="59" t="s">
        <v>92</v>
      </c>
      <c r="E153" s="60">
        <v>12772</v>
      </c>
      <c r="F153" s="10" t="s">
        <v>561</v>
      </c>
      <c r="G153" s="60">
        <v>601</v>
      </c>
      <c r="H153" s="81">
        <v>276</v>
      </c>
      <c r="I153" s="86">
        <v>280</v>
      </c>
      <c r="J153" s="81">
        <v>276</v>
      </c>
      <c r="K153" s="86">
        <v>280</v>
      </c>
      <c r="L153" s="81">
        <v>298</v>
      </c>
      <c r="M153" s="86">
        <v>374</v>
      </c>
      <c r="N153" s="81">
        <v>189125</v>
      </c>
      <c r="O153" s="86">
        <v>57888</v>
      </c>
      <c r="P153" s="89">
        <f t="shared" si="7"/>
        <v>336</v>
      </c>
      <c r="Q153" s="89">
        <f t="shared" si="8"/>
        <v>123506.5</v>
      </c>
      <c r="R153" s="96" t="s">
        <v>94</v>
      </c>
      <c r="S153" s="96" t="s">
        <v>562</v>
      </c>
      <c r="T153" s="96" t="s">
        <v>94</v>
      </c>
      <c r="U153" s="96" t="s">
        <v>136</v>
      </c>
      <c r="V153" s="96" t="s">
        <v>94</v>
      </c>
      <c r="W153" s="96" t="s">
        <v>97</v>
      </c>
      <c r="X153" s="96" t="s">
        <v>500</v>
      </c>
      <c r="Y153" s="96" t="s">
        <v>225</v>
      </c>
      <c r="Z153" s="96" t="s">
        <v>226</v>
      </c>
      <c r="AA153" s="96" t="s">
        <v>563</v>
      </c>
      <c r="AB153" s="96" t="s">
        <v>564</v>
      </c>
      <c r="AC153" s="96" t="s">
        <v>565</v>
      </c>
      <c r="AD153" s="96" t="s">
        <v>566</v>
      </c>
      <c r="AE153" s="96" t="s">
        <v>567</v>
      </c>
      <c r="AF153" s="96" t="s">
        <v>568</v>
      </c>
      <c r="AG153" s="96" t="s">
        <v>569</v>
      </c>
      <c r="AH153" s="96">
        <v>1839</v>
      </c>
      <c r="AI153" s="96" t="s">
        <v>570</v>
      </c>
      <c r="AJ153" s="96" t="s">
        <v>571</v>
      </c>
      <c r="AK153" s="58" t="s">
        <v>110</v>
      </c>
    </row>
    <row r="154" spans="1:37">
      <c r="A154" s="70">
        <v>149</v>
      </c>
      <c r="B154" s="70">
        <f t="shared" si="6"/>
        <v>0</v>
      </c>
      <c r="C154" s="71"/>
      <c r="D154" s="59" t="s">
        <v>92</v>
      </c>
      <c r="E154" s="60">
        <v>13709</v>
      </c>
      <c r="F154" s="10" t="s">
        <v>429</v>
      </c>
      <c r="G154" s="60">
        <v>601</v>
      </c>
      <c r="H154" s="81">
        <v>222</v>
      </c>
      <c r="I154" s="86">
        <v>323</v>
      </c>
      <c r="J154" s="81">
        <v>222</v>
      </c>
      <c r="K154" s="86">
        <v>323</v>
      </c>
      <c r="L154" s="81">
        <v>313</v>
      </c>
      <c r="M154" s="86">
        <v>360</v>
      </c>
      <c r="N154" s="81">
        <v>154789</v>
      </c>
      <c r="O154" s="86">
        <v>93377</v>
      </c>
      <c r="P154" s="89">
        <f t="shared" si="7"/>
        <v>336.5</v>
      </c>
      <c r="Q154" s="89">
        <f t="shared" si="8"/>
        <v>124083</v>
      </c>
      <c r="R154" s="96" t="s">
        <v>94</v>
      </c>
      <c r="S154" s="96" t="s">
        <v>124</v>
      </c>
      <c r="T154" s="96" t="s">
        <v>94</v>
      </c>
      <c r="U154" s="96" t="s">
        <v>136</v>
      </c>
      <c r="V154" s="96" t="s">
        <v>94</v>
      </c>
      <c r="W154" s="96" t="s">
        <v>97</v>
      </c>
      <c r="X154" s="96" t="s">
        <v>98</v>
      </c>
      <c r="Y154" s="96" t="s">
        <v>225</v>
      </c>
      <c r="Z154" s="96" t="s">
        <v>148</v>
      </c>
      <c r="AA154" s="96" t="s">
        <v>430</v>
      </c>
      <c r="AB154" s="96" t="s">
        <v>431</v>
      </c>
      <c r="AC154" s="96" t="s">
        <v>432</v>
      </c>
      <c r="AD154" s="96" t="s">
        <v>433</v>
      </c>
      <c r="AE154" s="96" t="s">
        <v>434</v>
      </c>
      <c r="AF154" s="96" t="s">
        <v>435</v>
      </c>
      <c r="AG154" s="96" t="s">
        <v>110</v>
      </c>
      <c r="AH154" s="96">
        <v>2369</v>
      </c>
      <c r="AI154" s="96" t="s">
        <v>436</v>
      </c>
      <c r="AJ154" s="96" t="s">
        <v>437</v>
      </c>
      <c r="AK154" s="58" t="s">
        <v>110</v>
      </c>
    </row>
    <row r="155" spans="1:37">
      <c r="A155" s="70">
        <v>150</v>
      </c>
      <c r="B155" s="70">
        <f t="shared" si="6"/>
        <v>0</v>
      </c>
      <c r="C155" s="71"/>
      <c r="D155" s="59" t="s">
        <v>92</v>
      </c>
      <c r="E155" s="60">
        <v>13711</v>
      </c>
      <c r="F155" s="10" t="s">
        <v>236</v>
      </c>
      <c r="G155" s="60">
        <v>606</v>
      </c>
      <c r="H155" s="81">
        <v>2</v>
      </c>
      <c r="I155" s="86">
        <v>15</v>
      </c>
      <c r="J155" s="81">
        <v>2</v>
      </c>
      <c r="K155" s="86">
        <v>15</v>
      </c>
      <c r="L155" s="81">
        <v>325</v>
      </c>
      <c r="M155" s="86">
        <v>349</v>
      </c>
      <c r="N155" s="81">
        <v>127134</v>
      </c>
      <c r="O155" s="86">
        <v>121556</v>
      </c>
      <c r="P155" s="89">
        <f t="shared" si="7"/>
        <v>337</v>
      </c>
      <c r="Q155" s="89">
        <f t="shared" si="8"/>
        <v>124345</v>
      </c>
      <c r="R155" s="96" t="s">
        <v>94</v>
      </c>
      <c r="S155" s="96" t="s">
        <v>237</v>
      </c>
      <c r="T155" s="96" t="s">
        <v>94</v>
      </c>
      <c r="U155" s="96" t="s">
        <v>136</v>
      </c>
      <c r="V155" s="96" t="s">
        <v>94</v>
      </c>
      <c r="W155" s="96" t="s">
        <v>97</v>
      </c>
      <c r="X155" s="96" t="s">
        <v>147</v>
      </c>
      <c r="Y155" s="96" t="s">
        <v>110</v>
      </c>
      <c r="Z155" s="96" t="s">
        <v>110</v>
      </c>
      <c r="AA155" s="96" t="s">
        <v>238</v>
      </c>
      <c r="AB155" s="96" t="s">
        <v>239</v>
      </c>
      <c r="AC155" s="96" t="s">
        <v>240</v>
      </c>
      <c r="AD155" s="96" t="s">
        <v>241</v>
      </c>
      <c r="AE155" s="96" t="s">
        <v>242</v>
      </c>
      <c r="AF155" s="96" t="s">
        <v>243</v>
      </c>
      <c r="AG155" s="96" t="s">
        <v>110</v>
      </c>
      <c r="AH155" s="96">
        <v>1606</v>
      </c>
      <c r="AI155" s="96" t="s">
        <v>244</v>
      </c>
      <c r="AJ155" s="96" t="s">
        <v>245</v>
      </c>
      <c r="AK155" s="58" t="s">
        <v>110</v>
      </c>
    </row>
    <row r="156" spans="1:37">
      <c r="A156" s="70">
        <v>151</v>
      </c>
      <c r="B156" s="70">
        <f t="shared" si="6"/>
        <v>0</v>
      </c>
      <c r="C156" s="71"/>
      <c r="D156" s="59" t="s">
        <v>92</v>
      </c>
      <c r="E156" s="60">
        <v>12953</v>
      </c>
      <c r="F156" s="10" t="s">
        <v>420</v>
      </c>
      <c r="G156" s="60">
        <v>605</v>
      </c>
      <c r="H156" s="81">
        <v>166</v>
      </c>
      <c r="I156" s="86" t="s">
        <v>110</v>
      </c>
      <c r="J156" s="81">
        <v>166</v>
      </c>
      <c r="K156" s="86" t="s">
        <v>110</v>
      </c>
      <c r="L156" s="81">
        <v>326</v>
      </c>
      <c r="M156" s="86" t="s">
        <v>110</v>
      </c>
      <c r="N156" s="81">
        <v>126324</v>
      </c>
      <c r="O156" s="86" t="s">
        <v>110</v>
      </c>
      <c r="P156" s="89">
        <f t="shared" si="7"/>
        <v>326</v>
      </c>
      <c r="Q156" s="89">
        <f t="shared" si="8"/>
        <v>126324</v>
      </c>
      <c r="R156" s="96" t="s">
        <v>94</v>
      </c>
      <c r="S156" s="96" t="s">
        <v>124</v>
      </c>
      <c r="T156" s="96" t="s">
        <v>94</v>
      </c>
      <c r="U156" s="96" t="s">
        <v>136</v>
      </c>
      <c r="V156" s="96" t="s">
        <v>94</v>
      </c>
      <c r="W156" s="96" t="s">
        <v>97</v>
      </c>
      <c r="X156" s="96" t="s">
        <v>98</v>
      </c>
      <c r="Y156" s="96" t="s">
        <v>225</v>
      </c>
      <c r="Z156" s="96" t="s">
        <v>148</v>
      </c>
      <c r="AA156" s="96" t="s">
        <v>421</v>
      </c>
      <c r="AB156" s="96" t="s">
        <v>422</v>
      </c>
      <c r="AC156" s="96" t="s">
        <v>423</v>
      </c>
      <c r="AD156" s="96" t="s">
        <v>424</v>
      </c>
      <c r="AE156" s="96" t="s">
        <v>425</v>
      </c>
      <c r="AF156" s="96" t="s">
        <v>426</v>
      </c>
      <c r="AG156" s="96" t="s">
        <v>110</v>
      </c>
      <c r="AH156" s="96">
        <v>2506</v>
      </c>
      <c r="AI156" s="96" t="s">
        <v>427</v>
      </c>
      <c r="AJ156" s="96" t="s">
        <v>428</v>
      </c>
      <c r="AK156" s="58" t="s">
        <v>110</v>
      </c>
    </row>
    <row r="157" spans="1:37">
      <c r="A157" s="70">
        <v>152</v>
      </c>
      <c r="B157" s="70">
        <f t="shared" si="6"/>
        <v>0</v>
      </c>
      <c r="C157" s="71"/>
      <c r="D157" s="59" t="s">
        <v>92</v>
      </c>
      <c r="E157" s="60">
        <v>12736</v>
      </c>
      <c r="F157" s="10" t="s">
        <v>572</v>
      </c>
      <c r="G157" s="60">
        <v>601</v>
      </c>
      <c r="H157" s="81">
        <v>1855</v>
      </c>
      <c r="I157" s="86">
        <v>2320</v>
      </c>
      <c r="J157" s="81">
        <v>1855</v>
      </c>
      <c r="K157" s="86">
        <v>2320</v>
      </c>
      <c r="L157" s="81">
        <v>318</v>
      </c>
      <c r="M157" s="86">
        <v>353</v>
      </c>
      <c r="N157" s="81">
        <v>143642</v>
      </c>
      <c r="O157" s="86">
        <v>111367</v>
      </c>
      <c r="P157" s="89">
        <f t="shared" si="7"/>
        <v>335.5</v>
      </c>
      <c r="Q157" s="89">
        <f t="shared" si="8"/>
        <v>127504.5</v>
      </c>
      <c r="R157" s="96" t="s">
        <v>94</v>
      </c>
      <c r="S157" s="96" t="s">
        <v>168</v>
      </c>
      <c r="T157" s="96" t="s">
        <v>94</v>
      </c>
      <c r="U157" s="96" t="s">
        <v>136</v>
      </c>
      <c r="V157" s="96" t="s">
        <v>94</v>
      </c>
      <c r="W157" s="96" t="s">
        <v>97</v>
      </c>
      <c r="X157" s="96" t="s">
        <v>169</v>
      </c>
      <c r="Y157" s="96" t="s">
        <v>573</v>
      </c>
      <c r="Z157" s="96" t="s">
        <v>110</v>
      </c>
      <c r="AA157" s="96" t="s">
        <v>574</v>
      </c>
      <c r="AB157" s="96" t="s">
        <v>110</v>
      </c>
      <c r="AC157" s="96" t="s">
        <v>575</v>
      </c>
      <c r="AD157" s="96" t="s">
        <v>576</v>
      </c>
      <c r="AE157" s="96" t="s">
        <v>577</v>
      </c>
      <c r="AF157" s="96" t="s">
        <v>578</v>
      </c>
      <c r="AG157" s="96" t="s">
        <v>110</v>
      </c>
      <c r="AH157" s="96">
        <v>1654</v>
      </c>
      <c r="AI157" s="96" t="s">
        <v>579</v>
      </c>
      <c r="AJ157" s="96" t="s">
        <v>580</v>
      </c>
      <c r="AK157" s="58" t="s">
        <v>110</v>
      </c>
    </row>
    <row r="158" spans="1:37">
      <c r="A158" s="70">
        <v>153</v>
      </c>
      <c r="B158" s="70">
        <f t="shared" si="6"/>
        <v>0</v>
      </c>
      <c r="C158" s="71"/>
      <c r="D158" s="59" t="s">
        <v>92</v>
      </c>
      <c r="E158" s="60">
        <v>12322</v>
      </c>
      <c r="F158" s="10" t="s">
        <v>478</v>
      </c>
      <c r="G158" s="60">
        <v>602</v>
      </c>
      <c r="H158" s="81">
        <v>45</v>
      </c>
      <c r="I158" s="86">
        <v>30</v>
      </c>
      <c r="J158" s="81">
        <v>45</v>
      </c>
      <c r="K158" s="86">
        <v>30</v>
      </c>
      <c r="L158" s="81">
        <v>296</v>
      </c>
      <c r="M158" s="86">
        <v>372</v>
      </c>
      <c r="N158" s="81">
        <v>192367</v>
      </c>
      <c r="O158" s="86">
        <v>62844</v>
      </c>
      <c r="P158" s="89">
        <f t="shared" si="7"/>
        <v>334</v>
      </c>
      <c r="Q158" s="89">
        <f t="shared" si="8"/>
        <v>127605.5</v>
      </c>
      <c r="R158" s="96" t="s">
        <v>94</v>
      </c>
      <c r="S158" s="96" t="s">
        <v>124</v>
      </c>
      <c r="T158" s="96" t="s">
        <v>94</v>
      </c>
      <c r="U158" s="96" t="s">
        <v>136</v>
      </c>
      <c r="V158" s="96" t="s">
        <v>94</v>
      </c>
      <c r="W158" s="96" t="s">
        <v>97</v>
      </c>
      <c r="X158" s="96" t="s">
        <v>98</v>
      </c>
      <c r="Y158" s="96" t="s">
        <v>479</v>
      </c>
      <c r="Z158" s="96" t="s">
        <v>480</v>
      </c>
      <c r="AA158" s="96" t="s">
        <v>481</v>
      </c>
      <c r="AB158" s="96" t="s">
        <v>482</v>
      </c>
      <c r="AC158" s="96" t="s">
        <v>483</v>
      </c>
      <c r="AD158" s="96" t="s">
        <v>484</v>
      </c>
      <c r="AE158" s="96" t="s">
        <v>485</v>
      </c>
      <c r="AF158" s="96" t="s">
        <v>486</v>
      </c>
      <c r="AG158" s="96" t="s">
        <v>487</v>
      </c>
      <c r="AH158" s="96">
        <v>1473</v>
      </c>
      <c r="AI158" s="96" t="s">
        <v>488</v>
      </c>
      <c r="AJ158" s="96" t="s">
        <v>489</v>
      </c>
      <c r="AK158" s="58" t="s">
        <v>110</v>
      </c>
    </row>
    <row r="159" spans="1:37">
      <c r="A159" s="70">
        <v>154</v>
      </c>
      <c r="B159" s="70">
        <f t="shared" si="6"/>
        <v>0</v>
      </c>
      <c r="C159" s="71"/>
      <c r="D159" s="59" t="s">
        <v>92</v>
      </c>
      <c r="E159" s="60">
        <v>14509</v>
      </c>
      <c r="F159" s="10" t="s">
        <v>490</v>
      </c>
      <c r="G159" s="60">
        <v>602</v>
      </c>
      <c r="H159" s="81">
        <v>391</v>
      </c>
      <c r="I159" s="86">
        <v>445</v>
      </c>
      <c r="J159" s="81">
        <v>391</v>
      </c>
      <c r="K159" s="86">
        <v>445</v>
      </c>
      <c r="L159" s="81">
        <v>327</v>
      </c>
      <c r="M159" s="86">
        <v>343</v>
      </c>
      <c r="N159" s="81">
        <v>123053</v>
      </c>
      <c r="O159" s="86">
        <v>135381</v>
      </c>
      <c r="P159" s="89">
        <f t="shared" si="7"/>
        <v>335</v>
      </c>
      <c r="Q159" s="89">
        <f t="shared" si="8"/>
        <v>129217</v>
      </c>
      <c r="R159" s="96" t="s">
        <v>94</v>
      </c>
      <c r="S159" s="96" t="s">
        <v>124</v>
      </c>
      <c r="T159" s="96" t="s">
        <v>94</v>
      </c>
      <c r="U159" s="96" t="s">
        <v>136</v>
      </c>
      <c r="V159" s="96" t="s">
        <v>94</v>
      </c>
      <c r="W159" s="96" t="s">
        <v>97</v>
      </c>
      <c r="X159" s="96" t="s">
        <v>98</v>
      </c>
      <c r="Y159" s="96" t="s">
        <v>110</v>
      </c>
      <c r="Z159" s="96" t="s">
        <v>148</v>
      </c>
      <c r="AA159" s="96" t="s">
        <v>491</v>
      </c>
      <c r="AB159" s="96" t="s">
        <v>110</v>
      </c>
      <c r="AC159" s="96" t="s">
        <v>492</v>
      </c>
      <c r="AD159" s="96" t="s">
        <v>493</v>
      </c>
      <c r="AE159" s="96" t="s">
        <v>494</v>
      </c>
      <c r="AF159" s="96" t="s">
        <v>495</v>
      </c>
      <c r="AG159" s="96" t="s">
        <v>110</v>
      </c>
      <c r="AH159" s="96">
        <v>1977</v>
      </c>
      <c r="AI159" s="96" t="s">
        <v>496</v>
      </c>
      <c r="AJ159" s="96" t="s">
        <v>497</v>
      </c>
      <c r="AK159" s="58" t="s">
        <v>110</v>
      </c>
    </row>
    <row r="160" spans="1:37">
      <c r="A160" s="70">
        <v>155</v>
      </c>
      <c r="B160" s="70">
        <f t="shared" si="6"/>
        <v>0</v>
      </c>
      <c r="C160" s="71"/>
      <c r="D160" s="59" t="s">
        <v>92</v>
      </c>
      <c r="E160" s="60">
        <v>12741</v>
      </c>
      <c r="F160" s="10" t="s">
        <v>581</v>
      </c>
      <c r="G160" s="60">
        <v>602</v>
      </c>
      <c r="H160" s="81">
        <v>215</v>
      </c>
      <c r="I160" s="86">
        <v>155</v>
      </c>
      <c r="J160" s="81">
        <v>215</v>
      </c>
      <c r="K160" s="86">
        <v>155</v>
      </c>
      <c r="L160" s="81">
        <v>309</v>
      </c>
      <c r="M160" s="86">
        <v>360</v>
      </c>
      <c r="N160" s="81">
        <v>165241</v>
      </c>
      <c r="O160" s="86">
        <v>94529</v>
      </c>
      <c r="P160" s="89">
        <f t="shared" si="7"/>
        <v>334.5</v>
      </c>
      <c r="Q160" s="89">
        <f t="shared" si="8"/>
        <v>129885</v>
      </c>
      <c r="R160" s="96" t="s">
        <v>94</v>
      </c>
      <c r="S160" s="96" t="s">
        <v>124</v>
      </c>
      <c r="T160" s="96" t="s">
        <v>94</v>
      </c>
      <c r="U160" s="96" t="s">
        <v>136</v>
      </c>
      <c r="V160" s="96" t="s">
        <v>94</v>
      </c>
      <c r="W160" s="96" t="s">
        <v>97</v>
      </c>
      <c r="X160" s="96" t="s">
        <v>98</v>
      </c>
      <c r="Y160" s="96" t="s">
        <v>349</v>
      </c>
      <c r="Z160" s="96" t="s">
        <v>226</v>
      </c>
      <c r="AA160" s="96" t="s">
        <v>582</v>
      </c>
      <c r="AB160" s="96" t="s">
        <v>583</v>
      </c>
      <c r="AC160" s="96" t="s">
        <v>584</v>
      </c>
      <c r="AD160" s="96" t="s">
        <v>585</v>
      </c>
      <c r="AE160" s="96" t="s">
        <v>586</v>
      </c>
      <c r="AF160" s="96" t="s">
        <v>587</v>
      </c>
      <c r="AG160" s="96" t="s">
        <v>588</v>
      </c>
      <c r="AH160" s="96">
        <v>1994</v>
      </c>
      <c r="AI160" s="96" t="s">
        <v>589</v>
      </c>
      <c r="AJ160" s="96" t="s">
        <v>590</v>
      </c>
      <c r="AK160" s="58" t="s">
        <v>110</v>
      </c>
    </row>
    <row r="161" spans="1:37">
      <c r="A161" s="70">
        <v>156</v>
      </c>
      <c r="B161" s="70">
        <f t="shared" si="6"/>
        <v>0</v>
      </c>
      <c r="C161" s="71"/>
      <c r="D161" s="59" t="s">
        <v>92</v>
      </c>
      <c r="E161" s="60">
        <v>12741</v>
      </c>
      <c r="F161" s="10" t="s">
        <v>581</v>
      </c>
      <c r="G161" s="60">
        <v>601</v>
      </c>
      <c r="H161" s="81">
        <v>1763</v>
      </c>
      <c r="I161" s="86">
        <v>1928</v>
      </c>
      <c r="J161" s="81">
        <v>1763</v>
      </c>
      <c r="K161" s="86">
        <v>1928</v>
      </c>
      <c r="L161" s="81">
        <v>311</v>
      </c>
      <c r="M161" s="86">
        <v>357</v>
      </c>
      <c r="N161" s="81">
        <v>161106</v>
      </c>
      <c r="O161" s="86">
        <v>100534</v>
      </c>
      <c r="P161" s="89">
        <f t="shared" si="7"/>
        <v>334</v>
      </c>
      <c r="Q161" s="89">
        <f t="shared" si="8"/>
        <v>130820</v>
      </c>
      <c r="R161" s="96" t="s">
        <v>94</v>
      </c>
      <c r="S161" s="96" t="s">
        <v>124</v>
      </c>
      <c r="T161" s="96" t="s">
        <v>94</v>
      </c>
      <c r="U161" s="96" t="s">
        <v>136</v>
      </c>
      <c r="V161" s="96" t="s">
        <v>94</v>
      </c>
      <c r="W161" s="96" t="s">
        <v>97</v>
      </c>
      <c r="X161" s="96" t="s">
        <v>98</v>
      </c>
      <c r="Y161" s="96" t="s">
        <v>349</v>
      </c>
      <c r="Z161" s="96" t="s">
        <v>226</v>
      </c>
      <c r="AA161" s="96" t="s">
        <v>582</v>
      </c>
      <c r="AB161" s="96" t="s">
        <v>583</v>
      </c>
      <c r="AC161" s="96" t="s">
        <v>584</v>
      </c>
      <c r="AD161" s="96" t="s">
        <v>585</v>
      </c>
      <c r="AE161" s="96" t="s">
        <v>586</v>
      </c>
      <c r="AF161" s="96" t="s">
        <v>587</v>
      </c>
      <c r="AG161" s="96" t="s">
        <v>588</v>
      </c>
      <c r="AH161" s="96">
        <v>1994</v>
      </c>
      <c r="AI161" s="96" t="s">
        <v>589</v>
      </c>
      <c r="AJ161" s="96" t="s">
        <v>590</v>
      </c>
      <c r="AK161" s="58" t="s">
        <v>110</v>
      </c>
    </row>
    <row r="162" spans="1:37">
      <c r="A162" s="70">
        <v>157</v>
      </c>
      <c r="B162" s="70">
        <f t="shared" si="6"/>
        <v>0</v>
      </c>
      <c r="C162" s="71"/>
      <c r="D162" s="59" t="s">
        <v>92</v>
      </c>
      <c r="E162" s="60">
        <v>14609</v>
      </c>
      <c r="F162" s="10" t="s">
        <v>591</v>
      </c>
      <c r="G162" s="60">
        <v>601</v>
      </c>
      <c r="H162" s="81">
        <v>1235</v>
      </c>
      <c r="I162" s="86">
        <v>1120</v>
      </c>
      <c r="J162" s="81">
        <v>1235</v>
      </c>
      <c r="K162" s="86">
        <v>1120</v>
      </c>
      <c r="L162" s="81">
        <v>319</v>
      </c>
      <c r="M162" s="86">
        <v>349</v>
      </c>
      <c r="N162" s="81">
        <v>141156</v>
      </c>
      <c r="O162" s="86">
        <v>120744</v>
      </c>
      <c r="P162" s="89">
        <f t="shared" si="7"/>
        <v>334</v>
      </c>
      <c r="Q162" s="89">
        <f t="shared" si="8"/>
        <v>130950</v>
      </c>
      <c r="R162" s="96" t="s">
        <v>94</v>
      </c>
      <c r="S162" s="96" t="s">
        <v>329</v>
      </c>
      <c r="T162" s="96" t="s">
        <v>94</v>
      </c>
      <c r="U162" s="96" t="s">
        <v>136</v>
      </c>
      <c r="V162" s="96" t="s">
        <v>94</v>
      </c>
      <c r="W162" s="96" t="s">
        <v>97</v>
      </c>
      <c r="X162" s="96" t="s">
        <v>290</v>
      </c>
      <c r="Y162" s="96" t="s">
        <v>110</v>
      </c>
      <c r="Z162" s="96" t="s">
        <v>511</v>
      </c>
      <c r="AA162" s="96" t="s">
        <v>592</v>
      </c>
      <c r="AB162" s="96" t="s">
        <v>110</v>
      </c>
      <c r="AC162" s="96" t="s">
        <v>593</v>
      </c>
      <c r="AD162" s="96" t="s">
        <v>594</v>
      </c>
      <c r="AE162" s="96" t="s">
        <v>595</v>
      </c>
      <c r="AF162" s="96" t="s">
        <v>596</v>
      </c>
      <c r="AG162" s="96" t="s">
        <v>597</v>
      </c>
      <c r="AH162" s="96">
        <v>1316</v>
      </c>
      <c r="AI162" s="96" t="s">
        <v>598</v>
      </c>
      <c r="AJ162" s="96" t="s">
        <v>599</v>
      </c>
      <c r="AK162" s="58" t="s">
        <v>110</v>
      </c>
    </row>
    <row r="163" spans="1:37">
      <c r="A163" s="70">
        <v>158</v>
      </c>
      <c r="B163" s="70">
        <f t="shared" si="6"/>
        <v>0</v>
      </c>
      <c r="C163" s="71"/>
      <c r="D163" s="59" t="s">
        <v>92</v>
      </c>
      <c r="E163" s="60">
        <v>13919</v>
      </c>
      <c r="F163" s="10" t="s">
        <v>348</v>
      </c>
      <c r="G163" s="60">
        <v>608</v>
      </c>
      <c r="H163" s="81">
        <v>120</v>
      </c>
      <c r="I163" s="86" t="s">
        <v>110</v>
      </c>
      <c r="J163" s="81">
        <v>120</v>
      </c>
      <c r="K163" s="86" t="s">
        <v>110</v>
      </c>
      <c r="L163" s="81">
        <v>323</v>
      </c>
      <c r="M163" s="86" t="s">
        <v>110</v>
      </c>
      <c r="N163" s="81">
        <v>131575</v>
      </c>
      <c r="O163" s="86" t="s">
        <v>110</v>
      </c>
      <c r="P163" s="89">
        <f t="shared" si="7"/>
        <v>323</v>
      </c>
      <c r="Q163" s="89">
        <f t="shared" si="8"/>
        <v>131575</v>
      </c>
      <c r="R163" s="96" t="s">
        <v>94</v>
      </c>
      <c r="S163" s="96" t="s">
        <v>124</v>
      </c>
      <c r="T163" s="96" t="s">
        <v>94</v>
      </c>
      <c r="U163" s="96" t="s">
        <v>136</v>
      </c>
      <c r="V163" s="96" t="s">
        <v>94</v>
      </c>
      <c r="W163" s="96" t="s">
        <v>97</v>
      </c>
      <c r="X163" s="96" t="s">
        <v>98</v>
      </c>
      <c r="Y163" s="96" t="s">
        <v>349</v>
      </c>
      <c r="Z163" s="96" t="s">
        <v>226</v>
      </c>
      <c r="AA163" s="96" t="s">
        <v>350</v>
      </c>
      <c r="AB163" s="96" t="s">
        <v>351</v>
      </c>
      <c r="AC163" s="96" t="s">
        <v>352</v>
      </c>
      <c r="AD163" s="96" t="s">
        <v>353</v>
      </c>
      <c r="AE163" s="96" t="s">
        <v>354</v>
      </c>
      <c r="AF163" s="96" t="s">
        <v>355</v>
      </c>
      <c r="AG163" s="96" t="s">
        <v>356</v>
      </c>
      <c r="AH163" s="96">
        <v>1626</v>
      </c>
      <c r="AI163" s="96" t="s">
        <v>357</v>
      </c>
      <c r="AJ163" s="96" t="s">
        <v>358</v>
      </c>
      <c r="AK163" s="58" t="s">
        <v>110</v>
      </c>
    </row>
    <row r="164" spans="1:37">
      <c r="A164" s="70">
        <v>159</v>
      </c>
      <c r="B164" s="70">
        <f t="shared" si="6"/>
        <v>0</v>
      </c>
      <c r="C164" s="71"/>
      <c r="D164" s="59" t="s">
        <v>92</v>
      </c>
      <c r="E164" s="60">
        <v>12960</v>
      </c>
      <c r="F164" s="10" t="s">
        <v>381</v>
      </c>
      <c r="G164" s="60">
        <v>603</v>
      </c>
      <c r="H164" s="81">
        <v>110</v>
      </c>
      <c r="I164" s="86" t="s">
        <v>110</v>
      </c>
      <c r="J164" s="81">
        <v>110</v>
      </c>
      <c r="K164" s="86" t="s">
        <v>110</v>
      </c>
      <c r="L164" s="81">
        <v>322</v>
      </c>
      <c r="M164" s="86" t="s">
        <v>110</v>
      </c>
      <c r="N164" s="81">
        <v>134321</v>
      </c>
      <c r="O164" s="86" t="s">
        <v>110</v>
      </c>
      <c r="P164" s="89">
        <f t="shared" si="7"/>
        <v>322</v>
      </c>
      <c r="Q164" s="89">
        <f t="shared" si="8"/>
        <v>134321</v>
      </c>
      <c r="R164" s="96" t="s">
        <v>94</v>
      </c>
      <c r="S164" s="96" t="s">
        <v>124</v>
      </c>
      <c r="T164" s="96" t="s">
        <v>94</v>
      </c>
      <c r="U164" s="96" t="s">
        <v>136</v>
      </c>
      <c r="V164" s="96" t="s">
        <v>94</v>
      </c>
      <c r="W164" s="96" t="s">
        <v>97</v>
      </c>
      <c r="X164" s="96" t="s">
        <v>98</v>
      </c>
      <c r="Y164" s="96" t="s">
        <v>382</v>
      </c>
      <c r="Z164" s="96" t="s">
        <v>110</v>
      </c>
      <c r="AA164" s="96" t="s">
        <v>383</v>
      </c>
      <c r="AB164" s="96" t="s">
        <v>384</v>
      </c>
      <c r="AC164" s="96" t="s">
        <v>385</v>
      </c>
      <c r="AD164" s="96" t="s">
        <v>386</v>
      </c>
      <c r="AE164" s="96" t="s">
        <v>387</v>
      </c>
      <c r="AF164" s="96" t="s">
        <v>388</v>
      </c>
      <c r="AG164" s="96" t="s">
        <v>110</v>
      </c>
      <c r="AH164" s="96">
        <v>1993</v>
      </c>
      <c r="AI164" s="96" t="s">
        <v>389</v>
      </c>
      <c r="AJ164" s="96" t="s">
        <v>390</v>
      </c>
      <c r="AK164" s="58" t="s">
        <v>110</v>
      </c>
    </row>
    <row r="165" spans="1:37">
      <c r="A165" s="70">
        <v>160</v>
      </c>
      <c r="B165" s="70">
        <f t="shared" si="6"/>
        <v>0</v>
      </c>
      <c r="C165" s="71"/>
      <c r="D165" s="59" t="s">
        <v>92</v>
      </c>
      <c r="E165" s="60">
        <v>10861</v>
      </c>
      <c r="F165" s="10" t="s">
        <v>359</v>
      </c>
      <c r="G165" s="60">
        <v>603</v>
      </c>
      <c r="H165" s="81">
        <v>15</v>
      </c>
      <c r="I165" s="86">
        <v>36</v>
      </c>
      <c r="J165" s="81">
        <v>15</v>
      </c>
      <c r="K165" s="86">
        <v>36</v>
      </c>
      <c r="L165" s="81">
        <v>321</v>
      </c>
      <c r="M165" s="86">
        <v>344</v>
      </c>
      <c r="N165" s="81">
        <v>136653</v>
      </c>
      <c r="O165" s="86">
        <v>132252</v>
      </c>
      <c r="P165" s="89">
        <f t="shared" si="7"/>
        <v>332.5</v>
      </c>
      <c r="Q165" s="89">
        <f t="shared" si="8"/>
        <v>134452.5</v>
      </c>
      <c r="R165" s="96" t="s">
        <v>94</v>
      </c>
      <c r="S165" s="96" t="s">
        <v>124</v>
      </c>
      <c r="T165" s="96" t="s">
        <v>94</v>
      </c>
      <c r="U165" s="96" t="s">
        <v>136</v>
      </c>
      <c r="V165" s="96" t="s">
        <v>94</v>
      </c>
      <c r="W165" s="96" t="s">
        <v>97</v>
      </c>
      <c r="X165" s="96" t="s">
        <v>98</v>
      </c>
      <c r="Y165" s="96" t="s">
        <v>360</v>
      </c>
      <c r="Z165" s="96" t="s">
        <v>361</v>
      </c>
      <c r="AA165" s="96" t="s">
        <v>362</v>
      </c>
      <c r="AB165" s="96" t="s">
        <v>363</v>
      </c>
      <c r="AC165" s="96" t="s">
        <v>364</v>
      </c>
      <c r="AD165" s="96" t="s">
        <v>365</v>
      </c>
      <c r="AE165" s="96" t="s">
        <v>366</v>
      </c>
      <c r="AF165" s="96" t="s">
        <v>367</v>
      </c>
      <c r="AG165" s="96" t="s">
        <v>368</v>
      </c>
      <c r="AH165" s="96">
        <v>1765</v>
      </c>
      <c r="AI165" s="96" t="s">
        <v>369</v>
      </c>
      <c r="AJ165" s="96" t="s">
        <v>370</v>
      </c>
      <c r="AK165" s="58" t="s">
        <v>110</v>
      </c>
    </row>
    <row r="166" spans="1:37">
      <c r="A166" s="70">
        <v>161</v>
      </c>
      <c r="B166" s="70">
        <f t="shared" si="6"/>
        <v>0</v>
      </c>
      <c r="C166" s="71"/>
      <c r="D166" s="59" t="s">
        <v>92</v>
      </c>
      <c r="E166" s="60">
        <v>14760</v>
      </c>
      <c r="F166" s="10" t="s">
        <v>544</v>
      </c>
      <c r="G166" s="60">
        <v>602</v>
      </c>
      <c r="H166" s="81">
        <v>100</v>
      </c>
      <c r="I166" s="86">
        <v>93</v>
      </c>
      <c r="J166" s="81">
        <v>100</v>
      </c>
      <c r="K166" s="86">
        <v>93</v>
      </c>
      <c r="L166" s="81">
        <v>319</v>
      </c>
      <c r="M166" s="86">
        <v>346</v>
      </c>
      <c r="N166" s="81">
        <v>142797</v>
      </c>
      <c r="O166" s="86">
        <v>127117</v>
      </c>
      <c r="P166" s="89">
        <f t="shared" si="7"/>
        <v>332.5</v>
      </c>
      <c r="Q166" s="89">
        <f t="shared" si="8"/>
        <v>134957</v>
      </c>
      <c r="R166" s="96" t="s">
        <v>94</v>
      </c>
      <c r="S166" s="96" t="s">
        <v>447</v>
      </c>
      <c r="T166" s="96" t="s">
        <v>94</v>
      </c>
      <c r="U166" s="96" t="s">
        <v>136</v>
      </c>
      <c r="V166" s="96" t="s">
        <v>94</v>
      </c>
      <c r="W166" s="96" t="s">
        <v>97</v>
      </c>
      <c r="X166" s="96" t="s">
        <v>448</v>
      </c>
      <c r="Y166" s="96" t="s">
        <v>110</v>
      </c>
      <c r="Z166" s="96" t="s">
        <v>110</v>
      </c>
      <c r="AA166" s="96" t="s">
        <v>545</v>
      </c>
      <c r="AB166" s="96" t="s">
        <v>110</v>
      </c>
      <c r="AC166" s="96" t="s">
        <v>546</v>
      </c>
      <c r="AD166" s="96" t="s">
        <v>547</v>
      </c>
      <c r="AE166" s="96" t="s">
        <v>548</v>
      </c>
      <c r="AF166" s="96" t="s">
        <v>549</v>
      </c>
      <c r="AG166" s="96" t="s">
        <v>110</v>
      </c>
      <c r="AH166" s="96">
        <v>2689</v>
      </c>
      <c r="AI166" s="96" t="s">
        <v>550</v>
      </c>
      <c r="AJ166" s="96" t="s">
        <v>551</v>
      </c>
      <c r="AK166" s="58" t="s">
        <v>110</v>
      </c>
    </row>
    <row r="167" spans="1:37">
      <c r="A167" s="70">
        <v>162</v>
      </c>
      <c r="B167" s="70">
        <f t="shared" si="6"/>
        <v>0</v>
      </c>
      <c r="C167" s="71"/>
      <c r="D167" s="59" t="s">
        <v>92</v>
      </c>
      <c r="E167" s="60">
        <v>12958</v>
      </c>
      <c r="F167" s="10" t="s">
        <v>498</v>
      </c>
      <c r="G167" s="60">
        <v>601</v>
      </c>
      <c r="H167" s="81">
        <v>530</v>
      </c>
      <c r="I167" s="86">
        <v>441</v>
      </c>
      <c r="J167" s="81">
        <v>530</v>
      </c>
      <c r="K167" s="86">
        <v>441</v>
      </c>
      <c r="L167" s="81">
        <v>307</v>
      </c>
      <c r="M167" s="86">
        <v>357</v>
      </c>
      <c r="N167" s="81">
        <v>168791</v>
      </c>
      <c r="O167" s="86">
        <v>101794</v>
      </c>
      <c r="P167" s="89">
        <f t="shared" si="7"/>
        <v>332</v>
      </c>
      <c r="Q167" s="89">
        <f t="shared" si="8"/>
        <v>135292.5</v>
      </c>
      <c r="R167" s="96" t="s">
        <v>94</v>
      </c>
      <c r="S167" s="96" t="s">
        <v>499</v>
      </c>
      <c r="T167" s="96" t="s">
        <v>94</v>
      </c>
      <c r="U167" s="96" t="s">
        <v>136</v>
      </c>
      <c r="V167" s="96" t="s">
        <v>94</v>
      </c>
      <c r="W167" s="96" t="s">
        <v>97</v>
      </c>
      <c r="X167" s="96" t="s">
        <v>500</v>
      </c>
      <c r="Y167" s="96" t="s">
        <v>225</v>
      </c>
      <c r="Z167" s="96" t="s">
        <v>226</v>
      </c>
      <c r="AA167" s="96" t="s">
        <v>501</v>
      </c>
      <c r="AB167" s="96" t="s">
        <v>502</v>
      </c>
      <c r="AC167" s="96" t="s">
        <v>503</v>
      </c>
      <c r="AD167" s="96" t="s">
        <v>504</v>
      </c>
      <c r="AE167" s="96" t="s">
        <v>505</v>
      </c>
      <c r="AF167" s="96" t="s">
        <v>506</v>
      </c>
      <c r="AG167" s="96" t="s">
        <v>507</v>
      </c>
      <c r="AH167" s="96">
        <v>1527</v>
      </c>
      <c r="AI167" s="96" t="s">
        <v>508</v>
      </c>
      <c r="AJ167" s="96" t="s">
        <v>509</v>
      </c>
      <c r="AK167" s="58" t="s">
        <v>110</v>
      </c>
    </row>
    <row r="168" spans="1:37">
      <c r="A168" s="70">
        <v>163</v>
      </c>
      <c r="B168" s="70">
        <f t="shared" si="6"/>
        <v>0</v>
      </c>
      <c r="C168" s="71"/>
      <c r="D168" s="59" t="s">
        <v>92</v>
      </c>
      <c r="E168" s="60">
        <v>10862</v>
      </c>
      <c r="F168" s="10" t="s">
        <v>278</v>
      </c>
      <c r="G168" s="60">
        <v>610</v>
      </c>
      <c r="H168" s="81">
        <v>151</v>
      </c>
      <c r="I168" s="86">
        <v>61</v>
      </c>
      <c r="J168" s="81">
        <v>151</v>
      </c>
      <c r="K168" s="86">
        <v>61</v>
      </c>
      <c r="L168" s="81">
        <v>333</v>
      </c>
      <c r="M168" s="86">
        <v>330</v>
      </c>
      <c r="N168" s="81">
        <v>110746</v>
      </c>
      <c r="O168" s="86">
        <v>162707</v>
      </c>
      <c r="P168" s="89">
        <f t="shared" si="7"/>
        <v>331.5</v>
      </c>
      <c r="Q168" s="89">
        <f t="shared" si="8"/>
        <v>136726.5</v>
      </c>
      <c r="R168" s="96" t="s">
        <v>94</v>
      </c>
      <c r="S168" s="96" t="s">
        <v>124</v>
      </c>
      <c r="T168" s="96" t="s">
        <v>94</v>
      </c>
      <c r="U168" s="96" t="s">
        <v>136</v>
      </c>
      <c r="V168" s="96" t="s">
        <v>94</v>
      </c>
      <c r="W168" s="96" t="s">
        <v>97</v>
      </c>
      <c r="X168" s="96" t="s">
        <v>98</v>
      </c>
      <c r="Y168" s="96" t="s">
        <v>192</v>
      </c>
      <c r="Z168" s="96" t="s">
        <v>193</v>
      </c>
      <c r="AA168" s="96" t="s">
        <v>279</v>
      </c>
      <c r="AB168" s="96" t="s">
        <v>280</v>
      </c>
      <c r="AC168" s="96" t="s">
        <v>281</v>
      </c>
      <c r="AD168" s="96" t="s">
        <v>282</v>
      </c>
      <c r="AE168" s="96" t="s">
        <v>283</v>
      </c>
      <c r="AF168" s="96" t="s">
        <v>284</v>
      </c>
      <c r="AG168" s="96" t="s">
        <v>285</v>
      </c>
      <c r="AH168" s="96">
        <v>1410</v>
      </c>
      <c r="AI168" s="96" t="s">
        <v>286</v>
      </c>
      <c r="AJ168" s="96" t="s">
        <v>287</v>
      </c>
      <c r="AK168" s="58" t="s">
        <v>110</v>
      </c>
    </row>
    <row r="169" spans="1:37">
      <c r="A169" s="70">
        <v>164</v>
      </c>
      <c r="B169" s="70">
        <f t="shared" si="6"/>
        <v>0</v>
      </c>
      <c r="C169" s="71"/>
      <c r="D169" s="59" t="s">
        <v>92</v>
      </c>
      <c r="E169" s="60">
        <v>12572</v>
      </c>
      <c r="F169" s="10" t="s">
        <v>191</v>
      </c>
      <c r="G169" s="60">
        <v>612</v>
      </c>
      <c r="H169" s="81">
        <v>20</v>
      </c>
      <c r="I169" s="86" t="s">
        <v>110</v>
      </c>
      <c r="J169" s="81">
        <v>20</v>
      </c>
      <c r="K169" s="86" t="s">
        <v>110</v>
      </c>
      <c r="L169" s="81">
        <v>321</v>
      </c>
      <c r="M169" s="86" t="s">
        <v>110</v>
      </c>
      <c r="N169" s="81">
        <v>136820</v>
      </c>
      <c r="O169" s="86" t="s">
        <v>110</v>
      </c>
      <c r="P169" s="89">
        <f t="shared" si="7"/>
        <v>321</v>
      </c>
      <c r="Q169" s="89">
        <f t="shared" si="8"/>
        <v>136820</v>
      </c>
      <c r="R169" s="96" t="s">
        <v>94</v>
      </c>
      <c r="S169" s="96" t="s">
        <v>124</v>
      </c>
      <c r="T169" s="96" t="s">
        <v>94</v>
      </c>
      <c r="U169" s="96" t="s">
        <v>136</v>
      </c>
      <c r="V169" s="96" t="s">
        <v>94</v>
      </c>
      <c r="W169" s="96" t="s">
        <v>97</v>
      </c>
      <c r="X169" s="96" t="s">
        <v>98</v>
      </c>
      <c r="Y169" s="96" t="s">
        <v>192</v>
      </c>
      <c r="Z169" s="96" t="s">
        <v>193</v>
      </c>
      <c r="AA169" s="96" t="s">
        <v>194</v>
      </c>
      <c r="AB169" s="96" t="s">
        <v>195</v>
      </c>
      <c r="AC169" s="96" t="s">
        <v>196</v>
      </c>
      <c r="AD169" s="96" t="s">
        <v>197</v>
      </c>
      <c r="AE169" s="96" t="s">
        <v>198</v>
      </c>
      <c r="AF169" s="96" t="s">
        <v>199</v>
      </c>
      <c r="AG169" s="96" t="s">
        <v>200</v>
      </c>
      <c r="AH169" s="96">
        <v>1329</v>
      </c>
      <c r="AI169" s="96" t="s">
        <v>201</v>
      </c>
      <c r="AJ169" s="96" t="s">
        <v>202</v>
      </c>
      <c r="AK169" s="58" t="s">
        <v>110</v>
      </c>
    </row>
    <row r="170" spans="1:37">
      <c r="A170" s="70">
        <v>165</v>
      </c>
      <c r="B170" s="70">
        <f t="shared" si="6"/>
        <v>0</v>
      </c>
      <c r="C170" s="71"/>
      <c r="D170" s="59" t="s">
        <v>92</v>
      </c>
      <c r="E170" s="60">
        <v>13710</v>
      </c>
      <c r="F170" s="10" t="s">
        <v>458</v>
      </c>
      <c r="G170" s="60">
        <v>605</v>
      </c>
      <c r="H170" s="81">
        <v>365</v>
      </c>
      <c r="I170" s="86" t="s">
        <v>110</v>
      </c>
      <c r="J170" s="81">
        <v>365</v>
      </c>
      <c r="K170" s="86" t="s">
        <v>110</v>
      </c>
      <c r="L170" s="81">
        <v>321</v>
      </c>
      <c r="M170" s="86" t="s">
        <v>110</v>
      </c>
      <c r="N170" s="81">
        <v>137699</v>
      </c>
      <c r="O170" s="86" t="s">
        <v>110</v>
      </c>
      <c r="P170" s="89">
        <f t="shared" si="7"/>
        <v>321</v>
      </c>
      <c r="Q170" s="89">
        <f t="shared" si="8"/>
        <v>137699</v>
      </c>
      <c r="R170" s="96" t="s">
        <v>94</v>
      </c>
      <c r="S170" s="96" t="s">
        <v>224</v>
      </c>
      <c r="T170" s="96" t="s">
        <v>94</v>
      </c>
      <c r="U170" s="96" t="s">
        <v>136</v>
      </c>
      <c r="V170" s="96" t="s">
        <v>94</v>
      </c>
      <c r="W170" s="96" t="s">
        <v>97</v>
      </c>
      <c r="X170" s="96" t="s">
        <v>147</v>
      </c>
      <c r="Y170" s="96" t="s">
        <v>213</v>
      </c>
      <c r="Z170" s="96" t="s">
        <v>459</v>
      </c>
      <c r="AA170" s="96" t="s">
        <v>460</v>
      </c>
      <c r="AB170" s="96" t="s">
        <v>461</v>
      </c>
      <c r="AC170" s="96" t="s">
        <v>462</v>
      </c>
      <c r="AD170" s="96" t="s">
        <v>463</v>
      </c>
      <c r="AE170" s="96" t="s">
        <v>464</v>
      </c>
      <c r="AF170" s="96" t="s">
        <v>465</v>
      </c>
      <c r="AG170" s="96" t="s">
        <v>466</v>
      </c>
      <c r="AH170" s="96">
        <v>1413</v>
      </c>
      <c r="AI170" s="96" t="s">
        <v>467</v>
      </c>
      <c r="AJ170" s="96" t="s">
        <v>468</v>
      </c>
      <c r="AK170" s="58" t="s">
        <v>110</v>
      </c>
    </row>
    <row r="171" spans="1:37">
      <c r="A171" s="70">
        <v>166</v>
      </c>
      <c r="B171" s="70">
        <f t="shared" si="6"/>
        <v>0</v>
      </c>
      <c r="C171" s="71"/>
      <c r="D171" s="59" t="s">
        <v>92</v>
      </c>
      <c r="E171" s="60">
        <v>13711</v>
      </c>
      <c r="F171" s="10" t="s">
        <v>236</v>
      </c>
      <c r="G171" s="60">
        <v>607</v>
      </c>
      <c r="H171" s="81">
        <v>734</v>
      </c>
      <c r="I171" s="86">
        <v>757</v>
      </c>
      <c r="J171" s="81">
        <v>734</v>
      </c>
      <c r="K171" s="86">
        <v>757</v>
      </c>
      <c r="L171" s="81">
        <v>313</v>
      </c>
      <c r="M171" s="86">
        <v>348</v>
      </c>
      <c r="N171" s="81">
        <v>155685</v>
      </c>
      <c r="O171" s="86">
        <v>122419</v>
      </c>
      <c r="P171" s="89">
        <f t="shared" si="7"/>
        <v>330.5</v>
      </c>
      <c r="Q171" s="89">
        <f t="shared" si="8"/>
        <v>139052</v>
      </c>
      <c r="R171" s="96" t="s">
        <v>94</v>
      </c>
      <c r="S171" s="96" t="s">
        <v>237</v>
      </c>
      <c r="T171" s="96" t="s">
        <v>94</v>
      </c>
      <c r="U171" s="96" t="s">
        <v>136</v>
      </c>
      <c r="V171" s="96" t="s">
        <v>94</v>
      </c>
      <c r="W171" s="96" t="s">
        <v>97</v>
      </c>
      <c r="X171" s="96" t="s">
        <v>147</v>
      </c>
      <c r="Y171" s="96" t="s">
        <v>110</v>
      </c>
      <c r="Z171" s="96" t="s">
        <v>110</v>
      </c>
      <c r="AA171" s="96" t="s">
        <v>238</v>
      </c>
      <c r="AB171" s="96" t="s">
        <v>239</v>
      </c>
      <c r="AC171" s="96" t="s">
        <v>240</v>
      </c>
      <c r="AD171" s="96" t="s">
        <v>241</v>
      </c>
      <c r="AE171" s="96" t="s">
        <v>242</v>
      </c>
      <c r="AF171" s="96" t="s">
        <v>243</v>
      </c>
      <c r="AG171" s="96" t="s">
        <v>110</v>
      </c>
      <c r="AH171" s="96">
        <v>1606</v>
      </c>
      <c r="AI171" s="96" t="s">
        <v>244</v>
      </c>
      <c r="AJ171" s="96" t="s">
        <v>245</v>
      </c>
      <c r="AK171" s="58" t="s">
        <v>110</v>
      </c>
    </row>
    <row r="172" spans="1:37">
      <c r="A172" s="70">
        <v>167</v>
      </c>
      <c r="B172" s="70">
        <f t="shared" si="6"/>
        <v>0</v>
      </c>
      <c r="C172" s="71"/>
      <c r="D172" s="59" t="s">
        <v>92</v>
      </c>
      <c r="E172" s="60">
        <v>13712</v>
      </c>
      <c r="F172" s="10" t="s">
        <v>600</v>
      </c>
      <c r="G172" s="60">
        <v>603</v>
      </c>
      <c r="H172" s="81">
        <v>193</v>
      </c>
      <c r="I172" s="86">
        <v>155</v>
      </c>
      <c r="J172" s="81">
        <v>193</v>
      </c>
      <c r="K172" s="86">
        <v>155</v>
      </c>
      <c r="L172" s="81">
        <v>317</v>
      </c>
      <c r="M172" s="86">
        <v>342</v>
      </c>
      <c r="N172" s="81">
        <v>147404</v>
      </c>
      <c r="O172" s="86">
        <v>136089</v>
      </c>
      <c r="P172" s="89">
        <f t="shared" si="7"/>
        <v>329.5</v>
      </c>
      <c r="Q172" s="89">
        <f t="shared" si="8"/>
        <v>141746.5</v>
      </c>
      <c r="R172" s="96" t="s">
        <v>94</v>
      </c>
      <c r="S172" s="96" t="s">
        <v>320</v>
      </c>
      <c r="T172" s="96" t="s">
        <v>94</v>
      </c>
      <c r="U172" s="96" t="s">
        <v>136</v>
      </c>
      <c r="V172" s="96" t="s">
        <v>94</v>
      </c>
      <c r="W172" s="96" t="s">
        <v>97</v>
      </c>
      <c r="X172" s="96" t="s">
        <v>147</v>
      </c>
      <c r="Y172" s="96" t="s">
        <v>110</v>
      </c>
      <c r="Z172" s="96" t="s">
        <v>110</v>
      </c>
      <c r="AA172" s="96" t="s">
        <v>601</v>
      </c>
      <c r="AB172" s="96" t="s">
        <v>602</v>
      </c>
      <c r="AC172" s="96" t="s">
        <v>603</v>
      </c>
      <c r="AD172" s="96" t="s">
        <v>604</v>
      </c>
      <c r="AE172" s="96" t="s">
        <v>605</v>
      </c>
      <c r="AF172" s="96" t="s">
        <v>606</v>
      </c>
      <c r="AG172" s="96" t="s">
        <v>110</v>
      </c>
      <c r="AH172" s="96">
        <v>2152</v>
      </c>
      <c r="AI172" s="96" t="s">
        <v>607</v>
      </c>
      <c r="AJ172" s="96" t="s">
        <v>608</v>
      </c>
      <c r="AK172" s="58" t="s">
        <v>110</v>
      </c>
    </row>
    <row r="173" spans="1:37">
      <c r="A173" s="70">
        <v>168</v>
      </c>
      <c r="B173" s="70">
        <f t="shared" si="6"/>
        <v>0</v>
      </c>
      <c r="C173" s="71"/>
      <c r="D173" s="59" t="s">
        <v>92</v>
      </c>
      <c r="E173" s="60">
        <v>14510</v>
      </c>
      <c r="F173" s="10" t="s">
        <v>609</v>
      </c>
      <c r="G173" s="60">
        <v>602</v>
      </c>
      <c r="H173" s="81">
        <v>230</v>
      </c>
      <c r="I173" s="86" t="s">
        <v>110</v>
      </c>
      <c r="J173" s="81">
        <v>230</v>
      </c>
      <c r="K173" s="86" t="s">
        <v>110</v>
      </c>
      <c r="L173" s="81">
        <v>318</v>
      </c>
      <c r="M173" s="86" t="s">
        <v>110</v>
      </c>
      <c r="N173" s="81">
        <v>143164</v>
      </c>
      <c r="O173" s="86" t="s">
        <v>110</v>
      </c>
      <c r="P173" s="89">
        <f t="shared" si="7"/>
        <v>318</v>
      </c>
      <c r="Q173" s="89">
        <f t="shared" si="8"/>
        <v>143164</v>
      </c>
      <c r="R173" s="96" t="s">
        <v>94</v>
      </c>
      <c r="S173" s="96" t="s">
        <v>329</v>
      </c>
      <c r="T173" s="96" t="s">
        <v>94</v>
      </c>
      <c r="U173" s="96" t="s">
        <v>136</v>
      </c>
      <c r="V173" s="96" t="s">
        <v>94</v>
      </c>
      <c r="W173" s="96" t="s">
        <v>97</v>
      </c>
      <c r="X173" s="96" t="s">
        <v>290</v>
      </c>
      <c r="Y173" s="96" t="s">
        <v>110</v>
      </c>
      <c r="Z173" s="96" t="s">
        <v>110</v>
      </c>
      <c r="AA173" s="96" t="s">
        <v>610</v>
      </c>
      <c r="AB173" s="96" t="s">
        <v>110</v>
      </c>
      <c r="AC173" s="96" t="s">
        <v>611</v>
      </c>
      <c r="AD173" s="96" t="s">
        <v>612</v>
      </c>
      <c r="AE173" s="96" t="s">
        <v>613</v>
      </c>
      <c r="AF173" s="96" t="s">
        <v>614</v>
      </c>
      <c r="AG173" s="96" t="s">
        <v>615</v>
      </c>
      <c r="AH173" s="96">
        <v>2357</v>
      </c>
      <c r="AI173" s="96" t="s">
        <v>616</v>
      </c>
      <c r="AJ173" s="96" t="s">
        <v>617</v>
      </c>
      <c r="AK173" s="58" t="s">
        <v>110</v>
      </c>
    </row>
    <row r="174" spans="1:37">
      <c r="A174" s="70">
        <v>169</v>
      </c>
      <c r="B174" s="70">
        <f t="shared" si="6"/>
        <v>0</v>
      </c>
      <c r="C174" s="71"/>
      <c r="D174" s="59" t="s">
        <v>92</v>
      </c>
      <c r="E174" s="60">
        <v>13712</v>
      </c>
      <c r="F174" s="10" t="s">
        <v>600</v>
      </c>
      <c r="G174" s="60">
        <v>604</v>
      </c>
      <c r="H174" s="81">
        <v>245</v>
      </c>
      <c r="I174" s="86">
        <v>165</v>
      </c>
      <c r="J174" s="81">
        <v>245</v>
      </c>
      <c r="K174" s="86">
        <v>165</v>
      </c>
      <c r="L174" s="81">
        <v>313</v>
      </c>
      <c r="M174" s="86">
        <v>344</v>
      </c>
      <c r="N174" s="81">
        <v>155747</v>
      </c>
      <c r="O174" s="86">
        <v>131308</v>
      </c>
      <c r="P174" s="89">
        <f t="shared" si="7"/>
        <v>328.5</v>
      </c>
      <c r="Q174" s="89">
        <f t="shared" si="8"/>
        <v>143527.5</v>
      </c>
      <c r="R174" s="96" t="s">
        <v>94</v>
      </c>
      <c r="S174" s="96" t="s">
        <v>320</v>
      </c>
      <c r="T174" s="96" t="s">
        <v>94</v>
      </c>
      <c r="U174" s="96" t="s">
        <v>136</v>
      </c>
      <c r="V174" s="96" t="s">
        <v>94</v>
      </c>
      <c r="W174" s="96" t="s">
        <v>97</v>
      </c>
      <c r="X174" s="96" t="s">
        <v>147</v>
      </c>
      <c r="Y174" s="96" t="s">
        <v>110</v>
      </c>
      <c r="Z174" s="96" t="s">
        <v>110</v>
      </c>
      <c r="AA174" s="96" t="s">
        <v>601</v>
      </c>
      <c r="AB174" s="96" t="s">
        <v>602</v>
      </c>
      <c r="AC174" s="96" t="s">
        <v>603</v>
      </c>
      <c r="AD174" s="96" t="s">
        <v>604</v>
      </c>
      <c r="AE174" s="96" t="s">
        <v>605</v>
      </c>
      <c r="AF174" s="96" t="s">
        <v>606</v>
      </c>
      <c r="AG174" s="96" t="s">
        <v>110</v>
      </c>
      <c r="AH174" s="96">
        <v>2152</v>
      </c>
      <c r="AI174" s="96" t="s">
        <v>607</v>
      </c>
      <c r="AJ174" s="96" t="s">
        <v>608</v>
      </c>
      <c r="AK174" s="58" t="s">
        <v>110</v>
      </c>
    </row>
    <row r="175" spans="1:37">
      <c r="A175" s="70">
        <v>170</v>
      </c>
      <c r="B175" s="70">
        <f t="shared" si="6"/>
        <v>0</v>
      </c>
      <c r="C175" s="71"/>
      <c r="D175" s="59" t="s">
        <v>92</v>
      </c>
      <c r="E175" s="60">
        <v>11114</v>
      </c>
      <c r="F175" s="10" t="s">
        <v>618</v>
      </c>
      <c r="G175" s="60">
        <v>601</v>
      </c>
      <c r="H175" s="81">
        <v>1630</v>
      </c>
      <c r="I175" s="86">
        <v>1299</v>
      </c>
      <c r="J175" s="81">
        <v>1630</v>
      </c>
      <c r="K175" s="86">
        <v>1299</v>
      </c>
      <c r="L175" s="81">
        <v>294</v>
      </c>
      <c r="M175" s="86">
        <v>362</v>
      </c>
      <c r="N175" s="81">
        <v>198029</v>
      </c>
      <c r="O175" s="86">
        <v>89491</v>
      </c>
      <c r="P175" s="89">
        <f t="shared" si="7"/>
        <v>328</v>
      </c>
      <c r="Q175" s="89">
        <f t="shared" si="8"/>
        <v>143760</v>
      </c>
      <c r="R175" s="96" t="s">
        <v>94</v>
      </c>
      <c r="S175" s="96" t="s">
        <v>124</v>
      </c>
      <c r="T175" s="96" t="s">
        <v>94</v>
      </c>
      <c r="U175" s="96" t="s">
        <v>136</v>
      </c>
      <c r="V175" s="96" t="s">
        <v>94</v>
      </c>
      <c r="W175" s="96" t="s">
        <v>97</v>
      </c>
      <c r="X175" s="96" t="s">
        <v>98</v>
      </c>
      <c r="Y175" s="96" t="s">
        <v>382</v>
      </c>
      <c r="Z175" s="96" t="s">
        <v>110</v>
      </c>
      <c r="AA175" s="96" t="s">
        <v>619</v>
      </c>
      <c r="AB175" s="96" t="s">
        <v>110</v>
      </c>
      <c r="AC175" s="96" t="s">
        <v>620</v>
      </c>
      <c r="AD175" s="96" t="s">
        <v>621</v>
      </c>
      <c r="AE175" s="96" t="s">
        <v>622</v>
      </c>
      <c r="AF175" s="96" t="s">
        <v>623</v>
      </c>
      <c r="AG175" s="96" t="s">
        <v>110</v>
      </c>
      <c r="AH175" s="96">
        <v>1978</v>
      </c>
      <c r="AI175" s="96" t="s">
        <v>624</v>
      </c>
      <c r="AJ175" s="96" t="s">
        <v>625</v>
      </c>
      <c r="AK175" s="58" t="s">
        <v>110</v>
      </c>
    </row>
    <row r="176" spans="1:37">
      <c r="A176" s="70">
        <v>171</v>
      </c>
      <c r="B176" s="70">
        <f t="shared" si="6"/>
        <v>0</v>
      </c>
      <c r="C176" s="71"/>
      <c r="D176" s="59" t="s">
        <v>92</v>
      </c>
      <c r="E176" s="60">
        <v>12958</v>
      </c>
      <c r="F176" s="10" t="s">
        <v>498</v>
      </c>
      <c r="G176" s="60">
        <v>606</v>
      </c>
      <c r="H176" s="81">
        <v>120</v>
      </c>
      <c r="I176" s="86">
        <v>181</v>
      </c>
      <c r="J176" s="81">
        <v>120</v>
      </c>
      <c r="K176" s="86">
        <v>181</v>
      </c>
      <c r="L176" s="81">
        <v>300</v>
      </c>
      <c r="M176" s="86">
        <v>356</v>
      </c>
      <c r="N176" s="81">
        <v>184277</v>
      </c>
      <c r="O176" s="86">
        <v>103643</v>
      </c>
      <c r="P176" s="89">
        <f t="shared" si="7"/>
        <v>328</v>
      </c>
      <c r="Q176" s="89">
        <f t="shared" si="8"/>
        <v>143960</v>
      </c>
      <c r="R176" s="96" t="s">
        <v>94</v>
      </c>
      <c r="S176" s="96" t="s">
        <v>499</v>
      </c>
      <c r="T176" s="96" t="s">
        <v>94</v>
      </c>
      <c r="U176" s="96" t="s">
        <v>136</v>
      </c>
      <c r="V176" s="96" t="s">
        <v>94</v>
      </c>
      <c r="W176" s="96" t="s">
        <v>97</v>
      </c>
      <c r="X176" s="96" t="s">
        <v>500</v>
      </c>
      <c r="Y176" s="96" t="s">
        <v>225</v>
      </c>
      <c r="Z176" s="96" t="s">
        <v>226</v>
      </c>
      <c r="AA176" s="96" t="s">
        <v>501</v>
      </c>
      <c r="AB176" s="96" t="s">
        <v>502</v>
      </c>
      <c r="AC176" s="96" t="s">
        <v>503</v>
      </c>
      <c r="AD176" s="96" t="s">
        <v>504</v>
      </c>
      <c r="AE176" s="96" t="s">
        <v>505</v>
      </c>
      <c r="AF176" s="96" t="s">
        <v>506</v>
      </c>
      <c r="AG176" s="96" t="s">
        <v>507</v>
      </c>
      <c r="AH176" s="96">
        <v>1527</v>
      </c>
      <c r="AI176" s="96" t="s">
        <v>508</v>
      </c>
      <c r="AJ176" s="96" t="s">
        <v>509</v>
      </c>
      <c r="AK176" s="58" t="s">
        <v>110</v>
      </c>
    </row>
    <row r="177" spans="1:37">
      <c r="A177" s="70">
        <v>172</v>
      </c>
      <c r="B177" s="70">
        <f t="shared" si="6"/>
        <v>0</v>
      </c>
      <c r="C177" s="71"/>
      <c r="D177" s="59" t="s">
        <v>92</v>
      </c>
      <c r="E177" s="60">
        <v>12772</v>
      </c>
      <c r="F177" s="10" t="s">
        <v>561</v>
      </c>
      <c r="G177" s="60">
        <v>610</v>
      </c>
      <c r="H177" s="81">
        <v>200</v>
      </c>
      <c r="I177" s="86">
        <v>360</v>
      </c>
      <c r="J177" s="81">
        <v>200</v>
      </c>
      <c r="K177" s="86">
        <v>360</v>
      </c>
      <c r="L177" s="81">
        <v>309</v>
      </c>
      <c r="M177" s="86">
        <v>347</v>
      </c>
      <c r="N177" s="81">
        <v>164316</v>
      </c>
      <c r="O177" s="86">
        <v>125115</v>
      </c>
      <c r="P177" s="89">
        <f t="shared" si="7"/>
        <v>328</v>
      </c>
      <c r="Q177" s="89">
        <f t="shared" si="8"/>
        <v>144715.5</v>
      </c>
      <c r="R177" s="96" t="s">
        <v>94</v>
      </c>
      <c r="S177" s="96" t="s">
        <v>562</v>
      </c>
      <c r="T177" s="96" t="s">
        <v>94</v>
      </c>
      <c r="U177" s="96" t="s">
        <v>136</v>
      </c>
      <c r="V177" s="96" t="s">
        <v>94</v>
      </c>
      <c r="W177" s="96" t="s">
        <v>97</v>
      </c>
      <c r="X177" s="96" t="s">
        <v>500</v>
      </c>
      <c r="Y177" s="96" t="s">
        <v>225</v>
      </c>
      <c r="Z177" s="96" t="s">
        <v>226</v>
      </c>
      <c r="AA177" s="96" t="s">
        <v>563</v>
      </c>
      <c r="AB177" s="96" t="s">
        <v>564</v>
      </c>
      <c r="AC177" s="96" t="s">
        <v>565</v>
      </c>
      <c r="AD177" s="96" t="s">
        <v>566</v>
      </c>
      <c r="AE177" s="96" t="s">
        <v>567</v>
      </c>
      <c r="AF177" s="96" t="s">
        <v>568</v>
      </c>
      <c r="AG177" s="96" t="s">
        <v>569</v>
      </c>
      <c r="AH177" s="96">
        <v>1839</v>
      </c>
      <c r="AI177" s="96" t="s">
        <v>570</v>
      </c>
      <c r="AJ177" s="96" t="s">
        <v>571</v>
      </c>
      <c r="AK177" s="58" t="s">
        <v>110</v>
      </c>
    </row>
    <row r="178" spans="1:37">
      <c r="A178" s="70">
        <v>173</v>
      </c>
      <c r="B178" s="70">
        <f t="shared" si="6"/>
        <v>0</v>
      </c>
      <c r="C178" s="71"/>
      <c r="D178" s="59" t="s">
        <v>92</v>
      </c>
      <c r="E178" s="60">
        <v>13919</v>
      </c>
      <c r="F178" s="10" t="s">
        <v>348</v>
      </c>
      <c r="G178" s="60">
        <v>606</v>
      </c>
      <c r="H178" s="81">
        <v>400</v>
      </c>
      <c r="I178" s="86">
        <v>300</v>
      </c>
      <c r="J178" s="81">
        <v>400</v>
      </c>
      <c r="K178" s="86">
        <v>300</v>
      </c>
      <c r="L178" s="81">
        <v>306</v>
      </c>
      <c r="M178" s="86">
        <v>350</v>
      </c>
      <c r="N178" s="81">
        <v>171563</v>
      </c>
      <c r="O178" s="86">
        <v>117902</v>
      </c>
      <c r="P178" s="89">
        <f t="shared" si="7"/>
        <v>328</v>
      </c>
      <c r="Q178" s="89">
        <f t="shared" si="8"/>
        <v>144732.5</v>
      </c>
      <c r="R178" s="96" t="s">
        <v>94</v>
      </c>
      <c r="S178" s="96" t="s">
        <v>124</v>
      </c>
      <c r="T178" s="96" t="s">
        <v>94</v>
      </c>
      <c r="U178" s="96" t="s">
        <v>136</v>
      </c>
      <c r="V178" s="96" t="s">
        <v>94</v>
      </c>
      <c r="W178" s="96" t="s">
        <v>97</v>
      </c>
      <c r="X178" s="96" t="s">
        <v>98</v>
      </c>
      <c r="Y178" s="96" t="s">
        <v>349</v>
      </c>
      <c r="Z178" s="96" t="s">
        <v>226</v>
      </c>
      <c r="AA178" s="96" t="s">
        <v>350</v>
      </c>
      <c r="AB178" s="96" t="s">
        <v>351</v>
      </c>
      <c r="AC178" s="96" t="s">
        <v>352</v>
      </c>
      <c r="AD178" s="96" t="s">
        <v>353</v>
      </c>
      <c r="AE178" s="96" t="s">
        <v>354</v>
      </c>
      <c r="AF178" s="96" t="s">
        <v>355</v>
      </c>
      <c r="AG178" s="96" t="s">
        <v>356</v>
      </c>
      <c r="AH178" s="96">
        <v>1626</v>
      </c>
      <c r="AI178" s="96" t="s">
        <v>357</v>
      </c>
      <c r="AJ178" s="96" t="s">
        <v>358</v>
      </c>
      <c r="AK178" s="58" t="s">
        <v>110</v>
      </c>
    </row>
    <row r="179" spans="1:37">
      <c r="A179" s="70">
        <v>174</v>
      </c>
      <c r="B179" s="70">
        <f t="shared" si="6"/>
        <v>0</v>
      </c>
      <c r="C179" s="71"/>
      <c r="D179" s="59" t="s">
        <v>92</v>
      </c>
      <c r="E179" s="60">
        <v>14667</v>
      </c>
      <c r="F179" s="10" t="s">
        <v>626</v>
      </c>
      <c r="G179" s="60">
        <v>602</v>
      </c>
      <c r="H179" s="81">
        <v>553</v>
      </c>
      <c r="I179" s="86">
        <v>801</v>
      </c>
      <c r="J179" s="81">
        <v>553</v>
      </c>
      <c r="K179" s="86">
        <v>801</v>
      </c>
      <c r="L179" s="81">
        <v>316</v>
      </c>
      <c r="M179" s="86">
        <v>340</v>
      </c>
      <c r="N179" s="81">
        <v>148704</v>
      </c>
      <c r="O179" s="86">
        <v>141321</v>
      </c>
      <c r="P179" s="89">
        <f t="shared" si="7"/>
        <v>328</v>
      </c>
      <c r="Q179" s="89">
        <f t="shared" si="8"/>
        <v>145012.5</v>
      </c>
      <c r="R179" s="96" t="s">
        <v>94</v>
      </c>
      <c r="S179" s="96" t="s">
        <v>499</v>
      </c>
      <c r="T179" s="96" t="s">
        <v>94</v>
      </c>
      <c r="U179" s="96" t="s">
        <v>136</v>
      </c>
      <c r="V179" s="96" t="s">
        <v>94</v>
      </c>
      <c r="W179" s="96" t="s">
        <v>97</v>
      </c>
      <c r="X179" s="96" t="s">
        <v>500</v>
      </c>
      <c r="Y179" s="96" t="s">
        <v>382</v>
      </c>
      <c r="Z179" s="96" t="s">
        <v>110</v>
      </c>
      <c r="AA179" s="96" t="s">
        <v>627</v>
      </c>
      <c r="AB179" s="96" t="s">
        <v>110</v>
      </c>
      <c r="AC179" s="96" t="s">
        <v>628</v>
      </c>
      <c r="AD179" s="96" t="s">
        <v>629</v>
      </c>
      <c r="AE179" s="96" t="s">
        <v>630</v>
      </c>
      <c r="AF179" s="96" t="s">
        <v>631</v>
      </c>
      <c r="AG179" s="96" t="s">
        <v>110</v>
      </c>
      <c r="AH179" s="96">
        <v>1912</v>
      </c>
      <c r="AI179" s="96" t="s">
        <v>632</v>
      </c>
      <c r="AJ179" s="96" t="s">
        <v>633</v>
      </c>
      <c r="AK179" s="58" t="s">
        <v>110</v>
      </c>
    </row>
    <row r="180" spans="1:37">
      <c r="A180" s="70">
        <v>175</v>
      </c>
      <c r="B180" s="70">
        <f t="shared" si="6"/>
        <v>0</v>
      </c>
      <c r="C180" s="71"/>
      <c r="D180" s="59" t="s">
        <v>92</v>
      </c>
      <c r="E180" s="60">
        <v>14667</v>
      </c>
      <c r="F180" s="10" t="s">
        <v>626</v>
      </c>
      <c r="G180" s="60">
        <v>606</v>
      </c>
      <c r="H180" s="81">
        <v>282</v>
      </c>
      <c r="I180" s="86">
        <v>355</v>
      </c>
      <c r="J180" s="81">
        <v>282</v>
      </c>
      <c r="K180" s="86">
        <v>355</v>
      </c>
      <c r="L180" s="81">
        <v>315</v>
      </c>
      <c r="M180" s="86">
        <v>338</v>
      </c>
      <c r="N180" s="81">
        <v>150821</v>
      </c>
      <c r="O180" s="86">
        <v>145847</v>
      </c>
      <c r="P180" s="89">
        <f t="shared" si="7"/>
        <v>326.5</v>
      </c>
      <c r="Q180" s="89">
        <f t="shared" si="8"/>
        <v>148334</v>
      </c>
      <c r="R180" s="96" t="s">
        <v>94</v>
      </c>
      <c r="S180" s="96" t="s">
        <v>499</v>
      </c>
      <c r="T180" s="96" t="s">
        <v>94</v>
      </c>
      <c r="U180" s="96" t="s">
        <v>136</v>
      </c>
      <c r="V180" s="96" t="s">
        <v>94</v>
      </c>
      <c r="W180" s="96" t="s">
        <v>97</v>
      </c>
      <c r="X180" s="96" t="s">
        <v>500</v>
      </c>
      <c r="Y180" s="96" t="s">
        <v>382</v>
      </c>
      <c r="Z180" s="96" t="s">
        <v>110</v>
      </c>
      <c r="AA180" s="96" t="s">
        <v>627</v>
      </c>
      <c r="AB180" s="96" t="s">
        <v>110</v>
      </c>
      <c r="AC180" s="96" t="s">
        <v>628</v>
      </c>
      <c r="AD180" s="96" t="s">
        <v>629</v>
      </c>
      <c r="AE180" s="96" t="s">
        <v>630</v>
      </c>
      <c r="AF180" s="96" t="s">
        <v>631</v>
      </c>
      <c r="AG180" s="96" t="s">
        <v>110</v>
      </c>
      <c r="AH180" s="96">
        <v>1912</v>
      </c>
      <c r="AI180" s="96" t="s">
        <v>632</v>
      </c>
      <c r="AJ180" s="96" t="s">
        <v>633</v>
      </c>
      <c r="AK180" s="58" t="s">
        <v>110</v>
      </c>
    </row>
    <row r="181" spans="1:37">
      <c r="A181" s="70">
        <v>176</v>
      </c>
      <c r="B181" s="70">
        <f t="shared" si="6"/>
        <v>0</v>
      </c>
      <c r="C181" s="71"/>
      <c r="D181" s="59" t="s">
        <v>92</v>
      </c>
      <c r="E181" s="60">
        <v>14509</v>
      </c>
      <c r="F181" s="10" t="s">
        <v>490</v>
      </c>
      <c r="G181" s="60">
        <v>601</v>
      </c>
      <c r="H181" s="81">
        <v>1184</v>
      </c>
      <c r="I181" s="86">
        <v>1530</v>
      </c>
      <c r="J181" s="81">
        <v>1184</v>
      </c>
      <c r="K181" s="86">
        <v>1532</v>
      </c>
      <c r="L181" s="81">
        <v>314</v>
      </c>
      <c r="M181" s="86">
        <v>338</v>
      </c>
      <c r="N181" s="81">
        <v>152487</v>
      </c>
      <c r="O181" s="86">
        <v>145017</v>
      </c>
      <c r="P181" s="89">
        <f t="shared" si="7"/>
        <v>326</v>
      </c>
      <c r="Q181" s="89">
        <f t="shared" si="8"/>
        <v>148752</v>
      </c>
      <c r="R181" s="96" t="s">
        <v>94</v>
      </c>
      <c r="S181" s="96" t="s">
        <v>124</v>
      </c>
      <c r="T181" s="96" t="s">
        <v>94</v>
      </c>
      <c r="U181" s="96" t="s">
        <v>136</v>
      </c>
      <c r="V181" s="96" t="s">
        <v>94</v>
      </c>
      <c r="W181" s="96" t="s">
        <v>97</v>
      </c>
      <c r="X181" s="96" t="s">
        <v>98</v>
      </c>
      <c r="Y181" s="96" t="s">
        <v>110</v>
      </c>
      <c r="Z181" s="96" t="s">
        <v>148</v>
      </c>
      <c r="AA181" s="96" t="s">
        <v>491</v>
      </c>
      <c r="AB181" s="96" t="s">
        <v>110</v>
      </c>
      <c r="AC181" s="96" t="s">
        <v>492</v>
      </c>
      <c r="AD181" s="96" t="s">
        <v>493</v>
      </c>
      <c r="AE181" s="96" t="s">
        <v>494</v>
      </c>
      <c r="AF181" s="96" t="s">
        <v>495</v>
      </c>
      <c r="AG181" s="96" t="s">
        <v>110</v>
      </c>
      <c r="AH181" s="96">
        <v>1977</v>
      </c>
      <c r="AI181" s="96" t="s">
        <v>496</v>
      </c>
      <c r="AJ181" s="96" t="s">
        <v>497</v>
      </c>
      <c r="AK181" s="58" t="s">
        <v>110</v>
      </c>
    </row>
    <row r="182" spans="1:37">
      <c r="A182" s="70">
        <v>177</v>
      </c>
      <c r="B182" s="70">
        <f t="shared" si="6"/>
        <v>0</v>
      </c>
      <c r="C182" s="71"/>
      <c r="D182" s="59" t="s">
        <v>92</v>
      </c>
      <c r="E182" s="60">
        <v>14509</v>
      </c>
      <c r="F182" s="10" t="s">
        <v>490</v>
      </c>
      <c r="G182" s="60">
        <v>604</v>
      </c>
      <c r="H182" s="81">
        <v>330</v>
      </c>
      <c r="I182" s="86">
        <v>479</v>
      </c>
      <c r="J182" s="81">
        <v>330</v>
      </c>
      <c r="K182" s="86">
        <v>479</v>
      </c>
      <c r="L182" s="81">
        <v>307</v>
      </c>
      <c r="M182" s="86">
        <v>345</v>
      </c>
      <c r="N182" s="81">
        <v>168559</v>
      </c>
      <c r="O182" s="86">
        <v>129251</v>
      </c>
      <c r="P182" s="89">
        <f t="shared" si="7"/>
        <v>326</v>
      </c>
      <c r="Q182" s="89">
        <f t="shared" si="8"/>
        <v>148905</v>
      </c>
      <c r="R182" s="96" t="s">
        <v>94</v>
      </c>
      <c r="S182" s="96" t="s">
        <v>124</v>
      </c>
      <c r="T182" s="96" t="s">
        <v>94</v>
      </c>
      <c r="U182" s="96" t="s">
        <v>136</v>
      </c>
      <c r="V182" s="96" t="s">
        <v>94</v>
      </c>
      <c r="W182" s="96" t="s">
        <v>97</v>
      </c>
      <c r="X182" s="96" t="s">
        <v>98</v>
      </c>
      <c r="Y182" s="96" t="s">
        <v>110</v>
      </c>
      <c r="Z182" s="96" t="s">
        <v>148</v>
      </c>
      <c r="AA182" s="96" t="s">
        <v>491</v>
      </c>
      <c r="AB182" s="96" t="s">
        <v>110</v>
      </c>
      <c r="AC182" s="96" t="s">
        <v>492</v>
      </c>
      <c r="AD182" s="96" t="s">
        <v>493</v>
      </c>
      <c r="AE182" s="96" t="s">
        <v>494</v>
      </c>
      <c r="AF182" s="96" t="s">
        <v>495</v>
      </c>
      <c r="AG182" s="96" t="s">
        <v>110</v>
      </c>
      <c r="AH182" s="96">
        <v>1977</v>
      </c>
      <c r="AI182" s="96" t="s">
        <v>496</v>
      </c>
      <c r="AJ182" s="96" t="s">
        <v>497</v>
      </c>
      <c r="AK182" s="58" t="s">
        <v>110</v>
      </c>
    </row>
    <row r="183" spans="1:37">
      <c r="A183" s="70">
        <v>178</v>
      </c>
      <c r="B183" s="70">
        <f t="shared" si="6"/>
        <v>0</v>
      </c>
      <c r="C183" s="71"/>
      <c r="D183" s="59" t="s">
        <v>92</v>
      </c>
      <c r="E183" s="60">
        <v>12578</v>
      </c>
      <c r="F183" s="10" t="s">
        <v>634</v>
      </c>
      <c r="G183" s="60">
        <v>601</v>
      </c>
      <c r="H183" s="81">
        <v>68</v>
      </c>
      <c r="I183" s="86">
        <v>113</v>
      </c>
      <c r="J183" s="81">
        <v>68</v>
      </c>
      <c r="K183" s="86">
        <v>113</v>
      </c>
      <c r="L183" s="81">
        <v>311</v>
      </c>
      <c r="M183" s="86">
        <v>341</v>
      </c>
      <c r="N183" s="81">
        <v>160403</v>
      </c>
      <c r="O183" s="86">
        <v>138752</v>
      </c>
      <c r="P183" s="89">
        <f t="shared" si="7"/>
        <v>326</v>
      </c>
      <c r="Q183" s="89">
        <f t="shared" si="8"/>
        <v>149577.5</v>
      </c>
      <c r="R183" s="96" t="s">
        <v>94</v>
      </c>
      <c r="S183" s="96" t="s">
        <v>124</v>
      </c>
      <c r="T183" s="96" t="s">
        <v>94</v>
      </c>
      <c r="U183" s="96" t="s">
        <v>136</v>
      </c>
      <c r="V183" s="96" t="s">
        <v>94</v>
      </c>
      <c r="W183" s="96" t="s">
        <v>97</v>
      </c>
      <c r="X183" s="96" t="s">
        <v>98</v>
      </c>
      <c r="Y183" s="96" t="s">
        <v>110</v>
      </c>
      <c r="Z183" s="96" t="s">
        <v>148</v>
      </c>
      <c r="AA183" s="96" t="s">
        <v>635</v>
      </c>
      <c r="AB183" s="96" t="s">
        <v>636</v>
      </c>
      <c r="AC183" s="96" t="s">
        <v>637</v>
      </c>
      <c r="AD183" s="96" t="s">
        <v>638</v>
      </c>
      <c r="AE183" s="96" t="s">
        <v>639</v>
      </c>
      <c r="AF183" s="96" t="s">
        <v>640</v>
      </c>
      <c r="AG183" s="96" t="s">
        <v>641</v>
      </c>
      <c r="AH183" s="96">
        <v>2030</v>
      </c>
      <c r="AI183" s="96" t="s">
        <v>642</v>
      </c>
      <c r="AJ183" s="96" t="s">
        <v>643</v>
      </c>
      <c r="AK183" s="58" t="s">
        <v>110</v>
      </c>
    </row>
    <row r="184" spans="1:37">
      <c r="A184" s="70">
        <v>179</v>
      </c>
      <c r="B184" s="70">
        <f t="shared" si="6"/>
        <v>0</v>
      </c>
      <c r="C184" s="71"/>
      <c r="D184" s="59" t="s">
        <v>92</v>
      </c>
      <c r="E184" s="60">
        <v>14667</v>
      </c>
      <c r="F184" s="10" t="s">
        <v>626</v>
      </c>
      <c r="G184" s="60">
        <v>601</v>
      </c>
      <c r="H184" s="81">
        <v>1175</v>
      </c>
      <c r="I184" s="86">
        <v>1027</v>
      </c>
      <c r="J184" s="81">
        <v>1175</v>
      </c>
      <c r="K184" s="86">
        <v>1027</v>
      </c>
      <c r="L184" s="81">
        <v>310</v>
      </c>
      <c r="M184" s="86">
        <v>342</v>
      </c>
      <c r="N184" s="81">
        <v>162362</v>
      </c>
      <c r="O184" s="86">
        <v>137448</v>
      </c>
      <c r="P184" s="89">
        <f t="shared" si="7"/>
        <v>326</v>
      </c>
      <c r="Q184" s="89">
        <f t="shared" si="8"/>
        <v>149905</v>
      </c>
      <c r="R184" s="96" t="s">
        <v>94</v>
      </c>
      <c r="S184" s="96" t="s">
        <v>499</v>
      </c>
      <c r="T184" s="96" t="s">
        <v>94</v>
      </c>
      <c r="U184" s="96" t="s">
        <v>136</v>
      </c>
      <c r="V184" s="96" t="s">
        <v>94</v>
      </c>
      <c r="W184" s="96" t="s">
        <v>97</v>
      </c>
      <c r="X184" s="96" t="s">
        <v>500</v>
      </c>
      <c r="Y184" s="96" t="s">
        <v>382</v>
      </c>
      <c r="Z184" s="96" t="s">
        <v>110</v>
      </c>
      <c r="AA184" s="96" t="s">
        <v>627</v>
      </c>
      <c r="AB184" s="96" t="s">
        <v>110</v>
      </c>
      <c r="AC184" s="96" t="s">
        <v>628</v>
      </c>
      <c r="AD184" s="96" t="s">
        <v>629</v>
      </c>
      <c r="AE184" s="96" t="s">
        <v>630</v>
      </c>
      <c r="AF184" s="96" t="s">
        <v>631</v>
      </c>
      <c r="AG184" s="96" t="s">
        <v>110</v>
      </c>
      <c r="AH184" s="96">
        <v>1912</v>
      </c>
      <c r="AI184" s="96" t="s">
        <v>632</v>
      </c>
      <c r="AJ184" s="96" t="s">
        <v>633</v>
      </c>
      <c r="AK184" s="58" t="s">
        <v>110</v>
      </c>
    </row>
    <row r="185" spans="1:37">
      <c r="A185" s="70">
        <v>180</v>
      </c>
      <c r="B185" s="70">
        <f t="shared" si="6"/>
        <v>0</v>
      </c>
      <c r="C185" s="71"/>
      <c r="D185" s="59" t="s">
        <v>92</v>
      </c>
      <c r="E185" s="60">
        <v>12765</v>
      </c>
      <c r="F185" s="10" t="s">
        <v>644</v>
      </c>
      <c r="G185" s="60">
        <v>601</v>
      </c>
      <c r="H185" s="81">
        <v>10</v>
      </c>
      <c r="I185" s="86">
        <v>348</v>
      </c>
      <c r="J185" s="81">
        <v>10</v>
      </c>
      <c r="K185" s="86">
        <v>348</v>
      </c>
      <c r="L185" s="81">
        <v>316</v>
      </c>
      <c r="M185" s="86">
        <v>335</v>
      </c>
      <c r="N185" s="81">
        <v>149526</v>
      </c>
      <c r="O185" s="86">
        <v>151183</v>
      </c>
      <c r="P185" s="89">
        <f t="shared" si="7"/>
        <v>325.5</v>
      </c>
      <c r="Q185" s="89">
        <f t="shared" si="8"/>
        <v>150354.5</v>
      </c>
      <c r="R185" s="96" t="s">
        <v>94</v>
      </c>
      <c r="S185" s="96" t="s">
        <v>645</v>
      </c>
      <c r="T185" s="96" t="s">
        <v>94</v>
      </c>
      <c r="U185" s="96" t="s">
        <v>136</v>
      </c>
      <c r="V185" s="96" t="s">
        <v>94</v>
      </c>
      <c r="W185" s="96" t="s">
        <v>97</v>
      </c>
      <c r="X185" s="96" t="s">
        <v>500</v>
      </c>
      <c r="Y185" s="96" t="s">
        <v>110</v>
      </c>
      <c r="Z185" s="96" t="s">
        <v>148</v>
      </c>
      <c r="AA185" s="96" t="s">
        <v>646</v>
      </c>
      <c r="AB185" s="96" t="s">
        <v>647</v>
      </c>
      <c r="AC185" s="96" t="s">
        <v>648</v>
      </c>
      <c r="AD185" s="96" t="s">
        <v>649</v>
      </c>
      <c r="AE185" s="96" t="s">
        <v>650</v>
      </c>
      <c r="AF185" s="96" t="s">
        <v>651</v>
      </c>
      <c r="AG185" s="96" t="s">
        <v>110</v>
      </c>
      <c r="AH185" s="96">
        <v>2220</v>
      </c>
      <c r="AI185" s="96" t="s">
        <v>652</v>
      </c>
      <c r="AJ185" s="96" t="s">
        <v>653</v>
      </c>
      <c r="AK185" s="58" t="s">
        <v>110</v>
      </c>
    </row>
    <row r="186" spans="1:37">
      <c r="A186" s="70">
        <v>181</v>
      </c>
      <c r="B186" s="70">
        <f t="shared" si="6"/>
        <v>0</v>
      </c>
      <c r="C186" s="71"/>
      <c r="D186" s="59" t="s">
        <v>92</v>
      </c>
      <c r="E186" s="60">
        <v>12958</v>
      </c>
      <c r="F186" s="10" t="s">
        <v>498</v>
      </c>
      <c r="G186" s="60">
        <v>604</v>
      </c>
      <c r="H186" s="81">
        <v>275</v>
      </c>
      <c r="I186" s="86">
        <v>285</v>
      </c>
      <c r="J186" s="81">
        <v>275</v>
      </c>
      <c r="K186" s="86">
        <v>285</v>
      </c>
      <c r="L186" s="81">
        <v>300</v>
      </c>
      <c r="M186" s="86">
        <v>351</v>
      </c>
      <c r="N186" s="81">
        <v>184854</v>
      </c>
      <c r="O186" s="86">
        <v>115933</v>
      </c>
      <c r="P186" s="89">
        <f t="shared" si="7"/>
        <v>325.5</v>
      </c>
      <c r="Q186" s="89">
        <f t="shared" si="8"/>
        <v>150393.5</v>
      </c>
      <c r="R186" s="96" t="s">
        <v>94</v>
      </c>
      <c r="S186" s="96" t="s">
        <v>499</v>
      </c>
      <c r="T186" s="96" t="s">
        <v>94</v>
      </c>
      <c r="U186" s="96" t="s">
        <v>136</v>
      </c>
      <c r="V186" s="96" t="s">
        <v>94</v>
      </c>
      <c r="W186" s="96" t="s">
        <v>97</v>
      </c>
      <c r="X186" s="96" t="s">
        <v>500</v>
      </c>
      <c r="Y186" s="96" t="s">
        <v>225</v>
      </c>
      <c r="Z186" s="96" t="s">
        <v>226</v>
      </c>
      <c r="AA186" s="96" t="s">
        <v>501</v>
      </c>
      <c r="AB186" s="96" t="s">
        <v>502</v>
      </c>
      <c r="AC186" s="96" t="s">
        <v>503</v>
      </c>
      <c r="AD186" s="96" t="s">
        <v>504</v>
      </c>
      <c r="AE186" s="96" t="s">
        <v>505</v>
      </c>
      <c r="AF186" s="96" t="s">
        <v>506</v>
      </c>
      <c r="AG186" s="96" t="s">
        <v>507</v>
      </c>
      <c r="AH186" s="96">
        <v>1527</v>
      </c>
      <c r="AI186" s="96" t="s">
        <v>508</v>
      </c>
      <c r="AJ186" s="96" t="s">
        <v>509</v>
      </c>
      <c r="AK186" s="58" t="s">
        <v>110</v>
      </c>
    </row>
    <row r="187" spans="1:37">
      <c r="A187" s="70">
        <v>182</v>
      </c>
      <c r="B187" s="70">
        <f t="shared" si="6"/>
        <v>0</v>
      </c>
      <c r="C187" s="71"/>
      <c r="D187" s="59" t="s">
        <v>92</v>
      </c>
      <c r="E187" s="60">
        <v>10862</v>
      </c>
      <c r="F187" s="10" t="s">
        <v>278</v>
      </c>
      <c r="G187" s="60">
        <v>612</v>
      </c>
      <c r="H187" s="81">
        <v>77</v>
      </c>
      <c r="I187" s="86" t="s">
        <v>110</v>
      </c>
      <c r="J187" s="81">
        <v>77</v>
      </c>
      <c r="K187" s="86" t="s">
        <v>110</v>
      </c>
      <c r="L187" s="81">
        <v>315</v>
      </c>
      <c r="M187" s="86" t="s">
        <v>110</v>
      </c>
      <c r="N187" s="81">
        <v>150816</v>
      </c>
      <c r="O187" s="86" t="s">
        <v>110</v>
      </c>
      <c r="P187" s="89">
        <f t="shared" si="7"/>
        <v>315</v>
      </c>
      <c r="Q187" s="89">
        <f t="shared" si="8"/>
        <v>150816</v>
      </c>
      <c r="R187" s="96" t="s">
        <v>94</v>
      </c>
      <c r="S187" s="96" t="s">
        <v>124</v>
      </c>
      <c r="T187" s="96" t="s">
        <v>94</v>
      </c>
      <c r="U187" s="96" t="s">
        <v>136</v>
      </c>
      <c r="V187" s="96" t="s">
        <v>94</v>
      </c>
      <c r="W187" s="96" t="s">
        <v>97</v>
      </c>
      <c r="X187" s="96" t="s">
        <v>98</v>
      </c>
      <c r="Y187" s="96" t="s">
        <v>192</v>
      </c>
      <c r="Z187" s="96" t="s">
        <v>193</v>
      </c>
      <c r="AA187" s="96" t="s">
        <v>279</v>
      </c>
      <c r="AB187" s="96" t="s">
        <v>280</v>
      </c>
      <c r="AC187" s="96" t="s">
        <v>281</v>
      </c>
      <c r="AD187" s="96" t="s">
        <v>282</v>
      </c>
      <c r="AE187" s="96" t="s">
        <v>283</v>
      </c>
      <c r="AF187" s="96" t="s">
        <v>284</v>
      </c>
      <c r="AG187" s="96" t="s">
        <v>285</v>
      </c>
      <c r="AH187" s="96">
        <v>1410</v>
      </c>
      <c r="AI187" s="96" t="s">
        <v>286</v>
      </c>
      <c r="AJ187" s="96" t="s">
        <v>287</v>
      </c>
      <c r="AK187" s="58" t="s">
        <v>110</v>
      </c>
    </row>
    <row r="188" spans="1:37">
      <c r="A188" s="70">
        <v>183</v>
      </c>
      <c r="B188" s="70">
        <f t="shared" si="6"/>
        <v>0</v>
      </c>
      <c r="C188" s="71"/>
      <c r="D188" s="59" t="s">
        <v>92</v>
      </c>
      <c r="E188" s="60">
        <v>13711</v>
      </c>
      <c r="F188" s="10" t="s">
        <v>236</v>
      </c>
      <c r="G188" s="60">
        <v>601</v>
      </c>
      <c r="H188" s="81">
        <v>352</v>
      </c>
      <c r="I188" s="86">
        <v>521</v>
      </c>
      <c r="J188" s="81">
        <v>352</v>
      </c>
      <c r="K188" s="86">
        <v>521</v>
      </c>
      <c r="L188" s="81">
        <v>304</v>
      </c>
      <c r="M188" s="86">
        <v>347</v>
      </c>
      <c r="N188" s="81">
        <v>176624</v>
      </c>
      <c r="O188" s="86">
        <v>125411</v>
      </c>
      <c r="P188" s="89">
        <f t="shared" si="7"/>
        <v>325.5</v>
      </c>
      <c r="Q188" s="89">
        <f t="shared" si="8"/>
        <v>151017.5</v>
      </c>
      <c r="R188" s="96" t="s">
        <v>94</v>
      </c>
      <c r="S188" s="96" t="s">
        <v>237</v>
      </c>
      <c r="T188" s="96" t="s">
        <v>94</v>
      </c>
      <c r="U188" s="96" t="s">
        <v>136</v>
      </c>
      <c r="V188" s="96" t="s">
        <v>94</v>
      </c>
      <c r="W188" s="96" t="s">
        <v>97</v>
      </c>
      <c r="X188" s="96" t="s">
        <v>147</v>
      </c>
      <c r="Y188" s="96" t="s">
        <v>110</v>
      </c>
      <c r="Z188" s="96" t="s">
        <v>110</v>
      </c>
      <c r="AA188" s="96" t="s">
        <v>238</v>
      </c>
      <c r="AB188" s="96" t="s">
        <v>239</v>
      </c>
      <c r="AC188" s="96" t="s">
        <v>240</v>
      </c>
      <c r="AD188" s="96" t="s">
        <v>241</v>
      </c>
      <c r="AE188" s="96" t="s">
        <v>242</v>
      </c>
      <c r="AF188" s="96" t="s">
        <v>243</v>
      </c>
      <c r="AG188" s="96" t="s">
        <v>110</v>
      </c>
      <c r="AH188" s="96">
        <v>1606</v>
      </c>
      <c r="AI188" s="96" t="s">
        <v>244</v>
      </c>
      <c r="AJ188" s="96" t="s">
        <v>245</v>
      </c>
      <c r="AK188" s="58" t="s">
        <v>110</v>
      </c>
    </row>
    <row r="189" spans="1:37">
      <c r="A189" s="70">
        <v>184</v>
      </c>
      <c r="B189" s="70">
        <f t="shared" si="6"/>
        <v>0</v>
      </c>
      <c r="C189" s="71"/>
      <c r="D189" s="59" t="s">
        <v>92</v>
      </c>
      <c r="E189" s="60">
        <v>13712</v>
      </c>
      <c r="F189" s="10" t="s">
        <v>600</v>
      </c>
      <c r="G189" s="60">
        <v>605</v>
      </c>
      <c r="H189" s="81">
        <v>230</v>
      </c>
      <c r="I189" s="86">
        <v>275</v>
      </c>
      <c r="J189" s="81">
        <v>230</v>
      </c>
      <c r="K189" s="86">
        <v>275</v>
      </c>
      <c r="L189" s="81">
        <v>310</v>
      </c>
      <c r="M189" s="86">
        <v>340</v>
      </c>
      <c r="N189" s="81">
        <v>161683</v>
      </c>
      <c r="O189" s="86">
        <v>141709</v>
      </c>
      <c r="P189" s="89">
        <f t="shared" si="7"/>
        <v>325</v>
      </c>
      <c r="Q189" s="89">
        <f t="shared" si="8"/>
        <v>151696</v>
      </c>
      <c r="R189" s="96" t="s">
        <v>94</v>
      </c>
      <c r="S189" s="96" t="s">
        <v>320</v>
      </c>
      <c r="T189" s="96" t="s">
        <v>94</v>
      </c>
      <c r="U189" s="96" t="s">
        <v>136</v>
      </c>
      <c r="V189" s="96" t="s">
        <v>94</v>
      </c>
      <c r="W189" s="96" t="s">
        <v>97</v>
      </c>
      <c r="X189" s="96" t="s">
        <v>147</v>
      </c>
      <c r="Y189" s="96" t="s">
        <v>110</v>
      </c>
      <c r="Z189" s="96" t="s">
        <v>110</v>
      </c>
      <c r="AA189" s="96" t="s">
        <v>601</v>
      </c>
      <c r="AB189" s="96" t="s">
        <v>602</v>
      </c>
      <c r="AC189" s="96" t="s">
        <v>603</v>
      </c>
      <c r="AD189" s="96" t="s">
        <v>604</v>
      </c>
      <c r="AE189" s="96" t="s">
        <v>605</v>
      </c>
      <c r="AF189" s="96" t="s">
        <v>606</v>
      </c>
      <c r="AG189" s="96" t="s">
        <v>110</v>
      </c>
      <c r="AH189" s="96">
        <v>2152</v>
      </c>
      <c r="AI189" s="96" t="s">
        <v>607</v>
      </c>
      <c r="AJ189" s="96" t="s">
        <v>608</v>
      </c>
      <c r="AK189" s="58" t="s">
        <v>110</v>
      </c>
    </row>
    <row r="190" spans="1:37">
      <c r="A190" s="70">
        <v>185</v>
      </c>
      <c r="B190" s="70">
        <f t="shared" si="6"/>
        <v>0</v>
      </c>
      <c r="C190" s="71"/>
      <c r="D190" s="59" t="s">
        <v>92</v>
      </c>
      <c r="E190" s="60">
        <v>14311</v>
      </c>
      <c r="F190" s="10" t="s">
        <v>654</v>
      </c>
      <c r="G190" s="60">
        <v>602</v>
      </c>
      <c r="H190" s="81">
        <v>737</v>
      </c>
      <c r="I190" s="86">
        <v>1294</v>
      </c>
      <c r="J190" s="81">
        <v>737</v>
      </c>
      <c r="K190" s="86">
        <v>1294</v>
      </c>
      <c r="L190" s="81">
        <v>307</v>
      </c>
      <c r="M190" s="86">
        <v>343</v>
      </c>
      <c r="N190" s="81">
        <v>169804</v>
      </c>
      <c r="O190" s="86">
        <v>134024</v>
      </c>
      <c r="P190" s="89">
        <f t="shared" si="7"/>
        <v>325</v>
      </c>
      <c r="Q190" s="89">
        <f t="shared" si="8"/>
        <v>151914</v>
      </c>
      <c r="R190" s="96" t="s">
        <v>94</v>
      </c>
      <c r="S190" s="96" t="s">
        <v>168</v>
      </c>
      <c r="T190" s="96" t="s">
        <v>94</v>
      </c>
      <c r="U190" s="96" t="s">
        <v>136</v>
      </c>
      <c r="V190" s="96" t="s">
        <v>94</v>
      </c>
      <c r="W190" s="96" t="s">
        <v>97</v>
      </c>
      <c r="X190" s="96" t="s">
        <v>169</v>
      </c>
      <c r="Y190" s="96" t="s">
        <v>349</v>
      </c>
      <c r="Z190" s="96" t="s">
        <v>226</v>
      </c>
      <c r="AA190" s="96" t="s">
        <v>655</v>
      </c>
      <c r="AB190" s="96" t="s">
        <v>656</v>
      </c>
      <c r="AC190" s="96" t="s">
        <v>657</v>
      </c>
      <c r="AD190" s="96" t="s">
        <v>658</v>
      </c>
      <c r="AE190" s="96" t="s">
        <v>659</v>
      </c>
      <c r="AF190" s="96" t="s">
        <v>660</v>
      </c>
      <c r="AG190" s="96" t="s">
        <v>661</v>
      </c>
      <c r="AH190" s="96">
        <v>2106</v>
      </c>
      <c r="AI190" s="96" t="s">
        <v>662</v>
      </c>
      <c r="AJ190" s="96" t="s">
        <v>663</v>
      </c>
      <c r="AK190" s="58" t="s">
        <v>110</v>
      </c>
    </row>
    <row r="191" spans="1:37">
      <c r="A191" s="70">
        <v>186</v>
      </c>
      <c r="B191" s="70">
        <f t="shared" si="6"/>
        <v>0</v>
      </c>
      <c r="C191" s="71"/>
      <c r="D191" s="59" t="s">
        <v>92</v>
      </c>
      <c r="E191" s="60">
        <v>12742</v>
      </c>
      <c r="F191" s="10" t="s">
        <v>469</v>
      </c>
      <c r="G191" s="60">
        <v>606</v>
      </c>
      <c r="H191" s="81">
        <v>150</v>
      </c>
      <c r="I191" s="86" t="s">
        <v>110</v>
      </c>
      <c r="J191" s="81">
        <v>150</v>
      </c>
      <c r="K191" s="86" t="s">
        <v>110</v>
      </c>
      <c r="L191" s="81">
        <v>314</v>
      </c>
      <c r="M191" s="86" t="s">
        <v>110</v>
      </c>
      <c r="N191" s="81">
        <v>152666</v>
      </c>
      <c r="O191" s="86" t="s">
        <v>110</v>
      </c>
      <c r="P191" s="89">
        <f t="shared" si="7"/>
        <v>314</v>
      </c>
      <c r="Q191" s="89">
        <f t="shared" si="8"/>
        <v>152666</v>
      </c>
      <c r="R191" s="96" t="s">
        <v>94</v>
      </c>
      <c r="S191" s="96" t="s">
        <v>124</v>
      </c>
      <c r="T191" s="96" t="s">
        <v>94</v>
      </c>
      <c r="U191" s="96" t="s">
        <v>136</v>
      </c>
      <c r="V191" s="96" t="s">
        <v>94</v>
      </c>
      <c r="W191" s="96" t="s">
        <v>97</v>
      </c>
      <c r="X191" s="96" t="s">
        <v>98</v>
      </c>
      <c r="Y191" s="96" t="s">
        <v>110</v>
      </c>
      <c r="Z191" s="96" t="s">
        <v>110</v>
      </c>
      <c r="AA191" s="96" t="s">
        <v>470</v>
      </c>
      <c r="AB191" s="96" t="s">
        <v>471</v>
      </c>
      <c r="AC191" s="96" t="s">
        <v>472</v>
      </c>
      <c r="AD191" s="96" t="s">
        <v>473</v>
      </c>
      <c r="AE191" s="96" t="s">
        <v>474</v>
      </c>
      <c r="AF191" s="96" t="s">
        <v>475</v>
      </c>
      <c r="AG191" s="96" t="s">
        <v>110</v>
      </c>
      <c r="AH191" s="96">
        <v>2027</v>
      </c>
      <c r="AI191" s="96" t="s">
        <v>476</v>
      </c>
      <c r="AJ191" s="96" t="s">
        <v>477</v>
      </c>
      <c r="AK191" s="58" t="s">
        <v>110</v>
      </c>
    </row>
    <row r="192" spans="1:37">
      <c r="A192" s="70">
        <v>187</v>
      </c>
      <c r="B192" s="70">
        <f t="shared" si="6"/>
        <v>0</v>
      </c>
      <c r="C192" s="71"/>
      <c r="D192" s="59" t="s">
        <v>92</v>
      </c>
      <c r="E192" s="60">
        <v>12765</v>
      </c>
      <c r="F192" s="10" t="s">
        <v>644</v>
      </c>
      <c r="G192" s="60">
        <v>611</v>
      </c>
      <c r="H192" s="81">
        <v>50</v>
      </c>
      <c r="I192" s="86" t="s">
        <v>110</v>
      </c>
      <c r="J192" s="81">
        <v>50</v>
      </c>
      <c r="K192" s="86" t="s">
        <v>110</v>
      </c>
      <c r="L192" s="81">
        <v>314</v>
      </c>
      <c r="M192" s="86" t="s">
        <v>110</v>
      </c>
      <c r="N192" s="81">
        <v>153251</v>
      </c>
      <c r="O192" s="86" t="s">
        <v>110</v>
      </c>
      <c r="P192" s="89">
        <f t="shared" si="7"/>
        <v>314</v>
      </c>
      <c r="Q192" s="89">
        <f t="shared" si="8"/>
        <v>153251</v>
      </c>
      <c r="R192" s="96" t="s">
        <v>94</v>
      </c>
      <c r="S192" s="96" t="s">
        <v>645</v>
      </c>
      <c r="T192" s="96" t="s">
        <v>94</v>
      </c>
      <c r="U192" s="96" t="s">
        <v>136</v>
      </c>
      <c r="V192" s="96" t="s">
        <v>94</v>
      </c>
      <c r="W192" s="96" t="s">
        <v>97</v>
      </c>
      <c r="X192" s="96" t="s">
        <v>500</v>
      </c>
      <c r="Y192" s="96" t="s">
        <v>110</v>
      </c>
      <c r="Z192" s="96" t="s">
        <v>148</v>
      </c>
      <c r="AA192" s="96" t="s">
        <v>646</v>
      </c>
      <c r="AB192" s="96" t="s">
        <v>647</v>
      </c>
      <c r="AC192" s="96" t="s">
        <v>648</v>
      </c>
      <c r="AD192" s="96" t="s">
        <v>649</v>
      </c>
      <c r="AE192" s="96" t="s">
        <v>650</v>
      </c>
      <c r="AF192" s="96" t="s">
        <v>651</v>
      </c>
      <c r="AG192" s="96" t="s">
        <v>110</v>
      </c>
      <c r="AH192" s="96">
        <v>2220</v>
      </c>
      <c r="AI192" s="96" t="s">
        <v>652</v>
      </c>
      <c r="AJ192" s="96" t="s">
        <v>653</v>
      </c>
      <c r="AK192" s="58" t="s">
        <v>110</v>
      </c>
    </row>
    <row r="193" spans="1:37">
      <c r="A193" s="70">
        <v>188</v>
      </c>
      <c r="B193" s="70">
        <f t="shared" si="6"/>
        <v>0</v>
      </c>
      <c r="C193" s="71"/>
      <c r="D193" s="59" t="s">
        <v>92</v>
      </c>
      <c r="E193" s="60">
        <v>13707</v>
      </c>
      <c r="F193" s="10" t="s">
        <v>402</v>
      </c>
      <c r="G193" s="60">
        <v>610</v>
      </c>
      <c r="H193" s="81">
        <v>210</v>
      </c>
      <c r="I193" s="86">
        <v>119</v>
      </c>
      <c r="J193" s="81">
        <v>210</v>
      </c>
      <c r="K193" s="86">
        <v>119</v>
      </c>
      <c r="L193" s="81">
        <v>287</v>
      </c>
      <c r="M193" s="86">
        <v>360</v>
      </c>
      <c r="N193" s="81">
        <v>212207</v>
      </c>
      <c r="O193" s="86">
        <v>94465</v>
      </c>
      <c r="P193" s="89">
        <f t="shared" si="7"/>
        <v>323.5</v>
      </c>
      <c r="Q193" s="89">
        <f t="shared" si="8"/>
        <v>153336</v>
      </c>
      <c r="R193" s="96" t="s">
        <v>94</v>
      </c>
      <c r="S193" s="96" t="s">
        <v>124</v>
      </c>
      <c r="T193" s="96" t="s">
        <v>94</v>
      </c>
      <c r="U193" s="96" t="s">
        <v>136</v>
      </c>
      <c r="V193" s="96" t="s">
        <v>94</v>
      </c>
      <c r="W193" s="96" t="s">
        <v>97</v>
      </c>
      <c r="X193" s="96" t="s">
        <v>98</v>
      </c>
      <c r="Y193" s="96" t="s">
        <v>110</v>
      </c>
      <c r="Z193" s="96" t="s">
        <v>110</v>
      </c>
      <c r="AA193" s="96" t="s">
        <v>403</v>
      </c>
      <c r="AB193" s="96" t="s">
        <v>404</v>
      </c>
      <c r="AC193" s="96" t="s">
        <v>405</v>
      </c>
      <c r="AD193" s="96" t="s">
        <v>406</v>
      </c>
      <c r="AE193" s="96" t="s">
        <v>407</v>
      </c>
      <c r="AF193" s="96" t="s">
        <v>408</v>
      </c>
      <c r="AG193" s="96" t="s">
        <v>110</v>
      </c>
      <c r="AH193" s="96">
        <v>2421</v>
      </c>
      <c r="AI193" s="96" t="s">
        <v>409</v>
      </c>
      <c r="AJ193" s="96" t="s">
        <v>410</v>
      </c>
      <c r="AK193" s="58" t="s">
        <v>110</v>
      </c>
    </row>
    <row r="194" spans="1:37">
      <c r="A194" s="70">
        <v>189</v>
      </c>
      <c r="B194" s="70">
        <f t="shared" si="6"/>
        <v>0</v>
      </c>
      <c r="C194" s="71"/>
      <c r="D194" s="59" t="s">
        <v>92</v>
      </c>
      <c r="E194" s="60">
        <v>10861</v>
      </c>
      <c r="F194" s="10" t="s">
        <v>359</v>
      </c>
      <c r="G194" s="60">
        <v>604</v>
      </c>
      <c r="H194" s="81">
        <v>15</v>
      </c>
      <c r="I194" s="86">
        <v>36</v>
      </c>
      <c r="J194" s="81">
        <v>15</v>
      </c>
      <c r="K194" s="86">
        <v>36</v>
      </c>
      <c r="L194" s="81">
        <v>316</v>
      </c>
      <c r="M194" s="86">
        <v>332</v>
      </c>
      <c r="N194" s="81">
        <v>149253</v>
      </c>
      <c r="O194" s="86">
        <v>158300</v>
      </c>
      <c r="P194" s="89">
        <f t="shared" si="7"/>
        <v>324</v>
      </c>
      <c r="Q194" s="89">
        <f t="shared" si="8"/>
        <v>153776.5</v>
      </c>
      <c r="R194" s="96" t="s">
        <v>94</v>
      </c>
      <c r="S194" s="96" t="s">
        <v>124</v>
      </c>
      <c r="T194" s="96" t="s">
        <v>94</v>
      </c>
      <c r="U194" s="96" t="s">
        <v>136</v>
      </c>
      <c r="V194" s="96" t="s">
        <v>94</v>
      </c>
      <c r="W194" s="96" t="s">
        <v>97</v>
      </c>
      <c r="X194" s="96" t="s">
        <v>98</v>
      </c>
      <c r="Y194" s="96" t="s">
        <v>360</v>
      </c>
      <c r="Z194" s="96" t="s">
        <v>361</v>
      </c>
      <c r="AA194" s="96" t="s">
        <v>362</v>
      </c>
      <c r="AB194" s="96" t="s">
        <v>363</v>
      </c>
      <c r="AC194" s="96" t="s">
        <v>364</v>
      </c>
      <c r="AD194" s="96" t="s">
        <v>365</v>
      </c>
      <c r="AE194" s="96" t="s">
        <v>366</v>
      </c>
      <c r="AF194" s="96" t="s">
        <v>367</v>
      </c>
      <c r="AG194" s="96" t="s">
        <v>368</v>
      </c>
      <c r="AH194" s="96">
        <v>1765</v>
      </c>
      <c r="AI194" s="96" t="s">
        <v>369</v>
      </c>
      <c r="AJ194" s="96" t="s">
        <v>370</v>
      </c>
      <c r="AK194" s="58" t="s">
        <v>110</v>
      </c>
    </row>
    <row r="195" spans="1:37">
      <c r="A195" s="70">
        <v>190</v>
      </c>
      <c r="B195" s="70">
        <f t="shared" si="6"/>
        <v>0</v>
      </c>
      <c r="C195" s="71"/>
      <c r="D195" s="59" t="s">
        <v>92</v>
      </c>
      <c r="E195" s="60">
        <v>12772</v>
      </c>
      <c r="F195" s="10" t="s">
        <v>561</v>
      </c>
      <c r="G195" s="60">
        <v>602</v>
      </c>
      <c r="H195" s="81">
        <v>258</v>
      </c>
      <c r="I195" s="86">
        <v>586</v>
      </c>
      <c r="J195" s="81">
        <v>258</v>
      </c>
      <c r="K195" s="86">
        <v>586</v>
      </c>
      <c r="L195" s="81">
        <v>307</v>
      </c>
      <c r="M195" s="86">
        <v>340</v>
      </c>
      <c r="N195" s="81">
        <v>168746</v>
      </c>
      <c r="O195" s="86">
        <v>140841</v>
      </c>
      <c r="P195" s="89">
        <f t="shared" si="7"/>
        <v>323.5</v>
      </c>
      <c r="Q195" s="89">
        <f t="shared" si="8"/>
        <v>154793.5</v>
      </c>
      <c r="R195" s="96" t="s">
        <v>94</v>
      </c>
      <c r="S195" s="96" t="s">
        <v>562</v>
      </c>
      <c r="T195" s="96" t="s">
        <v>94</v>
      </c>
      <c r="U195" s="96" t="s">
        <v>136</v>
      </c>
      <c r="V195" s="96" t="s">
        <v>94</v>
      </c>
      <c r="W195" s="96" t="s">
        <v>97</v>
      </c>
      <c r="X195" s="96" t="s">
        <v>500</v>
      </c>
      <c r="Y195" s="96" t="s">
        <v>225</v>
      </c>
      <c r="Z195" s="96" t="s">
        <v>226</v>
      </c>
      <c r="AA195" s="96" t="s">
        <v>563</v>
      </c>
      <c r="AB195" s="96" t="s">
        <v>564</v>
      </c>
      <c r="AC195" s="96" t="s">
        <v>565</v>
      </c>
      <c r="AD195" s="96" t="s">
        <v>566</v>
      </c>
      <c r="AE195" s="96" t="s">
        <v>567</v>
      </c>
      <c r="AF195" s="96" t="s">
        <v>568</v>
      </c>
      <c r="AG195" s="96" t="s">
        <v>569</v>
      </c>
      <c r="AH195" s="96">
        <v>1839</v>
      </c>
      <c r="AI195" s="96" t="s">
        <v>570</v>
      </c>
      <c r="AJ195" s="96" t="s">
        <v>571</v>
      </c>
      <c r="AK195" s="58" t="s">
        <v>110</v>
      </c>
    </row>
    <row r="196" spans="1:37">
      <c r="A196" s="70">
        <v>191</v>
      </c>
      <c r="B196" s="70">
        <f t="shared" si="6"/>
        <v>0</v>
      </c>
      <c r="C196" s="71"/>
      <c r="D196" s="59" t="s">
        <v>92</v>
      </c>
      <c r="E196" s="60">
        <v>12060</v>
      </c>
      <c r="F196" s="10" t="s">
        <v>664</v>
      </c>
      <c r="G196" s="60">
        <v>601</v>
      </c>
      <c r="H196" s="81">
        <v>620</v>
      </c>
      <c r="I196" s="86">
        <v>899</v>
      </c>
      <c r="J196" s="81">
        <v>620</v>
      </c>
      <c r="K196" s="86">
        <v>900</v>
      </c>
      <c r="L196" s="81">
        <v>313</v>
      </c>
      <c r="M196" s="86">
        <v>334</v>
      </c>
      <c r="N196" s="81">
        <v>156125</v>
      </c>
      <c r="O196" s="86">
        <v>154399</v>
      </c>
      <c r="P196" s="89">
        <f t="shared" si="7"/>
        <v>323.5</v>
      </c>
      <c r="Q196" s="89">
        <f t="shared" si="8"/>
        <v>155262</v>
      </c>
      <c r="R196" s="96" t="s">
        <v>94</v>
      </c>
      <c r="S196" s="96" t="s">
        <v>665</v>
      </c>
      <c r="T196" s="96" t="s">
        <v>94</v>
      </c>
      <c r="U196" s="96" t="s">
        <v>136</v>
      </c>
      <c r="V196" s="96" t="s">
        <v>94</v>
      </c>
      <c r="W196" s="96" t="s">
        <v>97</v>
      </c>
      <c r="X196" s="96" t="s">
        <v>500</v>
      </c>
      <c r="Y196" s="96" t="s">
        <v>382</v>
      </c>
      <c r="Z196" s="96" t="s">
        <v>148</v>
      </c>
      <c r="AA196" s="96" t="s">
        <v>666</v>
      </c>
      <c r="AB196" s="96" t="s">
        <v>667</v>
      </c>
      <c r="AC196" s="96" t="s">
        <v>668</v>
      </c>
      <c r="AD196" s="96" t="s">
        <v>669</v>
      </c>
      <c r="AE196" s="96" t="s">
        <v>670</v>
      </c>
      <c r="AF196" s="96" t="s">
        <v>671</v>
      </c>
      <c r="AG196" s="96" t="s">
        <v>110</v>
      </c>
      <c r="AH196" s="96">
        <v>1729</v>
      </c>
      <c r="AI196" s="96" t="s">
        <v>672</v>
      </c>
      <c r="AJ196" s="96" t="s">
        <v>673</v>
      </c>
      <c r="AK196" s="58" t="s">
        <v>110</v>
      </c>
    </row>
    <row r="197" spans="1:37">
      <c r="A197" s="70">
        <v>192</v>
      </c>
      <c r="B197" s="70">
        <f t="shared" si="6"/>
        <v>0</v>
      </c>
      <c r="C197" s="71"/>
      <c r="D197" s="59" t="s">
        <v>92</v>
      </c>
      <c r="E197" s="60">
        <v>12741</v>
      </c>
      <c r="F197" s="10" t="s">
        <v>581</v>
      </c>
      <c r="G197" s="60">
        <v>604</v>
      </c>
      <c r="H197" s="81">
        <v>653</v>
      </c>
      <c r="I197" s="86">
        <v>656</v>
      </c>
      <c r="J197" s="81">
        <v>653</v>
      </c>
      <c r="K197" s="86">
        <v>656</v>
      </c>
      <c r="L197" s="81">
        <v>296</v>
      </c>
      <c r="M197" s="86">
        <v>350</v>
      </c>
      <c r="N197" s="81">
        <v>192928</v>
      </c>
      <c r="O197" s="86">
        <v>117903</v>
      </c>
      <c r="P197" s="89">
        <f t="shared" si="7"/>
        <v>323</v>
      </c>
      <c r="Q197" s="89">
        <f t="shared" si="8"/>
        <v>155415.5</v>
      </c>
      <c r="R197" s="96" t="s">
        <v>94</v>
      </c>
      <c r="S197" s="96" t="s">
        <v>124</v>
      </c>
      <c r="T197" s="96" t="s">
        <v>94</v>
      </c>
      <c r="U197" s="96" t="s">
        <v>136</v>
      </c>
      <c r="V197" s="96" t="s">
        <v>94</v>
      </c>
      <c r="W197" s="96" t="s">
        <v>97</v>
      </c>
      <c r="X197" s="96" t="s">
        <v>98</v>
      </c>
      <c r="Y197" s="96" t="s">
        <v>349</v>
      </c>
      <c r="Z197" s="96" t="s">
        <v>226</v>
      </c>
      <c r="AA197" s="96" t="s">
        <v>582</v>
      </c>
      <c r="AB197" s="96" t="s">
        <v>583</v>
      </c>
      <c r="AC197" s="96" t="s">
        <v>584</v>
      </c>
      <c r="AD197" s="96" t="s">
        <v>585</v>
      </c>
      <c r="AE197" s="96" t="s">
        <v>586</v>
      </c>
      <c r="AF197" s="96" t="s">
        <v>587</v>
      </c>
      <c r="AG197" s="96" t="s">
        <v>588</v>
      </c>
      <c r="AH197" s="96">
        <v>1994</v>
      </c>
      <c r="AI197" s="96" t="s">
        <v>589</v>
      </c>
      <c r="AJ197" s="96" t="s">
        <v>590</v>
      </c>
      <c r="AK197" s="58" t="s">
        <v>110</v>
      </c>
    </row>
    <row r="198" spans="1:37">
      <c r="A198" s="70">
        <v>193</v>
      </c>
      <c r="B198" s="70">
        <f t="shared" ref="B198:B261" si="9">C198</f>
        <v>0</v>
      </c>
      <c r="C198" s="71"/>
      <c r="D198" s="59" t="s">
        <v>92</v>
      </c>
      <c r="E198" s="60">
        <v>14510</v>
      </c>
      <c r="F198" s="10" t="s">
        <v>609</v>
      </c>
      <c r="G198" s="60">
        <v>604</v>
      </c>
      <c r="H198" s="81">
        <v>235</v>
      </c>
      <c r="I198" s="86" t="s">
        <v>110</v>
      </c>
      <c r="J198" s="81">
        <v>235</v>
      </c>
      <c r="K198" s="86" t="s">
        <v>110</v>
      </c>
      <c r="L198" s="81">
        <v>312</v>
      </c>
      <c r="M198" s="86" t="s">
        <v>110</v>
      </c>
      <c r="N198" s="81">
        <v>156943</v>
      </c>
      <c r="O198" s="86" t="s">
        <v>110</v>
      </c>
      <c r="P198" s="89">
        <f t="shared" si="7"/>
        <v>312</v>
      </c>
      <c r="Q198" s="89">
        <f t="shared" si="8"/>
        <v>156943</v>
      </c>
      <c r="R198" s="96" t="s">
        <v>94</v>
      </c>
      <c r="S198" s="96" t="s">
        <v>329</v>
      </c>
      <c r="T198" s="96" t="s">
        <v>94</v>
      </c>
      <c r="U198" s="96" t="s">
        <v>136</v>
      </c>
      <c r="V198" s="96" t="s">
        <v>94</v>
      </c>
      <c r="W198" s="96" t="s">
        <v>97</v>
      </c>
      <c r="X198" s="96" t="s">
        <v>290</v>
      </c>
      <c r="Y198" s="96" t="s">
        <v>110</v>
      </c>
      <c r="Z198" s="96" t="s">
        <v>110</v>
      </c>
      <c r="AA198" s="96" t="s">
        <v>610</v>
      </c>
      <c r="AB198" s="96" t="s">
        <v>110</v>
      </c>
      <c r="AC198" s="96" t="s">
        <v>611</v>
      </c>
      <c r="AD198" s="96" t="s">
        <v>612</v>
      </c>
      <c r="AE198" s="96" t="s">
        <v>613</v>
      </c>
      <c r="AF198" s="96" t="s">
        <v>614</v>
      </c>
      <c r="AG198" s="96" t="s">
        <v>615</v>
      </c>
      <c r="AH198" s="96">
        <v>2357</v>
      </c>
      <c r="AI198" s="96" t="s">
        <v>616</v>
      </c>
      <c r="AJ198" s="96" t="s">
        <v>617</v>
      </c>
      <c r="AK198" s="58" t="s">
        <v>110</v>
      </c>
    </row>
    <row r="199" spans="1:37">
      <c r="A199" s="70">
        <v>194</v>
      </c>
      <c r="B199" s="70">
        <f t="shared" si="9"/>
        <v>0</v>
      </c>
      <c r="C199" s="71"/>
      <c r="D199" s="59" t="s">
        <v>92</v>
      </c>
      <c r="E199" s="60">
        <v>14638</v>
      </c>
      <c r="F199" s="10" t="s">
        <v>674</v>
      </c>
      <c r="G199" s="60">
        <v>601</v>
      </c>
      <c r="H199" s="81">
        <v>185</v>
      </c>
      <c r="I199" s="86">
        <v>110</v>
      </c>
      <c r="J199" s="81">
        <v>185</v>
      </c>
      <c r="K199" s="86">
        <v>110</v>
      </c>
      <c r="L199" s="81">
        <v>302</v>
      </c>
      <c r="M199" s="86">
        <v>343</v>
      </c>
      <c r="N199" s="81">
        <v>179549</v>
      </c>
      <c r="O199" s="86">
        <v>134373</v>
      </c>
      <c r="P199" s="89">
        <f t="shared" ref="P199:P262" si="10">IFERROR(AVERAGE(L199:M199),"/")</f>
        <v>322.5</v>
      </c>
      <c r="Q199" s="89">
        <f t="shared" ref="Q199:Q262" si="11">IFERROR(AVERAGE(N199:O199),"/")</f>
        <v>156961</v>
      </c>
      <c r="R199" s="96" t="s">
        <v>94</v>
      </c>
      <c r="S199" s="96" t="s">
        <v>320</v>
      </c>
      <c r="T199" s="96" t="s">
        <v>94</v>
      </c>
      <c r="U199" s="96" t="s">
        <v>136</v>
      </c>
      <c r="V199" s="96" t="s">
        <v>94</v>
      </c>
      <c r="W199" s="96" t="s">
        <v>97</v>
      </c>
      <c r="X199" s="96" t="s">
        <v>147</v>
      </c>
      <c r="Y199" s="96" t="s">
        <v>110</v>
      </c>
      <c r="Z199" s="96" t="s">
        <v>110</v>
      </c>
      <c r="AA199" s="96" t="s">
        <v>675</v>
      </c>
      <c r="AB199" s="96" t="s">
        <v>110</v>
      </c>
      <c r="AC199" s="96" t="s">
        <v>676</v>
      </c>
      <c r="AD199" s="96" t="s">
        <v>677</v>
      </c>
      <c r="AE199" s="96" t="s">
        <v>678</v>
      </c>
      <c r="AF199" s="96" t="s">
        <v>679</v>
      </c>
      <c r="AG199" s="96" t="s">
        <v>110</v>
      </c>
      <c r="AH199" s="96">
        <v>2550</v>
      </c>
      <c r="AI199" s="96" t="s">
        <v>680</v>
      </c>
      <c r="AJ199" s="96" t="s">
        <v>681</v>
      </c>
      <c r="AK199" s="58" t="s">
        <v>110</v>
      </c>
    </row>
    <row r="200" spans="1:37">
      <c r="A200" s="70">
        <v>195</v>
      </c>
      <c r="B200" s="70">
        <f t="shared" si="9"/>
        <v>0</v>
      </c>
      <c r="C200" s="71"/>
      <c r="D200" s="59" t="s">
        <v>92</v>
      </c>
      <c r="E200" s="60">
        <v>14758</v>
      </c>
      <c r="F200" s="10" t="s">
        <v>682</v>
      </c>
      <c r="G200" s="60">
        <v>601</v>
      </c>
      <c r="H200" s="81">
        <v>290</v>
      </c>
      <c r="I200" s="86">
        <v>400</v>
      </c>
      <c r="J200" s="81">
        <v>290</v>
      </c>
      <c r="K200" s="86">
        <v>400</v>
      </c>
      <c r="L200" s="81">
        <v>309</v>
      </c>
      <c r="M200" s="86">
        <v>336</v>
      </c>
      <c r="N200" s="81">
        <v>163993</v>
      </c>
      <c r="O200" s="86">
        <v>149954</v>
      </c>
      <c r="P200" s="89">
        <f t="shared" si="10"/>
        <v>322.5</v>
      </c>
      <c r="Q200" s="89">
        <f t="shared" si="11"/>
        <v>156973.5</v>
      </c>
      <c r="R200" s="96" t="s">
        <v>94</v>
      </c>
      <c r="S200" s="96" t="s">
        <v>683</v>
      </c>
      <c r="T200" s="96" t="s">
        <v>94</v>
      </c>
      <c r="U200" s="96" t="s">
        <v>136</v>
      </c>
      <c r="V200" s="96" t="s">
        <v>94</v>
      </c>
      <c r="W200" s="96" t="s">
        <v>97</v>
      </c>
      <c r="X200" s="96" t="s">
        <v>500</v>
      </c>
      <c r="Y200" s="96" t="s">
        <v>110</v>
      </c>
      <c r="Z200" s="96" t="s">
        <v>110</v>
      </c>
      <c r="AA200" s="96" t="s">
        <v>684</v>
      </c>
      <c r="AB200" s="96" t="s">
        <v>110</v>
      </c>
      <c r="AC200" s="96" t="s">
        <v>685</v>
      </c>
      <c r="AD200" s="96" t="s">
        <v>686</v>
      </c>
      <c r="AE200" s="96" t="s">
        <v>687</v>
      </c>
      <c r="AF200" s="96" t="s">
        <v>688</v>
      </c>
      <c r="AG200" s="96" t="s">
        <v>110</v>
      </c>
      <c r="AH200" s="96">
        <v>2687</v>
      </c>
      <c r="AI200" s="96" t="s">
        <v>689</v>
      </c>
      <c r="AJ200" s="96" t="s">
        <v>690</v>
      </c>
      <c r="AK200" s="58" t="s">
        <v>110</v>
      </c>
    </row>
    <row r="201" spans="1:37">
      <c r="A201" s="70">
        <v>196</v>
      </c>
      <c r="B201" s="70">
        <f t="shared" si="9"/>
        <v>0</v>
      </c>
      <c r="C201" s="71"/>
      <c r="D201" s="59" t="s">
        <v>92</v>
      </c>
      <c r="E201" s="60">
        <v>10862</v>
      </c>
      <c r="F201" s="10" t="s">
        <v>278</v>
      </c>
      <c r="G201" s="60">
        <v>603</v>
      </c>
      <c r="H201" s="81">
        <v>147</v>
      </c>
      <c r="I201" s="86" t="s">
        <v>110</v>
      </c>
      <c r="J201" s="81">
        <v>147</v>
      </c>
      <c r="K201" s="86" t="s">
        <v>110</v>
      </c>
      <c r="L201" s="81">
        <v>312</v>
      </c>
      <c r="M201" s="86" t="s">
        <v>110</v>
      </c>
      <c r="N201" s="81">
        <v>157658</v>
      </c>
      <c r="O201" s="86" t="s">
        <v>110</v>
      </c>
      <c r="P201" s="89">
        <f t="shared" si="10"/>
        <v>312</v>
      </c>
      <c r="Q201" s="89">
        <f t="shared" si="11"/>
        <v>157658</v>
      </c>
      <c r="R201" s="96" t="s">
        <v>94</v>
      </c>
      <c r="S201" s="96" t="s">
        <v>124</v>
      </c>
      <c r="T201" s="96" t="s">
        <v>94</v>
      </c>
      <c r="U201" s="96" t="s">
        <v>136</v>
      </c>
      <c r="V201" s="96" t="s">
        <v>94</v>
      </c>
      <c r="W201" s="96" t="s">
        <v>97</v>
      </c>
      <c r="X201" s="96" t="s">
        <v>98</v>
      </c>
      <c r="Y201" s="96" t="s">
        <v>192</v>
      </c>
      <c r="Z201" s="96" t="s">
        <v>193</v>
      </c>
      <c r="AA201" s="96" t="s">
        <v>279</v>
      </c>
      <c r="AB201" s="96" t="s">
        <v>280</v>
      </c>
      <c r="AC201" s="96" t="s">
        <v>281</v>
      </c>
      <c r="AD201" s="96" t="s">
        <v>282</v>
      </c>
      <c r="AE201" s="96" t="s">
        <v>283</v>
      </c>
      <c r="AF201" s="96" t="s">
        <v>284</v>
      </c>
      <c r="AG201" s="96" t="s">
        <v>285</v>
      </c>
      <c r="AH201" s="96">
        <v>1410</v>
      </c>
      <c r="AI201" s="96" t="s">
        <v>286</v>
      </c>
      <c r="AJ201" s="96" t="s">
        <v>287</v>
      </c>
      <c r="AK201" s="58" t="s">
        <v>110</v>
      </c>
    </row>
    <row r="202" spans="1:37">
      <c r="A202" s="70">
        <v>197</v>
      </c>
      <c r="B202" s="70">
        <f t="shared" si="9"/>
        <v>0</v>
      </c>
      <c r="C202" s="71"/>
      <c r="D202" s="59" t="s">
        <v>92</v>
      </c>
      <c r="E202" s="60">
        <v>12742</v>
      </c>
      <c r="F202" s="10" t="s">
        <v>469</v>
      </c>
      <c r="G202" s="60">
        <v>602</v>
      </c>
      <c r="H202" s="81">
        <v>125</v>
      </c>
      <c r="I202" s="86" t="s">
        <v>110</v>
      </c>
      <c r="J202" s="81">
        <v>125</v>
      </c>
      <c r="K202" s="86" t="s">
        <v>110</v>
      </c>
      <c r="L202" s="81">
        <v>312</v>
      </c>
      <c r="M202" s="86" t="s">
        <v>110</v>
      </c>
      <c r="N202" s="81">
        <v>158278</v>
      </c>
      <c r="O202" s="86" t="s">
        <v>110</v>
      </c>
      <c r="P202" s="89">
        <f t="shared" si="10"/>
        <v>312</v>
      </c>
      <c r="Q202" s="89">
        <f t="shared" si="11"/>
        <v>158278</v>
      </c>
      <c r="R202" s="96" t="s">
        <v>94</v>
      </c>
      <c r="S202" s="96" t="s">
        <v>124</v>
      </c>
      <c r="T202" s="96" t="s">
        <v>94</v>
      </c>
      <c r="U202" s="96" t="s">
        <v>136</v>
      </c>
      <c r="V202" s="96" t="s">
        <v>94</v>
      </c>
      <c r="W202" s="96" t="s">
        <v>97</v>
      </c>
      <c r="X202" s="96" t="s">
        <v>98</v>
      </c>
      <c r="Y202" s="96" t="s">
        <v>110</v>
      </c>
      <c r="Z202" s="96" t="s">
        <v>110</v>
      </c>
      <c r="AA202" s="96" t="s">
        <v>470</v>
      </c>
      <c r="AB202" s="96" t="s">
        <v>471</v>
      </c>
      <c r="AC202" s="96" t="s">
        <v>472</v>
      </c>
      <c r="AD202" s="96" t="s">
        <v>473</v>
      </c>
      <c r="AE202" s="96" t="s">
        <v>474</v>
      </c>
      <c r="AF202" s="96" t="s">
        <v>475</v>
      </c>
      <c r="AG202" s="96" t="s">
        <v>110</v>
      </c>
      <c r="AH202" s="96">
        <v>2027</v>
      </c>
      <c r="AI202" s="96" t="s">
        <v>476</v>
      </c>
      <c r="AJ202" s="96" t="s">
        <v>477</v>
      </c>
      <c r="AK202" s="58" t="s">
        <v>110</v>
      </c>
    </row>
    <row r="203" spans="1:37">
      <c r="A203" s="70">
        <v>198</v>
      </c>
      <c r="B203" s="70">
        <f t="shared" si="9"/>
        <v>0</v>
      </c>
      <c r="C203" s="71"/>
      <c r="D203" s="59" t="s">
        <v>92</v>
      </c>
      <c r="E203" s="60">
        <v>14510</v>
      </c>
      <c r="F203" s="10" t="s">
        <v>609</v>
      </c>
      <c r="G203" s="60">
        <v>601</v>
      </c>
      <c r="H203" s="81">
        <v>455</v>
      </c>
      <c r="I203" s="86">
        <v>1654</v>
      </c>
      <c r="J203" s="81">
        <v>455</v>
      </c>
      <c r="K203" s="86">
        <v>1654</v>
      </c>
      <c r="L203" s="81">
        <v>305</v>
      </c>
      <c r="M203" s="86">
        <v>338</v>
      </c>
      <c r="N203" s="81">
        <v>173919</v>
      </c>
      <c r="O203" s="86">
        <v>144908</v>
      </c>
      <c r="P203" s="89">
        <f t="shared" si="10"/>
        <v>321.5</v>
      </c>
      <c r="Q203" s="89">
        <f t="shared" si="11"/>
        <v>159413.5</v>
      </c>
      <c r="R203" s="96" t="s">
        <v>94</v>
      </c>
      <c r="S203" s="96" t="s">
        <v>329</v>
      </c>
      <c r="T203" s="96" t="s">
        <v>94</v>
      </c>
      <c r="U203" s="96" t="s">
        <v>136</v>
      </c>
      <c r="V203" s="96" t="s">
        <v>94</v>
      </c>
      <c r="W203" s="96" t="s">
        <v>97</v>
      </c>
      <c r="X203" s="96" t="s">
        <v>290</v>
      </c>
      <c r="Y203" s="96" t="s">
        <v>110</v>
      </c>
      <c r="Z203" s="96" t="s">
        <v>110</v>
      </c>
      <c r="AA203" s="96" t="s">
        <v>610</v>
      </c>
      <c r="AB203" s="96" t="s">
        <v>110</v>
      </c>
      <c r="AC203" s="96" t="s">
        <v>611</v>
      </c>
      <c r="AD203" s="96" t="s">
        <v>612</v>
      </c>
      <c r="AE203" s="96" t="s">
        <v>613</v>
      </c>
      <c r="AF203" s="96" t="s">
        <v>614</v>
      </c>
      <c r="AG203" s="96" t="s">
        <v>615</v>
      </c>
      <c r="AH203" s="96">
        <v>2357</v>
      </c>
      <c r="AI203" s="96" t="s">
        <v>616</v>
      </c>
      <c r="AJ203" s="96" t="s">
        <v>617</v>
      </c>
      <c r="AK203" s="58" t="s">
        <v>110</v>
      </c>
    </row>
    <row r="204" spans="1:37">
      <c r="A204" s="70">
        <v>199</v>
      </c>
      <c r="B204" s="70">
        <f t="shared" si="9"/>
        <v>0</v>
      </c>
      <c r="C204" s="71"/>
      <c r="D204" s="59" t="s">
        <v>92</v>
      </c>
      <c r="E204" s="60">
        <v>14311</v>
      </c>
      <c r="F204" s="10" t="s">
        <v>654</v>
      </c>
      <c r="G204" s="60">
        <v>601</v>
      </c>
      <c r="H204" s="81">
        <v>627</v>
      </c>
      <c r="I204" s="86">
        <v>379</v>
      </c>
      <c r="J204" s="81">
        <v>627</v>
      </c>
      <c r="K204" s="86">
        <v>379</v>
      </c>
      <c r="L204" s="81">
        <v>299</v>
      </c>
      <c r="M204" s="86">
        <v>343</v>
      </c>
      <c r="N204" s="81">
        <v>186690</v>
      </c>
      <c r="O204" s="86">
        <v>134181</v>
      </c>
      <c r="P204" s="89">
        <f t="shared" si="10"/>
        <v>321</v>
      </c>
      <c r="Q204" s="89">
        <f t="shared" si="11"/>
        <v>160435.5</v>
      </c>
      <c r="R204" s="96" t="s">
        <v>94</v>
      </c>
      <c r="S204" s="96" t="s">
        <v>168</v>
      </c>
      <c r="T204" s="96" t="s">
        <v>94</v>
      </c>
      <c r="U204" s="96" t="s">
        <v>136</v>
      </c>
      <c r="V204" s="96" t="s">
        <v>94</v>
      </c>
      <c r="W204" s="96" t="s">
        <v>97</v>
      </c>
      <c r="X204" s="96" t="s">
        <v>169</v>
      </c>
      <c r="Y204" s="96" t="s">
        <v>349</v>
      </c>
      <c r="Z204" s="96" t="s">
        <v>226</v>
      </c>
      <c r="AA204" s="96" t="s">
        <v>655</v>
      </c>
      <c r="AB204" s="96" t="s">
        <v>656</v>
      </c>
      <c r="AC204" s="96" t="s">
        <v>657</v>
      </c>
      <c r="AD204" s="96" t="s">
        <v>658</v>
      </c>
      <c r="AE204" s="96" t="s">
        <v>659</v>
      </c>
      <c r="AF204" s="96" t="s">
        <v>660</v>
      </c>
      <c r="AG204" s="96" t="s">
        <v>661</v>
      </c>
      <c r="AH204" s="96">
        <v>2106</v>
      </c>
      <c r="AI204" s="96" t="s">
        <v>662</v>
      </c>
      <c r="AJ204" s="96" t="s">
        <v>663</v>
      </c>
      <c r="AK204" s="58" t="s">
        <v>110</v>
      </c>
    </row>
    <row r="205" spans="1:37">
      <c r="A205" s="70">
        <v>200</v>
      </c>
      <c r="B205" s="70">
        <f t="shared" si="9"/>
        <v>0</v>
      </c>
      <c r="C205" s="71"/>
      <c r="D205" s="59" t="s">
        <v>92</v>
      </c>
      <c r="E205" s="60">
        <v>14758</v>
      </c>
      <c r="F205" s="10" t="s">
        <v>682</v>
      </c>
      <c r="G205" s="60">
        <v>603</v>
      </c>
      <c r="H205" s="81">
        <v>290</v>
      </c>
      <c r="I205" s="86">
        <v>400</v>
      </c>
      <c r="J205" s="81">
        <v>290</v>
      </c>
      <c r="K205" s="86">
        <v>400</v>
      </c>
      <c r="L205" s="81">
        <v>308</v>
      </c>
      <c r="M205" s="86">
        <v>334</v>
      </c>
      <c r="N205" s="81">
        <v>167037</v>
      </c>
      <c r="O205" s="86">
        <v>154009</v>
      </c>
      <c r="P205" s="89">
        <f t="shared" si="10"/>
        <v>321</v>
      </c>
      <c r="Q205" s="89">
        <f t="shared" si="11"/>
        <v>160523</v>
      </c>
      <c r="R205" s="96" t="s">
        <v>94</v>
      </c>
      <c r="S205" s="96" t="s">
        <v>683</v>
      </c>
      <c r="T205" s="96" t="s">
        <v>94</v>
      </c>
      <c r="U205" s="96" t="s">
        <v>136</v>
      </c>
      <c r="V205" s="96" t="s">
        <v>94</v>
      </c>
      <c r="W205" s="96" t="s">
        <v>97</v>
      </c>
      <c r="X205" s="96" t="s">
        <v>500</v>
      </c>
      <c r="Y205" s="96" t="s">
        <v>110</v>
      </c>
      <c r="Z205" s="96" t="s">
        <v>110</v>
      </c>
      <c r="AA205" s="96" t="s">
        <v>684</v>
      </c>
      <c r="AB205" s="96" t="s">
        <v>110</v>
      </c>
      <c r="AC205" s="96" t="s">
        <v>685</v>
      </c>
      <c r="AD205" s="96" t="s">
        <v>686</v>
      </c>
      <c r="AE205" s="96" t="s">
        <v>687</v>
      </c>
      <c r="AF205" s="96" t="s">
        <v>688</v>
      </c>
      <c r="AG205" s="96" t="s">
        <v>110</v>
      </c>
      <c r="AH205" s="96">
        <v>2687</v>
      </c>
      <c r="AI205" s="96" t="s">
        <v>689</v>
      </c>
      <c r="AJ205" s="96" t="s">
        <v>690</v>
      </c>
      <c r="AK205" s="58" t="s">
        <v>110</v>
      </c>
    </row>
    <row r="206" spans="1:37">
      <c r="A206" s="70">
        <v>201</v>
      </c>
      <c r="B206" s="70">
        <f t="shared" si="9"/>
        <v>0</v>
      </c>
      <c r="C206" s="71"/>
      <c r="D206" s="59" t="s">
        <v>92</v>
      </c>
      <c r="E206" s="60">
        <v>14556</v>
      </c>
      <c r="F206" s="10" t="s">
        <v>319</v>
      </c>
      <c r="G206" s="60">
        <v>601</v>
      </c>
      <c r="H206" s="81">
        <v>1579</v>
      </c>
      <c r="I206" s="86">
        <v>1313</v>
      </c>
      <c r="J206" s="81">
        <v>1579</v>
      </c>
      <c r="K206" s="86">
        <v>1313</v>
      </c>
      <c r="L206" s="81">
        <v>297</v>
      </c>
      <c r="M206" s="86">
        <v>345</v>
      </c>
      <c r="N206" s="81">
        <v>190810</v>
      </c>
      <c r="O206" s="86">
        <v>130254</v>
      </c>
      <c r="P206" s="89">
        <f t="shared" si="10"/>
        <v>321</v>
      </c>
      <c r="Q206" s="89">
        <f t="shared" si="11"/>
        <v>160532</v>
      </c>
      <c r="R206" s="96" t="s">
        <v>94</v>
      </c>
      <c r="S206" s="96" t="s">
        <v>320</v>
      </c>
      <c r="T206" s="96" t="s">
        <v>94</v>
      </c>
      <c r="U206" s="96" t="s">
        <v>136</v>
      </c>
      <c r="V206" s="96" t="s">
        <v>94</v>
      </c>
      <c r="W206" s="96" t="s">
        <v>97</v>
      </c>
      <c r="X206" s="96" t="s">
        <v>147</v>
      </c>
      <c r="Y206" s="96" t="s">
        <v>110</v>
      </c>
      <c r="Z206" s="96" t="s">
        <v>148</v>
      </c>
      <c r="AA206" s="96" t="s">
        <v>321</v>
      </c>
      <c r="AB206" s="96" t="s">
        <v>110</v>
      </c>
      <c r="AC206" s="96" t="s">
        <v>322</v>
      </c>
      <c r="AD206" s="96" t="s">
        <v>323</v>
      </c>
      <c r="AE206" s="96" t="s">
        <v>324</v>
      </c>
      <c r="AF206" s="96" t="s">
        <v>325</v>
      </c>
      <c r="AG206" s="96" t="s">
        <v>110</v>
      </c>
      <c r="AH206" s="96">
        <v>2591</v>
      </c>
      <c r="AI206" s="96" t="s">
        <v>326</v>
      </c>
      <c r="AJ206" s="96" t="s">
        <v>327</v>
      </c>
      <c r="AK206" s="58" t="s">
        <v>110</v>
      </c>
    </row>
    <row r="207" spans="1:37">
      <c r="A207" s="70">
        <v>202</v>
      </c>
      <c r="B207" s="70">
        <f t="shared" si="9"/>
        <v>0</v>
      </c>
      <c r="C207" s="71"/>
      <c r="D207" s="59" t="s">
        <v>92</v>
      </c>
      <c r="E207" s="60">
        <v>14758</v>
      </c>
      <c r="F207" s="10" t="s">
        <v>682</v>
      </c>
      <c r="G207" s="60">
        <v>602</v>
      </c>
      <c r="H207" s="81">
        <v>290</v>
      </c>
      <c r="I207" s="86">
        <v>400</v>
      </c>
      <c r="J207" s="81">
        <v>290</v>
      </c>
      <c r="K207" s="86">
        <v>400</v>
      </c>
      <c r="L207" s="81">
        <v>304</v>
      </c>
      <c r="M207" s="86">
        <v>336</v>
      </c>
      <c r="N207" s="81">
        <v>175672</v>
      </c>
      <c r="O207" s="86">
        <v>149786</v>
      </c>
      <c r="P207" s="89">
        <f t="shared" si="10"/>
        <v>320</v>
      </c>
      <c r="Q207" s="89">
        <f t="shared" si="11"/>
        <v>162729</v>
      </c>
      <c r="R207" s="96" t="s">
        <v>94</v>
      </c>
      <c r="S207" s="96" t="s">
        <v>683</v>
      </c>
      <c r="T207" s="96" t="s">
        <v>94</v>
      </c>
      <c r="U207" s="96" t="s">
        <v>136</v>
      </c>
      <c r="V207" s="96" t="s">
        <v>94</v>
      </c>
      <c r="W207" s="96" t="s">
        <v>97</v>
      </c>
      <c r="X207" s="96" t="s">
        <v>500</v>
      </c>
      <c r="Y207" s="96" t="s">
        <v>110</v>
      </c>
      <c r="Z207" s="96" t="s">
        <v>110</v>
      </c>
      <c r="AA207" s="96" t="s">
        <v>684</v>
      </c>
      <c r="AB207" s="96" t="s">
        <v>110</v>
      </c>
      <c r="AC207" s="96" t="s">
        <v>685</v>
      </c>
      <c r="AD207" s="96" t="s">
        <v>686</v>
      </c>
      <c r="AE207" s="96" t="s">
        <v>687</v>
      </c>
      <c r="AF207" s="96" t="s">
        <v>688</v>
      </c>
      <c r="AG207" s="96" t="s">
        <v>110</v>
      </c>
      <c r="AH207" s="96">
        <v>2687</v>
      </c>
      <c r="AI207" s="96" t="s">
        <v>689</v>
      </c>
      <c r="AJ207" s="96" t="s">
        <v>690</v>
      </c>
      <c r="AK207" s="58" t="s">
        <v>110</v>
      </c>
    </row>
    <row r="208" spans="1:37">
      <c r="A208" s="70">
        <v>203</v>
      </c>
      <c r="B208" s="70">
        <f t="shared" si="9"/>
        <v>0</v>
      </c>
      <c r="C208" s="71"/>
      <c r="D208" s="59" t="s">
        <v>92</v>
      </c>
      <c r="E208" s="60">
        <v>14758</v>
      </c>
      <c r="F208" s="10" t="s">
        <v>682</v>
      </c>
      <c r="G208" s="60">
        <v>604</v>
      </c>
      <c r="H208" s="81">
        <v>290</v>
      </c>
      <c r="I208" s="86">
        <v>400</v>
      </c>
      <c r="J208" s="81">
        <v>290</v>
      </c>
      <c r="K208" s="86">
        <v>400</v>
      </c>
      <c r="L208" s="81">
        <v>306</v>
      </c>
      <c r="M208" s="86">
        <v>333</v>
      </c>
      <c r="N208" s="81">
        <v>170898</v>
      </c>
      <c r="O208" s="86">
        <v>155526</v>
      </c>
      <c r="P208" s="89">
        <f t="shared" si="10"/>
        <v>319.5</v>
      </c>
      <c r="Q208" s="89">
        <f t="shared" si="11"/>
        <v>163212</v>
      </c>
      <c r="R208" s="96" t="s">
        <v>94</v>
      </c>
      <c r="S208" s="96" t="s">
        <v>683</v>
      </c>
      <c r="T208" s="96" t="s">
        <v>94</v>
      </c>
      <c r="U208" s="96" t="s">
        <v>136</v>
      </c>
      <c r="V208" s="96" t="s">
        <v>94</v>
      </c>
      <c r="W208" s="96" t="s">
        <v>97</v>
      </c>
      <c r="X208" s="96" t="s">
        <v>500</v>
      </c>
      <c r="Y208" s="96" t="s">
        <v>110</v>
      </c>
      <c r="Z208" s="96" t="s">
        <v>110</v>
      </c>
      <c r="AA208" s="96" t="s">
        <v>684</v>
      </c>
      <c r="AB208" s="96" t="s">
        <v>110</v>
      </c>
      <c r="AC208" s="96" t="s">
        <v>685</v>
      </c>
      <c r="AD208" s="96" t="s">
        <v>686</v>
      </c>
      <c r="AE208" s="96" t="s">
        <v>687</v>
      </c>
      <c r="AF208" s="96" t="s">
        <v>688</v>
      </c>
      <c r="AG208" s="96" t="s">
        <v>110</v>
      </c>
      <c r="AH208" s="96">
        <v>2687</v>
      </c>
      <c r="AI208" s="96" t="s">
        <v>689</v>
      </c>
      <c r="AJ208" s="96" t="s">
        <v>690</v>
      </c>
      <c r="AK208" s="58" t="s">
        <v>110</v>
      </c>
    </row>
    <row r="209" spans="1:37">
      <c r="A209" s="70">
        <v>204</v>
      </c>
      <c r="B209" s="70">
        <f t="shared" si="9"/>
        <v>0</v>
      </c>
      <c r="C209" s="71"/>
      <c r="D209" s="59" t="s">
        <v>92</v>
      </c>
      <c r="E209" s="60">
        <v>14667</v>
      </c>
      <c r="F209" s="10" t="s">
        <v>626</v>
      </c>
      <c r="G209" s="60">
        <v>604</v>
      </c>
      <c r="H209" s="81">
        <v>120</v>
      </c>
      <c r="I209" s="86">
        <v>165</v>
      </c>
      <c r="J209" s="81">
        <v>120</v>
      </c>
      <c r="K209" s="86">
        <v>165</v>
      </c>
      <c r="L209" s="81">
        <v>306</v>
      </c>
      <c r="M209" s="86">
        <v>332</v>
      </c>
      <c r="N209" s="81">
        <v>170821</v>
      </c>
      <c r="O209" s="86">
        <v>157703</v>
      </c>
      <c r="P209" s="89">
        <f t="shared" si="10"/>
        <v>319</v>
      </c>
      <c r="Q209" s="89">
        <f t="shared" si="11"/>
        <v>164262</v>
      </c>
      <c r="R209" s="96" t="s">
        <v>94</v>
      </c>
      <c r="S209" s="96" t="s">
        <v>499</v>
      </c>
      <c r="T209" s="96" t="s">
        <v>94</v>
      </c>
      <c r="U209" s="96" t="s">
        <v>136</v>
      </c>
      <c r="V209" s="96" t="s">
        <v>94</v>
      </c>
      <c r="W209" s="96" t="s">
        <v>97</v>
      </c>
      <c r="X209" s="96" t="s">
        <v>500</v>
      </c>
      <c r="Y209" s="96" t="s">
        <v>382</v>
      </c>
      <c r="Z209" s="96" t="s">
        <v>110</v>
      </c>
      <c r="AA209" s="96" t="s">
        <v>627</v>
      </c>
      <c r="AB209" s="96" t="s">
        <v>110</v>
      </c>
      <c r="AC209" s="96" t="s">
        <v>628</v>
      </c>
      <c r="AD209" s="96" t="s">
        <v>629</v>
      </c>
      <c r="AE209" s="96" t="s">
        <v>630</v>
      </c>
      <c r="AF209" s="96" t="s">
        <v>631</v>
      </c>
      <c r="AG209" s="96" t="s">
        <v>110</v>
      </c>
      <c r="AH209" s="96">
        <v>1912</v>
      </c>
      <c r="AI209" s="96" t="s">
        <v>632</v>
      </c>
      <c r="AJ209" s="96" t="s">
        <v>633</v>
      </c>
      <c r="AK209" s="58" t="s">
        <v>110</v>
      </c>
    </row>
    <row r="210" spans="1:37">
      <c r="A210" s="70">
        <v>205</v>
      </c>
      <c r="B210" s="70">
        <f t="shared" si="9"/>
        <v>0</v>
      </c>
      <c r="C210" s="71"/>
      <c r="D210" s="59" t="s">
        <v>92</v>
      </c>
      <c r="E210" s="60">
        <v>13712</v>
      </c>
      <c r="F210" s="10" t="s">
        <v>600</v>
      </c>
      <c r="G210" s="60">
        <v>601</v>
      </c>
      <c r="H210" s="81">
        <v>105</v>
      </c>
      <c r="I210" s="86">
        <v>110</v>
      </c>
      <c r="J210" s="81">
        <v>105</v>
      </c>
      <c r="K210" s="86">
        <v>110</v>
      </c>
      <c r="L210" s="81">
        <v>302</v>
      </c>
      <c r="M210" s="86">
        <v>334</v>
      </c>
      <c r="N210" s="81">
        <v>180738</v>
      </c>
      <c r="O210" s="86">
        <v>153077</v>
      </c>
      <c r="P210" s="89">
        <f t="shared" si="10"/>
        <v>318</v>
      </c>
      <c r="Q210" s="89">
        <f t="shared" si="11"/>
        <v>166907.5</v>
      </c>
      <c r="R210" s="96" t="s">
        <v>94</v>
      </c>
      <c r="S210" s="96" t="s">
        <v>320</v>
      </c>
      <c r="T210" s="96" t="s">
        <v>94</v>
      </c>
      <c r="U210" s="96" t="s">
        <v>136</v>
      </c>
      <c r="V210" s="96" t="s">
        <v>94</v>
      </c>
      <c r="W210" s="96" t="s">
        <v>97</v>
      </c>
      <c r="X210" s="96" t="s">
        <v>147</v>
      </c>
      <c r="Y210" s="96" t="s">
        <v>110</v>
      </c>
      <c r="Z210" s="96" t="s">
        <v>110</v>
      </c>
      <c r="AA210" s="96" t="s">
        <v>601</v>
      </c>
      <c r="AB210" s="96" t="s">
        <v>602</v>
      </c>
      <c r="AC210" s="96" t="s">
        <v>603</v>
      </c>
      <c r="AD210" s="96" t="s">
        <v>604</v>
      </c>
      <c r="AE210" s="96" t="s">
        <v>605</v>
      </c>
      <c r="AF210" s="96" t="s">
        <v>606</v>
      </c>
      <c r="AG210" s="96" t="s">
        <v>110</v>
      </c>
      <c r="AH210" s="96">
        <v>2152</v>
      </c>
      <c r="AI210" s="96" t="s">
        <v>607</v>
      </c>
      <c r="AJ210" s="96" t="s">
        <v>608</v>
      </c>
      <c r="AK210" s="58" t="s">
        <v>110</v>
      </c>
    </row>
    <row r="211" spans="1:37">
      <c r="A211" s="70">
        <v>206</v>
      </c>
      <c r="B211" s="70">
        <f t="shared" si="9"/>
        <v>0</v>
      </c>
      <c r="C211" s="71"/>
      <c r="D211" s="59" t="s">
        <v>92</v>
      </c>
      <c r="E211" s="60">
        <v>10862</v>
      </c>
      <c r="F211" s="10" t="s">
        <v>278</v>
      </c>
      <c r="G211" s="60">
        <v>611</v>
      </c>
      <c r="H211" s="81">
        <v>45</v>
      </c>
      <c r="I211" s="86">
        <v>20</v>
      </c>
      <c r="J211" s="81">
        <v>45</v>
      </c>
      <c r="K211" s="86">
        <v>20</v>
      </c>
      <c r="L211" s="81">
        <v>308</v>
      </c>
      <c r="M211" s="86">
        <v>328</v>
      </c>
      <c r="N211" s="81">
        <v>167347</v>
      </c>
      <c r="O211" s="86">
        <v>167307</v>
      </c>
      <c r="P211" s="89">
        <f t="shared" si="10"/>
        <v>318</v>
      </c>
      <c r="Q211" s="89">
        <f t="shared" si="11"/>
        <v>167327</v>
      </c>
      <c r="R211" s="96" t="s">
        <v>94</v>
      </c>
      <c r="S211" s="96" t="s">
        <v>124</v>
      </c>
      <c r="T211" s="96" t="s">
        <v>94</v>
      </c>
      <c r="U211" s="96" t="s">
        <v>136</v>
      </c>
      <c r="V211" s="96" t="s">
        <v>94</v>
      </c>
      <c r="W211" s="96" t="s">
        <v>97</v>
      </c>
      <c r="X211" s="96" t="s">
        <v>98</v>
      </c>
      <c r="Y211" s="96" t="s">
        <v>192</v>
      </c>
      <c r="Z211" s="96" t="s">
        <v>193</v>
      </c>
      <c r="AA211" s="96" t="s">
        <v>279</v>
      </c>
      <c r="AB211" s="96" t="s">
        <v>280</v>
      </c>
      <c r="AC211" s="96" t="s">
        <v>281</v>
      </c>
      <c r="AD211" s="96" t="s">
        <v>282</v>
      </c>
      <c r="AE211" s="96" t="s">
        <v>283</v>
      </c>
      <c r="AF211" s="96" t="s">
        <v>284</v>
      </c>
      <c r="AG211" s="96" t="s">
        <v>285</v>
      </c>
      <c r="AH211" s="96">
        <v>1410</v>
      </c>
      <c r="AI211" s="96" t="s">
        <v>286</v>
      </c>
      <c r="AJ211" s="96" t="s">
        <v>287</v>
      </c>
      <c r="AK211" s="58" t="s">
        <v>110</v>
      </c>
    </row>
    <row r="212" spans="1:37">
      <c r="A212" s="70">
        <v>207</v>
      </c>
      <c r="B212" s="70">
        <f t="shared" si="9"/>
        <v>0</v>
      </c>
      <c r="C212" s="71"/>
      <c r="D212" s="59" t="s">
        <v>92</v>
      </c>
      <c r="E212" s="60">
        <v>12060</v>
      </c>
      <c r="F212" s="10" t="s">
        <v>664</v>
      </c>
      <c r="G212" s="60">
        <v>602</v>
      </c>
      <c r="H212" s="81">
        <v>183</v>
      </c>
      <c r="I212" s="86">
        <v>441</v>
      </c>
      <c r="J212" s="81">
        <v>183</v>
      </c>
      <c r="K212" s="86">
        <v>441</v>
      </c>
      <c r="L212" s="81">
        <v>308</v>
      </c>
      <c r="M212" s="86">
        <v>328</v>
      </c>
      <c r="N212" s="81">
        <v>167542</v>
      </c>
      <c r="O212" s="86">
        <v>167118</v>
      </c>
      <c r="P212" s="89">
        <f t="shared" si="10"/>
        <v>318</v>
      </c>
      <c r="Q212" s="89">
        <f t="shared" si="11"/>
        <v>167330</v>
      </c>
      <c r="R212" s="96" t="s">
        <v>94</v>
      </c>
      <c r="S212" s="96" t="s">
        <v>665</v>
      </c>
      <c r="T212" s="96" t="s">
        <v>94</v>
      </c>
      <c r="U212" s="96" t="s">
        <v>136</v>
      </c>
      <c r="V212" s="96" t="s">
        <v>94</v>
      </c>
      <c r="W212" s="96" t="s">
        <v>97</v>
      </c>
      <c r="X212" s="96" t="s">
        <v>500</v>
      </c>
      <c r="Y212" s="96" t="s">
        <v>382</v>
      </c>
      <c r="Z212" s="96" t="s">
        <v>148</v>
      </c>
      <c r="AA212" s="96" t="s">
        <v>666</v>
      </c>
      <c r="AB212" s="96" t="s">
        <v>667</v>
      </c>
      <c r="AC212" s="96" t="s">
        <v>668</v>
      </c>
      <c r="AD212" s="96" t="s">
        <v>669</v>
      </c>
      <c r="AE212" s="96" t="s">
        <v>670</v>
      </c>
      <c r="AF212" s="96" t="s">
        <v>671</v>
      </c>
      <c r="AG212" s="96" t="s">
        <v>110</v>
      </c>
      <c r="AH212" s="96">
        <v>1729</v>
      </c>
      <c r="AI212" s="96" t="s">
        <v>672</v>
      </c>
      <c r="AJ212" s="96" t="s">
        <v>673</v>
      </c>
      <c r="AK212" s="58" t="s">
        <v>110</v>
      </c>
    </row>
    <row r="213" spans="1:37">
      <c r="A213" s="70">
        <v>208</v>
      </c>
      <c r="B213" s="70">
        <f t="shared" si="9"/>
        <v>0</v>
      </c>
      <c r="C213" s="71"/>
      <c r="D213" s="59" t="s">
        <v>92</v>
      </c>
      <c r="E213" s="60">
        <v>12962</v>
      </c>
      <c r="F213" s="10" t="s">
        <v>691</v>
      </c>
      <c r="G213" s="60">
        <v>612</v>
      </c>
      <c r="H213" s="81">
        <v>130</v>
      </c>
      <c r="I213" s="86">
        <v>35</v>
      </c>
      <c r="J213" s="81">
        <v>130</v>
      </c>
      <c r="K213" s="86">
        <v>35</v>
      </c>
      <c r="L213" s="81">
        <v>287</v>
      </c>
      <c r="M213" s="86">
        <v>347</v>
      </c>
      <c r="N213" s="81">
        <v>212146</v>
      </c>
      <c r="O213" s="86">
        <v>125185</v>
      </c>
      <c r="P213" s="89">
        <f t="shared" si="10"/>
        <v>317</v>
      </c>
      <c r="Q213" s="89">
        <f t="shared" si="11"/>
        <v>168665.5</v>
      </c>
      <c r="R213" s="96" t="s">
        <v>94</v>
      </c>
      <c r="S213" s="96" t="s">
        <v>124</v>
      </c>
      <c r="T213" s="96" t="s">
        <v>94</v>
      </c>
      <c r="U213" s="96" t="s">
        <v>136</v>
      </c>
      <c r="V213" s="96" t="s">
        <v>94</v>
      </c>
      <c r="W213" s="96" t="s">
        <v>97</v>
      </c>
      <c r="X213" s="96" t="s">
        <v>98</v>
      </c>
      <c r="Y213" s="96" t="s">
        <v>382</v>
      </c>
      <c r="Z213" s="96" t="s">
        <v>110</v>
      </c>
      <c r="AA213" s="96" t="s">
        <v>692</v>
      </c>
      <c r="AB213" s="96" t="s">
        <v>693</v>
      </c>
      <c r="AC213" s="96" t="s">
        <v>694</v>
      </c>
      <c r="AD213" s="96" t="s">
        <v>695</v>
      </c>
      <c r="AE213" s="96" t="s">
        <v>696</v>
      </c>
      <c r="AF213" s="96" t="s">
        <v>697</v>
      </c>
      <c r="AG213" s="96" t="s">
        <v>698</v>
      </c>
      <c r="AH213" s="96">
        <v>1491</v>
      </c>
      <c r="AI213" s="96" t="s">
        <v>699</v>
      </c>
      <c r="AJ213" s="96" t="s">
        <v>700</v>
      </c>
      <c r="AK213" s="58" t="s">
        <v>110</v>
      </c>
    </row>
    <row r="214" spans="1:37">
      <c r="A214" s="70">
        <v>209</v>
      </c>
      <c r="B214" s="70">
        <f t="shared" si="9"/>
        <v>0</v>
      </c>
      <c r="C214" s="71"/>
      <c r="D214" s="59" t="s">
        <v>92</v>
      </c>
      <c r="E214" s="60">
        <v>14407</v>
      </c>
      <c r="F214" s="10" t="s">
        <v>701</v>
      </c>
      <c r="G214" s="60">
        <v>601</v>
      </c>
      <c r="H214" s="81">
        <v>75</v>
      </c>
      <c r="I214" s="86" t="s">
        <v>110</v>
      </c>
      <c r="J214" s="81">
        <v>75</v>
      </c>
      <c r="K214" s="86" t="s">
        <v>110</v>
      </c>
      <c r="L214" s="81">
        <v>307</v>
      </c>
      <c r="M214" s="86" t="s">
        <v>110</v>
      </c>
      <c r="N214" s="81">
        <v>168672</v>
      </c>
      <c r="O214" s="86" t="s">
        <v>110</v>
      </c>
      <c r="P214" s="89">
        <f t="shared" si="10"/>
        <v>307</v>
      </c>
      <c r="Q214" s="89">
        <f t="shared" si="11"/>
        <v>168672</v>
      </c>
      <c r="R214" s="96" t="s">
        <v>94</v>
      </c>
      <c r="S214" s="96" t="s">
        <v>124</v>
      </c>
      <c r="T214" s="96" t="s">
        <v>94</v>
      </c>
      <c r="U214" s="96" t="s">
        <v>136</v>
      </c>
      <c r="V214" s="96" t="s">
        <v>94</v>
      </c>
      <c r="W214" s="96" t="s">
        <v>97</v>
      </c>
      <c r="X214" s="96" t="s">
        <v>98</v>
      </c>
      <c r="Y214" s="96" t="s">
        <v>110</v>
      </c>
      <c r="Z214" s="96" t="s">
        <v>148</v>
      </c>
      <c r="AA214" s="96" t="s">
        <v>702</v>
      </c>
      <c r="AB214" s="96" t="s">
        <v>110</v>
      </c>
      <c r="AC214" s="96" t="s">
        <v>703</v>
      </c>
      <c r="AD214" s="96" t="s">
        <v>704</v>
      </c>
      <c r="AE214" s="96" t="s">
        <v>705</v>
      </c>
      <c r="AF214" s="96" t="s">
        <v>706</v>
      </c>
      <c r="AG214" s="96" t="s">
        <v>110</v>
      </c>
      <c r="AH214" s="96">
        <v>2265</v>
      </c>
      <c r="AI214" s="96" t="s">
        <v>707</v>
      </c>
      <c r="AJ214" s="96" t="s">
        <v>708</v>
      </c>
      <c r="AK214" s="58" t="s">
        <v>110</v>
      </c>
    </row>
    <row r="215" spans="1:37">
      <c r="A215" s="70">
        <v>210</v>
      </c>
      <c r="B215" s="70">
        <f t="shared" si="9"/>
        <v>0</v>
      </c>
      <c r="C215" s="71"/>
      <c r="D215" s="59" t="s">
        <v>92</v>
      </c>
      <c r="E215" s="60">
        <v>13712</v>
      </c>
      <c r="F215" s="10" t="s">
        <v>600</v>
      </c>
      <c r="G215" s="60">
        <v>602</v>
      </c>
      <c r="H215" s="81">
        <v>112</v>
      </c>
      <c r="I215" s="86">
        <v>170</v>
      </c>
      <c r="J215" s="81">
        <v>112</v>
      </c>
      <c r="K215" s="86">
        <v>170</v>
      </c>
      <c r="L215" s="81">
        <v>299</v>
      </c>
      <c r="M215" s="86">
        <v>334</v>
      </c>
      <c r="N215" s="81">
        <v>187021</v>
      </c>
      <c r="O215" s="86">
        <v>153195</v>
      </c>
      <c r="P215" s="89">
        <f t="shared" si="10"/>
        <v>316.5</v>
      </c>
      <c r="Q215" s="89">
        <f t="shared" si="11"/>
        <v>170108</v>
      </c>
      <c r="R215" s="96" t="s">
        <v>94</v>
      </c>
      <c r="S215" s="96" t="s">
        <v>320</v>
      </c>
      <c r="T215" s="96" t="s">
        <v>94</v>
      </c>
      <c r="U215" s="96" t="s">
        <v>136</v>
      </c>
      <c r="V215" s="96" t="s">
        <v>94</v>
      </c>
      <c r="W215" s="96" t="s">
        <v>97</v>
      </c>
      <c r="X215" s="96" t="s">
        <v>147</v>
      </c>
      <c r="Y215" s="96" t="s">
        <v>110</v>
      </c>
      <c r="Z215" s="96" t="s">
        <v>110</v>
      </c>
      <c r="AA215" s="96" t="s">
        <v>601</v>
      </c>
      <c r="AB215" s="96" t="s">
        <v>602</v>
      </c>
      <c r="AC215" s="96" t="s">
        <v>603</v>
      </c>
      <c r="AD215" s="96" t="s">
        <v>604</v>
      </c>
      <c r="AE215" s="96" t="s">
        <v>605</v>
      </c>
      <c r="AF215" s="96" t="s">
        <v>606</v>
      </c>
      <c r="AG215" s="96" t="s">
        <v>110</v>
      </c>
      <c r="AH215" s="96">
        <v>2152</v>
      </c>
      <c r="AI215" s="96" t="s">
        <v>607</v>
      </c>
      <c r="AJ215" s="96" t="s">
        <v>608</v>
      </c>
      <c r="AK215" s="58" t="s">
        <v>110</v>
      </c>
    </row>
    <row r="216" spans="1:37">
      <c r="A216" s="70">
        <v>211</v>
      </c>
      <c r="B216" s="70">
        <f t="shared" si="9"/>
        <v>0</v>
      </c>
      <c r="C216" s="71"/>
      <c r="D216" s="59" t="s">
        <v>92</v>
      </c>
      <c r="E216" s="60">
        <v>12770</v>
      </c>
      <c r="F216" s="10" t="s">
        <v>446</v>
      </c>
      <c r="G216" s="60">
        <v>605</v>
      </c>
      <c r="H216" s="81">
        <v>513</v>
      </c>
      <c r="I216" s="86" t="s">
        <v>110</v>
      </c>
      <c r="J216" s="81">
        <v>513</v>
      </c>
      <c r="K216" s="86" t="s">
        <v>110</v>
      </c>
      <c r="L216" s="81">
        <v>306</v>
      </c>
      <c r="M216" s="86" t="s">
        <v>110</v>
      </c>
      <c r="N216" s="81">
        <v>170478</v>
      </c>
      <c r="O216" s="86" t="s">
        <v>110</v>
      </c>
      <c r="P216" s="89">
        <f t="shared" si="10"/>
        <v>306</v>
      </c>
      <c r="Q216" s="89">
        <f t="shared" si="11"/>
        <v>170478</v>
      </c>
      <c r="R216" s="96" t="s">
        <v>94</v>
      </c>
      <c r="S216" s="96" t="s">
        <v>447</v>
      </c>
      <c r="T216" s="96" t="s">
        <v>94</v>
      </c>
      <c r="U216" s="96" t="s">
        <v>136</v>
      </c>
      <c r="V216" s="96" t="s">
        <v>94</v>
      </c>
      <c r="W216" s="96" t="s">
        <v>97</v>
      </c>
      <c r="X216" s="96" t="s">
        <v>448</v>
      </c>
      <c r="Y216" s="96" t="s">
        <v>110</v>
      </c>
      <c r="Z216" s="96" t="s">
        <v>110</v>
      </c>
      <c r="AA216" s="96" t="s">
        <v>449</v>
      </c>
      <c r="AB216" s="96" t="s">
        <v>450</v>
      </c>
      <c r="AC216" s="96" t="s">
        <v>451</v>
      </c>
      <c r="AD216" s="96" t="s">
        <v>452</v>
      </c>
      <c r="AE216" s="96" t="s">
        <v>453</v>
      </c>
      <c r="AF216" s="96" t="s">
        <v>454</v>
      </c>
      <c r="AG216" s="96" t="s">
        <v>455</v>
      </c>
      <c r="AH216" s="96">
        <v>2300</v>
      </c>
      <c r="AI216" s="96" t="s">
        <v>456</v>
      </c>
      <c r="AJ216" s="96" t="s">
        <v>457</v>
      </c>
      <c r="AK216" s="58" t="s">
        <v>110</v>
      </c>
    </row>
    <row r="217" spans="1:37">
      <c r="A217" s="70">
        <v>212</v>
      </c>
      <c r="B217" s="70">
        <f t="shared" si="9"/>
        <v>0</v>
      </c>
      <c r="C217" s="71"/>
      <c r="D217" s="59" t="s">
        <v>92</v>
      </c>
      <c r="E217" s="60">
        <v>12956</v>
      </c>
      <c r="F217" s="10" t="s">
        <v>709</v>
      </c>
      <c r="G217" s="60">
        <v>601</v>
      </c>
      <c r="H217" s="81">
        <v>960</v>
      </c>
      <c r="I217" s="86">
        <v>629</v>
      </c>
      <c r="J217" s="81">
        <v>960</v>
      </c>
      <c r="K217" s="86">
        <v>629</v>
      </c>
      <c r="L217" s="81">
        <v>296</v>
      </c>
      <c r="M217" s="86">
        <v>335</v>
      </c>
      <c r="N217" s="81">
        <v>192563</v>
      </c>
      <c r="O217" s="86">
        <v>151444</v>
      </c>
      <c r="P217" s="89">
        <f t="shared" si="10"/>
        <v>315.5</v>
      </c>
      <c r="Q217" s="89">
        <f t="shared" si="11"/>
        <v>172003.5</v>
      </c>
      <c r="R217" s="96" t="s">
        <v>94</v>
      </c>
      <c r="S217" s="96" t="s">
        <v>710</v>
      </c>
      <c r="T217" s="96" t="s">
        <v>94</v>
      </c>
      <c r="U217" s="96" t="s">
        <v>136</v>
      </c>
      <c r="V217" s="96" t="s">
        <v>94</v>
      </c>
      <c r="W217" s="96" t="s">
        <v>97</v>
      </c>
      <c r="X217" s="96" t="s">
        <v>147</v>
      </c>
      <c r="Y217" s="96" t="s">
        <v>110</v>
      </c>
      <c r="Z217" s="96" t="s">
        <v>148</v>
      </c>
      <c r="AA217" s="96" t="s">
        <v>711</v>
      </c>
      <c r="AB217" s="96" t="s">
        <v>110</v>
      </c>
      <c r="AC217" s="96" t="s">
        <v>712</v>
      </c>
      <c r="AD217" s="96" t="s">
        <v>713</v>
      </c>
      <c r="AE217" s="96" t="s">
        <v>714</v>
      </c>
      <c r="AF217" s="96" t="s">
        <v>715</v>
      </c>
      <c r="AG217" s="96" t="s">
        <v>716</v>
      </c>
      <c r="AH217" s="96">
        <v>1835</v>
      </c>
      <c r="AI217" s="96" t="s">
        <v>717</v>
      </c>
      <c r="AJ217" s="96" t="s">
        <v>718</v>
      </c>
      <c r="AK217" s="58" t="s">
        <v>110</v>
      </c>
    </row>
    <row r="218" spans="1:37">
      <c r="A218" s="70">
        <v>213</v>
      </c>
      <c r="B218" s="70">
        <f t="shared" si="9"/>
        <v>0</v>
      </c>
      <c r="C218" s="71"/>
      <c r="D218" s="59" t="s">
        <v>92</v>
      </c>
      <c r="E218" s="60">
        <v>13930</v>
      </c>
      <c r="F218" s="10" t="s">
        <v>525</v>
      </c>
      <c r="G218" s="60">
        <v>602</v>
      </c>
      <c r="H218" s="81">
        <v>10</v>
      </c>
      <c r="I218" s="86">
        <v>70</v>
      </c>
      <c r="J218" s="81">
        <v>10</v>
      </c>
      <c r="K218" s="86">
        <v>70</v>
      </c>
      <c r="L218" s="81">
        <v>302</v>
      </c>
      <c r="M218" s="86">
        <v>329</v>
      </c>
      <c r="N218" s="81">
        <v>180852</v>
      </c>
      <c r="O218" s="86">
        <v>163529</v>
      </c>
      <c r="P218" s="89">
        <f t="shared" si="10"/>
        <v>315.5</v>
      </c>
      <c r="Q218" s="89">
        <f t="shared" si="11"/>
        <v>172190.5</v>
      </c>
      <c r="R218" s="96" t="s">
        <v>94</v>
      </c>
      <c r="S218" s="96" t="s">
        <v>124</v>
      </c>
      <c r="T218" s="96" t="s">
        <v>94</v>
      </c>
      <c r="U218" s="96" t="s">
        <v>136</v>
      </c>
      <c r="V218" s="96" t="s">
        <v>94</v>
      </c>
      <c r="W218" s="96" t="s">
        <v>97</v>
      </c>
      <c r="X218" s="96" t="s">
        <v>98</v>
      </c>
      <c r="Y218" s="96" t="s">
        <v>349</v>
      </c>
      <c r="Z218" s="96" t="s">
        <v>226</v>
      </c>
      <c r="AA218" s="96" t="s">
        <v>526</v>
      </c>
      <c r="AB218" s="96" t="s">
        <v>527</v>
      </c>
      <c r="AC218" s="96" t="s">
        <v>528</v>
      </c>
      <c r="AD218" s="96" t="s">
        <v>529</v>
      </c>
      <c r="AE218" s="96" t="s">
        <v>530</v>
      </c>
      <c r="AF218" s="96" t="s">
        <v>531</v>
      </c>
      <c r="AG218" s="96" t="s">
        <v>110</v>
      </c>
      <c r="AH218" s="96">
        <v>1998</v>
      </c>
      <c r="AI218" s="96" t="s">
        <v>532</v>
      </c>
      <c r="AJ218" s="96" t="s">
        <v>533</v>
      </c>
      <c r="AK218" s="58" t="s">
        <v>110</v>
      </c>
    </row>
    <row r="219" spans="1:37">
      <c r="A219" s="70">
        <v>214</v>
      </c>
      <c r="B219" s="70">
        <f t="shared" si="9"/>
        <v>0</v>
      </c>
      <c r="C219" s="71"/>
      <c r="D219" s="59" t="s">
        <v>92</v>
      </c>
      <c r="E219" s="60">
        <v>13930</v>
      </c>
      <c r="F219" s="10" t="s">
        <v>525</v>
      </c>
      <c r="G219" s="60">
        <v>605</v>
      </c>
      <c r="H219" s="81">
        <v>20</v>
      </c>
      <c r="I219" s="86" t="s">
        <v>110</v>
      </c>
      <c r="J219" s="81">
        <v>20</v>
      </c>
      <c r="K219" s="86" t="s">
        <v>110</v>
      </c>
      <c r="L219" s="81">
        <v>305</v>
      </c>
      <c r="M219" s="86" t="s">
        <v>110</v>
      </c>
      <c r="N219" s="81">
        <v>172797</v>
      </c>
      <c r="O219" s="86" t="s">
        <v>110</v>
      </c>
      <c r="P219" s="89">
        <f t="shared" si="10"/>
        <v>305</v>
      </c>
      <c r="Q219" s="89">
        <f t="shared" si="11"/>
        <v>172797</v>
      </c>
      <c r="R219" s="96" t="s">
        <v>94</v>
      </c>
      <c r="S219" s="96" t="s">
        <v>124</v>
      </c>
      <c r="T219" s="96" t="s">
        <v>94</v>
      </c>
      <c r="U219" s="96" t="s">
        <v>136</v>
      </c>
      <c r="V219" s="96" t="s">
        <v>94</v>
      </c>
      <c r="W219" s="96" t="s">
        <v>97</v>
      </c>
      <c r="X219" s="96" t="s">
        <v>98</v>
      </c>
      <c r="Y219" s="96" t="s">
        <v>349</v>
      </c>
      <c r="Z219" s="96" t="s">
        <v>226</v>
      </c>
      <c r="AA219" s="96" t="s">
        <v>526</v>
      </c>
      <c r="AB219" s="96" t="s">
        <v>527</v>
      </c>
      <c r="AC219" s="96" t="s">
        <v>528</v>
      </c>
      <c r="AD219" s="96" t="s">
        <v>529</v>
      </c>
      <c r="AE219" s="96" t="s">
        <v>530</v>
      </c>
      <c r="AF219" s="96" t="s">
        <v>531</v>
      </c>
      <c r="AG219" s="96" t="s">
        <v>110</v>
      </c>
      <c r="AH219" s="96">
        <v>1998</v>
      </c>
      <c r="AI219" s="96" t="s">
        <v>532</v>
      </c>
      <c r="AJ219" s="96" t="s">
        <v>533</v>
      </c>
      <c r="AK219" s="58" t="s">
        <v>110</v>
      </c>
    </row>
    <row r="220" spans="1:37">
      <c r="A220" s="70">
        <v>215</v>
      </c>
      <c r="B220" s="70">
        <f t="shared" si="9"/>
        <v>0</v>
      </c>
      <c r="C220" s="71"/>
      <c r="D220" s="59" t="s">
        <v>92</v>
      </c>
      <c r="E220" s="60">
        <v>12765</v>
      </c>
      <c r="F220" s="10" t="s">
        <v>644</v>
      </c>
      <c r="G220" s="60">
        <v>604</v>
      </c>
      <c r="H220" s="81">
        <v>120</v>
      </c>
      <c r="I220" s="86" t="s">
        <v>110</v>
      </c>
      <c r="J220" s="81">
        <v>120</v>
      </c>
      <c r="K220" s="86" t="s">
        <v>110</v>
      </c>
      <c r="L220" s="81">
        <v>305</v>
      </c>
      <c r="M220" s="86" t="s">
        <v>110</v>
      </c>
      <c r="N220" s="81">
        <v>173130</v>
      </c>
      <c r="O220" s="86" t="s">
        <v>110</v>
      </c>
      <c r="P220" s="89">
        <f t="shared" si="10"/>
        <v>305</v>
      </c>
      <c r="Q220" s="89">
        <f t="shared" si="11"/>
        <v>173130</v>
      </c>
      <c r="R220" s="96" t="s">
        <v>94</v>
      </c>
      <c r="S220" s="96" t="s">
        <v>645</v>
      </c>
      <c r="T220" s="96" t="s">
        <v>94</v>
      </c>
      <c r="U220" s="96" t="s">
        <v>136</v>
      </c>
      <c r="V220" s="96" t="s">
        <v>94</v>
      </c>
      <c r="W220" s="96" t="s">
        <v>97</v>
      </c>
      <c r="X220" s="96" t="s">
        <v>500</v>
      </c>
      <c r="Y220" s="96" t="s">
        <v>110</v>
      </c>
      <c r="Z220" s="96" t="s">
        <v>148</v>
      </c>
      <c r="AA220" s="96" t="s">
        <v>646</v>
      </c>
      <c r="AB220" s="96" t="s">
        <v>647</v>
      </c>
      <c r="AC220" s="96" t="s">
        <v>648</v>
      </c>
      <c r="AD220" s="96" t="s">
        <v>649</v>
      </c>
      <c r="AE220" s="96" t="s">
        <v>650</v>
      </c>
      <c r="AF220" s="96" t="s">
        <v>651</v>
      </c>
      <c r="AG220" s="96" t="s">
        <v>110</v>
      </c>
      <c r="AH220" s="96">
        <v>2220</v>
      </c>
      <c r="AI220" s="96" t="s">
        <v>652</v>
      </c>
      <c r="AJ220" s="96" t="s">
        <v>653</v>
      </c>
      <c r="AK220" s="58" t="s">
        <v>110</v>
      </c>
    </row>
    <row r="221" spans="1:37">
      <c r="A221" s="70">
        <v>216</v>
      </c>
      <c r="B221" s="70">
        <f t="shared" si="9"/>
        <v>0</v>
      </c>
      <c r="C221" s="71"/>
      <c r="D221" s="59" t="s">
        <v>92</v>
      </c>
      <c r="E221" s="60">
        <v>10861</v>
      </c>
      <c r="F221" s="10" t="s">
        <v>359</v>
      </c>
      <c r="G221" s="60">
        <v>605</v>
      </c>
      <c r="H221" s="81">
        <v>25</v>
      </c>
      <c r="I221" s="86" t="s">
        <v>110</v>
      </c>
      <c r="J221" s="81">
        <v>25</v>
      </c>
      <c r="K221" s="86" t="s">
        <v>110</v>
      </c>
      <c r="L221" s="81">
        <v>305</v>
      </c>
      <c r="M221" s="86" t="s">
        <v>110</v>
      </c>
      <c r="N221" s="81">
        <v>173732</v>
      </c>
      <c r="O221" s="86" t="s">
        <v>110</v>
      </c>
      <c r="P221" s="89">
        <f t="shared" si="10"/>
        <v>305</v>
      </c>
      <c r="Q221" s="89">
        <f t="shared" si="11"/>
        <v>173732</v>
      </c>
      <c r="R221" s="96" t="s">
        <v>94</v>
      </c>
      <c r="S221" s="96" t="s">
        <v>124</v>
      </c>
      <c r="T221" s="96" t="s">
        <v>94</v>
      </c>
      <c r="U221" s="96" t="s">
        <v>136</v>
      </c>
      <c r="V221" s="96" t="s">
        <v>94</v>
      </c>
      <c r="W221" s="96" t="s">
        <v>97</v>
      </c>
      <c r="X221" s="96" t="s">
        <v>98</v>
      </c>
      <c r="Y221" s="96" t="s">
        <v>360</v>
      </c>
      <c r="Z221" s="96" t="s">
        <v>361</v>
      </c>
      <c r="AA221" s="96" t="s">
        <v>362</v>
      </c>
      <c r="AB221" s="96" t="s">
        <v>363</v>
      </c>
      <c r="AC221" s="96" t="s">
        <v>364</v>
      </c>
      <c r="AD221" s="96" t="s">
        <v>365</v>
      </c>
      <c r="AE221" s="96" t="s">
        <v>366</v>
      </c>
      <c r="AF221" s="96" t="s">
        <v>367</v>
      </c>
      <c r="AG221" s="96" t="s">
        <v>368</v>
      </c>
      <c r="AH221" s="96">
        <v>1765</v>
      </c>
      <c r="AI221" s="96" t="s">
        <v>369</v>
      </c>
      <c r="AJ221" s="96" t="s">
        <v>370</v>
      </c>
      <c r="AK221" s="58" t="s">
        <v>110</v>
      </c>
    </row>
    <row r="222" spans="1:37">
      <c r="A222" s="70">
        <v>217</v>
      </c>
      <c r="B222" s="70">
        <f t="shared" si="9"/>
        <v>0</v>
      </c>
      <c r="C222" s="71"/>
      <c r="D222" s="59" t="s">
        <v>92</v>
      </c>
      <c r="E222" s="60">
        <v>13712</v>
      </c>
      <c r="F222" s="10" t="s">
        <v>600</v>
      </c>
      <c r="G222" s="60">
        <v>607</v>
      </c>
      <c r="H222" s="81">
        <v>145</v>
      </c>
      <c r="I222" s="86">
        <v>145</v>
      </c>
      <c r="J222" s="81">
        <v>145</v>
      </c>
      <c r="K222" s="86">
        <v>145</v>
      </c>
      <c r="L222" s="81">
        <v>299</v>
      </c>
      <c r="M222" s="86">
        <v>330</v>
      </c>
      <c r="N222" s="81">
        <v>185979</v>
      </c>
      <c r="O222" s="86">
        <v>162014</v>
      </c>
      <c r="P222" s="89">
        <f t="shared" si="10"/>
        <v>314.5</v>
      </c>
      <c r="Q222" s="89">
        <f t="shared" si="11"/>
        <v>173996.5</v>
      </c>
      <c r="R222" s="96" t="s">
        <v>94</v>
      </c>
      <c r="S222" s="96" t="s">
        <v>320</v>
      </c>
      <c r="T222" s="96" t="s">
        <v>94</v>
      </c>
      <c r="U222" s="96" t="s">
        <v>136</v>
      </c>
      <c r="V222" s="96" t="s">
        <v>94</v>
      </c>
      <c r="W222" s="96" t="s">
        <v>97</v>
      </c>
      <c r="X222" s="96" t="s">
        <v>147</v>
      </c>
      <c r="Y222" s="96" t="s">
        <v>110</v>
      </c>
      <c r="Z222" s="96" t="s">
        <v>110</v>
      </c>
      <c r="AA222" s="96" t="s">
        <v>601</v>
      </c>
      <c r="AB222" s="96" t="s">
        <v>602</v>
      </c>
      <c r="AC222" s="96" t="s">
        <v>603</v>
      </c>
      <c r="AD222" s="96" t="s">
        <v>604</v>
      </c>
      <c r="AE222" s="96" t="s">
        <v>605</v>
      </c>
      <c r="AF222" s="96" t="s">
        <v>606</v>
      </c>
      <c r="AG222" s="96" t="s">
        <v>110</v>
      </c>
      <c r="AH222" s="96">
        <v>2152</v>
      </c>
      <c r="AI222" s="96" t="s">
        <v>607</v>
      </c>
      <c r="AJ222" s="96" t="s">
        <v>608</v>
      </c>
      <c r="AK222" s="58" t="s">
        <v>110</v>
      </c>
    </row>
    <row r="223" spans="1:37">
      <c r="A223" s="70">
        <v>218</v>
      </c>
      <c r="B223" s="70">
        <f t="shared" si="9"/>
        <v>0</v>
      </c>
      <c r="C223" s="71"/>
      <c r="D223" s="59" t="s">
        <v>92</v>
      </c>
      <c r="E223" s="60">
        <v>14510</v>
      </c>
      <c r="F223" s="10" t="s">
        <v>609</v>
      </c>
      <c r="G223" s="60">
        <v>605</v>
      </c>
      <c r="H223" s="81">
        <v>125</v>
      </c>
      <c r="I223" s="86" t="s">
        <v>110</v>
      </c>
      <c r="J223" s="81">
        <v>125</v>
      </c>
      <c r="K223" s="86" t="s">
        <v>110</v>
      </c>
      <c r="L223" s="81">
        <v>305</v>
      </c>
      <c r="M223" s="86" t="s">
        <v>110</v>
      </c>
      <c r="N223" s="81">
        <v>174403</v>
      </c>
      <c r="O223" s="86" t="s">
        <v>110</v>
      </c>
      <c r="P223" s="89">
        <f t="shared" si="10"/>
        <v>305</v>
      </c>
      <c r="Q223" s="89">
        <f t="shared" si="11"/>
        <v>174403</v>
      </c>
      <c r="R223" s="96" t="s">
        <v>94</v>
      </c>
      <c r="S223" s="96" t="s">
        <v>329</v>
      </c>
      <c r="T223" s="96" t="s">
        <v>94</v>
      </c>
      <c r="U223" s="96" t="s">
        <v>136</v>
      </c>
      <c r="V223" s="96" t="s">
        <v>94</v>
      </c>
      <c r="W223" s="96" t="s">
        <v>97</v>
      </c>
      <c r="X223" s="96" t="s">
        <v>290</v>
      </c>
      <c r="Y223" s="96" t="s">
        <v>110</v>
      </c>
      <c r="Z223" s="96" t="s">
        <v>110</v>
      </c>
      <c r="AA223" s="96" t="s">
        <v>610</v>
      </c>
      <c r="AB223" s="96" t="s">
        <v>110</v>
      </c>
      <c r="AC223" s="96" t="s">
        <v>611</v>
      </c>
      <c r="AD223" s="96" t="s">
        <v>612</v>
      </c>
      <c r="AE223" s="96" t="s">
        <v>613</v>
      </c>
      <c r="AF223" s="96" t="s">
        <v>614</v>
      </c>
      <c r="AG223" s="96" t="s">
        <v>615</v>
      </c>
      <c r="AH223" s="96">
        <v>2357</v>
      </c>
      <c r="AI223" s="96" t="s">
        <v>616</v>
      </c>
      <c r="AJ223" s="96" t="s">
        <v>617</v>
      </c>
      <c r="AK223" s="58" t="s">
        <v>110</v>
      </c>
    </row>
    <row r="224" spans="1:37">
      <c r="A224" s="70">
        <v>219</v>
      </c>
      <c r="B224" s="70">
        <f t="shared" si="9"/>
        <v>0</v>
      </c>
      <c r="C224" s="71"/>
      <c r="D224" s="59" t="s">
        <v>92</v>
      </c>
      <c r="E224" s="60">
        <v>12771</v>
      </c>
      <c r="F224" s="10" t="s">
        <v>719</v>
      </c>
      <c r="G224" s="60">
        <v>601</v>
      </c>
      <c r="H224" s="81">
        <v>1161</v>
      </c>
      <c r="I224" s="86">
        <v>1054</v>
      </c>
      <c r="J224" s="81">
        <v>1161</v>
      </c>
      <c r="K224" s="86">
        <v>1054</v>
      </c>
      <c r="L224" s="81">
        <v>295</v>
      </c>
      <c r="M224" s="86">
        <v>334</v>
      </c>
      <c r="N224" s="81">
        <v>194978</v>
      </c>
      <c r="O224" s="86">
        <v>153920</v>
      </c>
      <c r="P224" s="89">
        <f t="shared" si="10"/>
        <v>314.5</v>
      </c>
      <c r="Q224" s="89">
        <f t="shared" si="11"/>
        <v>174449</v>
      </c>
      <c r="R224" s="96" t="s">
        <v>94</v>
      </c>
      <c r="S224" s="96" t="s">
        <v>720</v>
      </c>
      <c r="T224" s="96" t="s">
        <v>94</v>
      </c>
      <c r="U224" s="96" t="s">
        <v>136</v>
      </c>
      <c r="V224" s="96" t="s">
        <v>94</v>
      </c>
      <c r="W224" s="96" t="s">
        <v>97</v>
      </c>
      <c r="X224" s="96" t="s">
        <v>500</v>
      </c>
      <c r="Y224" s="96" t="s">
        <v>110</v>
      </c>
      <c r="Z224" s="96" t="s">
        <v>110</v>
      </c>
      <c r="AA224" s="96" t="s">
        <v>721</v>
      </c>
      <c r="AB224" s="96" t="s">
        <v>722</v>
      </c>
      <c r="AC224" s="96" t="s">
        <v>723</v>
      </c>
      <c r="AD224" s="96" t="s">
        <v>724</v>
      </c>
      <c r="AE224" s="96" t="s">
        <v>725</v>
      </c>
      <c r="AF224" s="96" t="s">
        <v>726</v>
      </c>
      <c r="AG224" s="96" t="s">
        <v>110</v>
      </c>
      <c r="AH224" s="96">
        <v>1918</v>
      </c>
      <c r="AI224" s="96" t="s">
        <v>727</v>
      </c>
      <c r="AJ224" s="96" t="s">
        <v>728</v>
      </c>
      <c r="AK224" s="58" t="s">
        <v>110</v>
      </c>
    </row>
    <row r="225" spans="1:37">
      <c r="A225" s="70">
        <v>220</v>
      </c>
      <c r="B225" s="70">
        <f t="shared" si="9"/>
        <v>0</v>
      </c>
      <c r="C225" s="71"/>
      <c r="D225" s="59" t="s">
        <v>92</v>
      </c>
      <c r="E225" s="60">
        <v>12770</v>
      </c>
      <c r="F225" s="10" t="s">
        <v>446</v>
      </c>
      <c r="G225" s="60">
        <v>608</v>
      </c>
      <c r="H225" s="81">
        <v>200</v>
      </c>
      <c r="I225" s="86" t="s">
        <v>110</v>
      </c>
      <c r="J225" s="81">
        <v>200</v>
      </c>
      <c r="K225" s="86" t="s">
        <v>110</v>
      </c>
      <c r="L225" s="81">
        <v>304</v>
      </c>
      <c r="M225" s="86" t="s">
        <v>110</v>
      </c>
      <c r="N225" s="81">
        <v>175567</v>
      </c>
      <c r="O225" s="86" t="s">
        <v>110</v>
      </c>
      <c r="P225" s="89">
        <f t="shared" si="10"/>
        <v>304</v>
      </c>
      <c r="Q225" s="89">
        <f t="shared" si="11"/>
        <v>175567</v>
      </c>
      <c r="R225" s="96" t="s">
        <v>94</v>
      </c>
      <c r="S225" s="96" t="s">
        <v>447</v>
      </c>
      <c r="T225" s="96" t="s">
        <v>94</v>
      </c>
      <c r="U225" s="96" t="s">
        <v>136</v>
      </c>
      <c r="V225" s="96" t="s">
        <v>94</v>
      </c>
      <c r="W225" s="96" t="s">
        <v>97</v>
      </c>
      <c r="X225" s="96" t="s">
        <v>448</v>
      </c>
      <c r="Y225" s="96" t="s">
        <v>110</v>
      </c>
      <c r="Z225" s="96" t="s">
        <v>110</v>
      </c>
      <c r="AA225" s="96" t="s">
        <v>449</v>
      </c>
      <c r="AB225" s="96" t="s">
        <v>450</v>
      </c>
      <c r="AC225" s="96" t="s">
        <v>451</v>
      </c>
      <c r="AD225" s="96" t="s">
        <v>452</v>
      </c>
      <c r="AE225" s="96" t="s">
        <v>453</v>
      </c>
      <c r="AF225" s="96" t="s">
        <v>454</v>
      </c>
      <c r="AG225" s="96" t="s">
        <v>455</v>
      </c>
      <c r="AH225" s="96">
        <v>2300</v>
      </c>
      <c r="AI225" s="96" t="s">
        <v>456</v>
      </c>
      <c r="AJ225" s="96" t="s">
        <v>457</v>
      </c>
      <c r="AK225" s="58" t="s">
        <v>110</v>
      </c>
    </row>
    <row r="226" spans="1:37">
      <c r="A226" s="70">
        <v>221</v>
      </c>
      <c r="B226" s="70">
        <f t="shared" si="9"/>
        <v>0</v>
      </c>
      <c r="C226" s="71"/>
      <c r="D226" s="59" t="s">
        <v>92</v>
      </c>
      <c r="E226" s="60">
        <v>13712</v>
      </c>
      <c r="F226" s="10" t="s">
        <v>600</v>
      </c>
      <c r="G226" s="60">
        <v>608</v>
      </c>
      <c r="H226" s="81">
        <v>120</v>
      </c>
      <c r="I226" s="86">
        <v>129</v>
      </c>
      <c r="J226" s="81">
        <v>120</v>
      </c>
      <c r="K226" s="86">
        <v>129</v>
      </c>
      <c r="L226" s="81">
        <v>298</v>
      </c>
      <c r="M226" s="86">
        <v>330</v>
      </c>
      <c r="N226" s="81">
        <v>188146</v>
      </c>
      <c r="O226" s="86">
        <v>163035</v>
      </c>
      <c r="P226" s="89">
        <f t="shared" si="10"/>
        <v>314</v>
      </c>
      <c r="Q226" s="89">
        <f t="shared" si="11"/>
        <v>175590.5</v>
      </c>
      <c r="R226" s="96" t="s">
        <v>94</v>
      </c>
      <c r="S226" s="96" t="s">
        <v>320</v>
      </c>
      <c r="T226" s="96" t="s">
        <v>94</v>
      </c>
      <c r="U226" s="96" t="s">
        <v>136</v>
      </c>
      <c r="V226" s="96" t="s">
        <v>94</v>
      </c>
      <c r="W226" s="96" t="s">
        <v>97</v>
      </c>
      <c r="X226" s="96" t="s">
        <v>147</v>
      </c>
      <c r="Y226" s="96" t="s">
        <v>110</v>
      </c>
      <c r="Z226" s="96" t="s">
        <v>110</v>
      </c>
      <c r="AA226" s="96" t="s">
        <v>601</v>
      </c>
      <c r="AB226" s="96" t="s">
        <v>602</v>
      </c>
      <c r="AC226" s="96" t="s">
        <v>603</v>
      </c>
      <c r="AD226" s="96" t="s">
        <v>604</v>
      </c>
      <c r="AE226" s="96" t="s">
        <v>605</v>
      </c>
      <c r="AF226" s="96" t="s">
        <v>606</v>
      </c>
      <c r="AG226" s="96" t="s">
        <v>110</v>
      </c>
      <c r="AH226" s="96">
        <v>2152</v>
      </c>
      <c r="AI226" s="96" t="s">
        <v>607</v>
      </c>
      <c r="AJ226" s="96" t="s">
        <v>608</v>
      </c>
      <c r="AK226" s="58" t="s">
        <v>110</v>
      </c>
    </row>
    <row r="227" spans="1:37">
      <c r="A227" s="70">
        <v>222</v>
      </c>
      <c r="B227" s="70">
        <f t="shared" si="9"/>
        <v>0</v>
      </c>
      <c r="C227" s="71"/>
      <c r="D227" s="59" t="s">
        <v>92</v>
      </c>
      <c r="E227" s="60">
        <v>12954</v>
      </c>
      <c r="F227" s="10" t="s">
        <v>729</v>
      </c>
      <c r="G227" s="60">
        <v>605</v>
      </c>
      <c r="H227" s="81">
        <v>1183</v>
      </c>
      <c r="I227" s="86">
        <v>2063</v>
      </c>
      <c r="J227" s="81">
        <v>1183</v>
      </c>
      <c r="K227" s="86">
        <v>2063</v>
      </c>
      <c r="L227" s="81">
        <v>299</v>
      </c>
      <c r="M227" s="86">
        <v>329</v>
      </c>
      <c r="N227" s="81">
        <v>186858</v>
      </c>
      <c r="O227" s="86">
        <v>164398</v>
      </c>
      <c r="P227" s="89">
        <f t="shared" si="10"/>
        <v>314</v>
      </c>
      <c r="Q227" s="89">
        <f t="shared" si="11"/>
        <v>175628</v>
      </c>
      <c r="R227" s="96" t="s">
        <v>94</v>
      </c>
      <c r="S227" s="96" t="s">
        <v>730</v>
      </c>
      <c r="T227" s="96" t="s">
        <v>94</v>
      </c>
      <c r="U227" s="96" t="s">
        <v>136</v>
      </c>
      <c r="V227" s="96" t="s">
        <v>94</v>
      </c>
      <c r="W227" s="96" t="s">
        <v>97</v>
      </c>
      <c r="X227" s="96" t="s">
        <v>147</v>
      </c>
      <c r="Y227" s="96" t="s">
        <v>110</v>
      </c>
      <c r="Z227" s="96" t="s">
        <v>148</v>
      </c>
      <c r="AA227" s="96" t="s">
        <v>731</v>
      </c>
      <c r="AB227" s="96" t="s">
        <v>732</v>
      </c>
      <c r="AC227" s="96" t="s">
        <v>733</v>
      </c>
      <c r="AD227" s="96" t="s">
        <v>734</v>
      </c>
      <c r="AE227" s="96" t="s">
        <v>735</v>
      </c>
      <c r="AF227" s="96" t="s">
        <v>736</v>
      </c>
      <c r="AG227" s="96" t="s">
        <v>737</v>
      </c>
      <c r="AH227" s="96">
        <v>1724</v>
      </c>
      <c r="AI227" s="96" t="s">
        <v>738</v>
      </c>
      <c r="AJ227" s="96" t="s">
        <v>739</v>
      </c>
      <c r="AK227" s="58" t="s">
        <v>110</v>
      </c>
    </row>
    <row r="228" spans="1:37">
      <c r="A228" s="70">
        <v>223</v>
      </c>
      <c r="B228" s="70">
        <f t="shared" si="9"/>
        <v>0</v>
      </c>
      <c r="C228" s="71"/>
      <c r="D228" s="59" t="s">
        <v>92</v>
      </c>
      <c r="E228" s="60">
        <v>12765</v>
      </c>
      <c r="F228" s="10" t="s">
        <v>644</v>
      </c>
      <c r="G228" s="60">
        <v>607</v>
      </c>
      <c r="H228" s="81">
        <v>30</v>
      </c>
      <c r="I228" s="86">
        <v>358</v>
      </c>
      <c r="J228" s="81">
        <v>30</v>
      </c>
      <c r="K228" s="86">
        <v>358</v>
      </c>
      <c r="L228" s="81">
        <v>298</v>
      </c>
      <c r="M228" s="86">
        <v>330</v>
      </c>
      <c r="N228" s="81">
        <v>189272</v>
      </c>
      <c r="O228" s="86">
        <v>162851</v>
      </c>
      <c r="P228" s="89">
        <f t="shared" si="10"/>
        <v>314</v>
      </c>
      <c r="Q228" s="89">
        <f t="shared" si="11"/>
        <v>176061.5</v>
      </c>
      <c r="R228" s="96" t="s">
        <v>94</v>
      </c>
      <c r="S228" s="96" t="s">
        <v>645</v>
      </c>
      <c r="T228" s="96" t="s">
        <v>94</v>
      </c>
      <c r="U228" s="96" t="s">
        <v>136</v>
      </c>
      <c r="V228" s="96" t="s">
        <v>94</v>
      </c>
      <c r="W228" s="96" t="s">
        <v>97</v>
      </c>
      <c r="X228" s="96" t="s">
        <v>500</v>
      </c>
      <c r="Y228" s="96" t="s">
        <v>110</v>
      </c>
      <c r="Z228" s="96" t="s">
        <v>148</v>
      </c>
      <c r="AA228" s="96" t="s">
        <v>646</v>
      </c>
      <c r="AB228" s="96" t="s">
        <v>647</v>
      </c>
      <c r="AC228" s="96" t="s">
        <v>648</v>
      </c>
      <c r="AD228" s="96" t="s">
        <v>649</v>
      </c>
      <c r="AE228" s="96" t="s">
        <v>650</v>
      </c>
      <c r="AF228" s="96" t="s">
        <v>651</v>
      </c>
      <c r="AG228" s="96" t="s">
        <v>110</v>
      </c>
      <c r="AH228" s="96">
        <v>2220</v>
      </c>
      <c r="AI228" s="96" t="s">
        <v>652</v>
      </c>
      <c r="AJ228" s="96" t="s">
        <v>653</v>
      </c>
      <c r="AK228" s="58" t="s">
        <v>110</v>
      </c>
    </row>
    <row r="229" spans="1:37">
      <c r="A229" s="70">
        <v>224</v>
      </c>
      <c r="B229" s="70">
        <f t="shared" si="9"/>
        <v>0</v>
      </c>
      <c r="C229" s="71"/>
      <c r="D229" s="59" t="s">
        <v>92</v>
      </c>
      <c r="E229" s="60">
        <v>12322</v>
      </c>
      <c r="F229" s="10" t="s">
        <v>478</v>
      </c>
      <c r="G229" s="60">
        <v>603</v>
      </c>
      <c r="H229" s="81">
        <v>50</v>
      </c>
      <c r="I229" s="86">
        <v>80</v>
      </c>
      <c r="J229" s="81">
        <v>50</v>
      </c>
      <c r="K229" s="86">
        <v>80</v>
      </c>
      <c r="L229" s="81">
        <v>305</v>
      </c>
      <c r="M229" s="86">
        <v>321</v>
      </c>
      <c r="N229" s="81">
        <v>173118</v>
      </c>
      <c r="O229" s="86">
        <v>179972</v>
      </c>
      <c r="P229" s="89">
        <f t="shared" si="10"/>
        <v>313</v>
      </c>
      <c r="Q229" s="89">
        <f t="shared" si="11"/>
        <v>176545</v>
      </c>
      <c r="R229" s="96" t="s">
        <v>94</v>
      </c>
      <c r="S229" s="96" t="s">
        <v>124</v>
      </c>
      <c r="T229" s="96" t="s">
        <v>94</v>
      </c>
      <c r="U229" s="96" t="s">
        <v>136</v>
      </c>
      <c r="V229" s="96" t="s">
        <v>94</v>
      </c>
      <c r="W229" s="96" t="s">
        <v>97</v>
      </c>
      <c r="X229" s="96" t="s">
        <v>98</v>
      </c>
      <c r="Y229" s="96" t="s">
        <v>479</v>
      </c>
      <c r="Z229" s="96" t="s">
        <v>480</v>
      </c>
      <c r="AA229" s="96" t="s">
        <v>481</v>
      </c>
      <c r="AB229" s="96" t="s">
        <v>482</v>
      </c>
      <c r="AC229" s="96" t="s">
        <v>483</v>
      </c>
      <c r="AD229" s="96" t="s">
        <v>484</v>
      </c>
      <c r="AE229" s="96" t="s">
        <v>485</v>
      </c>
      <c r="AF229" s="96" t="s">
        <v>486</v>
      </c>
      <c r="AG229" s="96" t="s">
        <v>487</v>
      </c>
      <c r="AH229" s="96">
        <v>1473</v>
      </c>
      <c r="AI229" s="96" t="s">
        <v>488</v>
      </c>
      <c r="AJ229" s="96" t="s">
        <v>489</v>
      </c>
      <c r="AK229" s="58" t="s">
        <v>110</v>
      </c>
    </row>
    <row r="230" spans="1:37">
      <c r="A230" s="70">
        <v>225</v>
      </c>
      <c r="B230" s="70">
        <f t="shared" si="9"/>
        <v>0</v>
      </c>
      <c r="C230" s="71"/>
      <c r="D230" s="59" t="s">
        <v>92</v>
      </c>
      <c r="E230" s="60">
        <v>14664</v>
      </c>
      <c r="F230" s="10" t="s">
        <v>438</v>
      </c>
      <c r="G230" s="60">
        <v>604</v>
      </c>
      <c r="H230" s="81">
        <v>100</v>
      </c>
      <c r="I230" s="86">
        <v>90</v>
      </c>
      <c r="J230" s="81">
        <v>100</v>
      </c>
      <c r="K230" s="86">
        <v>90</v>
      </c>
      <c r="L230" s="81">
        <v>285</v>
      </c>
      <c r="M230" s="86">
        <v>343</v>
      </c>
      <c r="N230" s="81">
        <v>217967</v>
      </c>
      <c r="O230" s="86">
        <v>135359</v>
      </c>
      <c r="P230" s="89">
        <f t="shared" si="10"/>
        <v>314</v>
      </c>
      <c r="Q230" s="89">
        <f t="shared" si="11"/>
        <v>176663</v>
      </c>
      <c r="R230" s="96" t="s">
        <v>94</v>
      </c>
      <c r="S230" s="96" t="s">
        <v>237</v>
      </c>
      <c r="T230" s="96" t="s">
        <v>94</v>
      </c>
      <c r="U230" s="96" t="s">
        <v>136</v>
      </c>
      <c r="V230" s="96" t="s">
        <v>94</v>
      </c>
      <c r="W230" s="96" t="s">
        <v>97</v>
      </c>
      <c r="X230" s="96" t="s">
        <v>147</v>
      </c>
      <c r="Y230" s="96" t="s">
        <v>110</v>
      </c>
      <c r="Z230" s="96" t="s">
        <v>110</v>
      </c>
      <c r="AA230" s="96" t="s">
        <v>439</v>
      </c>
      <c r="AB230" s="96" t="s">
        <v>110</v>
      </c>
      <c r="AC230" s="96" t="s">
        <v>440</v>
      </c>
      <c r="AD230" s="96" t="s">
        <v>441</v>
      </c>
      <c r="AE230" s="96" t="s">
        <v>442</v>
      </c>
      <c r="AF230" s="96" t="s">
        <v>443</v>
      </c>
      <c r="AG230" s="96" t="s">
        <v>110</v>
      </c>
      <c r="AH230" s="96">
        <v>2851</v>
      </c>
      <c r="AI230" s="96" t="s">
        <v>444</v>
      </c>
      <c r="AJ230" s="96" t="s">
        <v>445</v>
      </c>
      <c r="AK230" s="58" t="s">
        <v>110</v>
      </c>
    </row>
    <row r="231" spans="1:37">
      <c r="A231" s="70">
        <v>226</v>
      </c>
      <c r="B231" s="70">
        <f t="shared" si="9"/>
        <v>0</v>
      </c>
      <c r="C231" s="71"/>
      <c r="D231" s="59" t="s">
        <v>92</v>
      </c>
      <c r="E231" s="60">
        <v>12765</v>
      </c>
      <c r="F231" s="10" t="s">
        <v>644</v>
      </c>
      <c r="G231" s="60">
        <v>612</v>
      </c>
      <c r="H231" s="81">
        <v>190</v>
      </c>
      <c r="I231" s="86" t="s">
        <v>110</v>
      </c>
      <c r="J231" s="81">
        <v>190</v>
      </c>
      <c r="K231" s="86" t="s">
        <v>110</v>
      </c>
      <c r="L231" s="81">
        <v>303</v>
      </c>
      <c r="M231" s="86" t="s">
        <v>110</v>
      </c>
      <c r="N231" s="81">
        <v>177115</v>
      </c>
      <c r="O231" s="86" t="s">
        <v>110</v>
      </c>
      <c r="P231" s="89">
        <f t="shared" si="10"/>
        <v>303</v>
      </c>
      <c r="Q231" s="89">
        <f t="shared" si="11"/>
        <v>177115</v>
      </c>
      <c r="R231" s="96" t="s">
        <v>94</v>
      </c>
      <c r="S231" s="96" t="s">
        <v>645</v>
      </c>
      <c r="T231" s="96" t="s">
        <v>94</v>
      </c>
      <c r="U231" s="96" t="s">
        <v>136</v>
      </c>
      <c r="V231" s="96" t="s">
        <v>94</v>
      </c>
      <c r="W231" s="96" t="s">
        <v>97</v>
      </c>
      <c r="X231" s="96" t="s">
        <v>500</v>
      </c>
      <c r="Y231" s="96" t="s">
        <v>110</v>
      </c>
      <c r="Z231" s="96" t="s">
        <v>148</v>
      </c>
      <c r="AA231" s="96" t="s">
        <v>646</v>
      </c>
      <c r="AB231" s="96" t="s">
        <v>647</v>
      </c>
      <c r="AC231" s="96" t="s">
        <v>648</v>
      </c>
      <c r="AD231" s="96" t="s">
        <v>649</v>
      </c>
      <c r="AE231" s="96" t="s">
        <v>650</v>
      </c>
      <c r="AF231" s="96" t="s">
        <v>651</v>
      </c>
      <c r="AG231" s="96" t="s">
        <v>110</v>
      </c>
      <c r="AH231" s="96">
        <v>2220</v>
      </c>
      <c r="AI231" s="96" t="s">
        <v>652</v>
      </c>
      <c r="AJ231" s="96" t="s">
        <v>653</v>
      </c>
      <c r="AK231" s="58" t="s">
        <v>110</v>
      </c>
    </row>
    <row r="232" spans="1:37">
      <c r="A232" s="70">
        <v>227</v>
      </c>
      <c r="B232" s="70">
        <f t="shared" si="9"/>
        <v>0</v>
      </c>
      <c r="C232" s="71"/>
      <c r="D232" s="59" t="s">
        <v>92</v>
      </c>
      <c r="E232" s="60">
        <v>10862</v>
      </c>
      <c r="F232" s="10" t="s">
        <v>278</v>
      </c>
      <c r="G232" s="60">
        <v>606</v>
      </c>
      <c r="H232" s="81">
        <v>85</v>
      </c>
      <c r="I232" s="86" t="s">
        <v>110</v>
      </c>
      <c r="J232" s="81">
        <v>85</v>
      </c>
      <c r="K232" s="86" t="s">
        <v>110</v>
      </c>
      <c r="L232" s="81">
        <v>303</v>
      </c>
      <c r="M232" s="86" t="s">
        <v>110</v>
      </c>
      <c r="N232" s="81">
        <v>177222</v>
      </c>
      <c r="O232" s="86" t="s">
        <v>110</v>
      </c>
      <c r="P232" s="89">
        <f t="shared" si="10"/>
        <v>303</v>
      </c>
      <c r="Q232" s="89">
        <f t="shared" si="11"/>
        <v>177222</v>
      </c>
      <c r="R232" s="96" t="s">
        <v>94</v>
      </c>
      <c r="S232" s="96" t="s">
        <v>124</v>
      </c>
      <c r="T232" s="96" t="s">
        <v>94</v>
      </c>
      <c r="U232" s="96" t="s">
        <v>136</v>
      </c>
      <c r="V232" s="96" t="s">
        <v>94</v>
      </c>
      <c r="W232" s="96" t="s">
        <v>97</v>
      </c>
      <c r="X232" s="96" t="s">
        <v>98</v>
      </c>
      <c r="Y232" s="96" t="s">
        <v>192</v>
      </c>
      <c r="Z232" s="96" t="s">
        <v>193</v>
      </c>
      <c r="AA232" s="96" t="s">
        <v>279</v>
      </c>
      <c r="AB232" s="96" t="s">
        <v>280</v>
      </c>
      <c r="AC232" s="96" t="s">
        <v>281</v>
      </c>
      <c r="AD232" s="96" t="s">
        <v>282</v>
      </c>
      <c r="AE232" s="96" t="s">
        <v>283</v>
      </c>
      <c r="AF232" s="96" t="s">
        <v>284</v>
      </c>
      <c r="AG232" s="96" t="s">
        <v>285</v>
      </c>
      <c r="AH232" s="96">
        <v>1410</v>
      </c>
      <c r="AI232" s="96" t="s">
        <v>286</v>
      </c>
      <c r="AJ232" s="96" t="s">
        <v>287</v>
      </c>
      <c r="AK232" s="58" t="s">
        <v>110</v>
      </c>
    </row>
    <row r="233" spans="1:37">
      <c r="A233" s="70">
        <v>228</v>
      </c>
      <c r="B233" s="70">
        <f t="shared" si="9"/>
        <v>0</v>
      </c>
      <c r="C233" s="71"/>
      <c r="D233" s="59" t="s">
        <v>92</v>
      </c>
      <c r="E233" s="60">
        <v>14758</v>
      </c>
      <c r="F233" s="10" t="s">
        <v>682</v>
      </c>
      <c r="G233" s="60">
        <v>605</v>
      </c>
      <c r="H233" s="81">
        <v>290</v>
      </c>
      <c r="I233" s="86">
        <v>400</v>
      </c>
      <c r="J233" s="81">
        <v>290</v>
      </c>
      <c r="K233" s="86">
        <v>400</v>
      </c>
      <c r="L233" s="81">
        <v>300</v>
      </c>
      <c r="M233" s="86">
        <v>326</v>
      </c>
      <c r="N233" s="81">
        <v>184673</v>
      </c>
      <c r="O233" s="86">
        <v>171282</v>
      </c>
      <c r="P233" s="89">
        <f t="shared" si="10"/>
        <v>313</v>
      </c>
      <c r="Q233" s="89">
        <f t="shared" si="11"/>
        <v>177977.5</v>
      </c>
      <c r="R233" s="96" t="s">
        <v>94</v>
      </c>
      <c r="S233" s="96" t="s">
        <v>683</v>
      </c>
      <c r="T233" s="96" t="s">
        <v>94</v>
      </c>
      <c r="U233" s="96" t="s">
        <v>136</v>
      </c>
      <c r="V233" s="96" t="s">
        <v>94</v>
      </c>
      <c r="W233" s="96" t="s">
        <v>97</v>
      </c>
      <c r="X233" s="96" t="s">
        <v>500</v>
      </c>
      <c r="Y233" s="96" t="s">
        <v>110</v>
      </c>
      <c r="Z233" s="96" t="s">
        <v>110</v>
      </c>
      <c r="AA233" s="96" t="s">
        <v>684</v>
      </c>
      <c r="AB233" s="96" t="s">
        <v>110</v>
      </c>
      <c r="AC233" s="96" t="s">
        <v>685</v>
      </c>
      <c r="AD233" s="96" t="s">
        <v>686</v>
      </c>
      <c r="AE233" s="96" t="s">
        <v>687</v>
      </c>
      <c r="AF233" s="96" t="s">
        <v>688</v>
      </c>
      <c r="AG233" s="96" t="s">
        <v>110</v>
      </c>
      <c r="AH233" s="96">
        <v>2687</v>
      </c>
      <c r="AI233" s="96" t="s">
        <v>689</v>
      </c>
      <c r="AJ233" s="96" t="s">
        <v>690</v>
      </c>
      <c r="AK233" s="58" t="s">
        <v>110</v>
      </c>
    </row>
    <row r="234" spans="1:37">
      <c r="A234" s="70">
        <v>229</v>
      </c>
      <c r="B234" s="70">
        <f t="shared" si="9"/>
        <v>0</v>
      </c>
      <c r="C234" s="71"/>
      <c r="D234" s="59" t="s">
        <v>92</v>
      </c>
      <c r="E234" s="60">
        <v>12770</v>
      </c>
      <c r="F234" s="10" t="s">
        <v>446</v>
      </c>
      <c r="G234" s="60">
        <v>606</v>
      </c>
      <c r="H234" s="81">
        <v>283</v>
      </c>
      <c r="I234" s="86" t="s">
        <v>110</v>
      </c>
      <c r="J234" s="81">
        <v>283</v>
      </c>
      <c r="K234" s="86" t="s">
        <v>110</v>
      </c>
      <c r="L234" s="81">
        <v>303</v>
      </c>
      <c r="M234" s="86" t="s">
        <v>110</v>
      </c>
      <c r="N234" s="81">
        <v>178517</v>
      </c>
      <c r="O234" s="86" t="s">
        <v>110</v>
      </c>
      <c r="P234" s="89">
        <f t="shared" si="10"/>
        <v>303</v>
      </c>
      <c r="Q234" s="89">
        <f t="shared" si="11"/>
        <v>178517</v>
      </c>
      <c r="R234" s="96" t="s">
        <v>94</v>
      </c>
      <c r="S234" s="96" t="s">
        <v>447</v>
      </c>
      <c r="T234" s="96" t="s">
        <v>94</v>
      </c>
      <c r="U234" s="96" t="s">
        <v>136</v>
      </c>
      <c r="V234" s="96" t="s">
        <v>94</v>
      </c>
      <c r="W234" s="96" t="s">
        <v>97</v>
      </c>
      <c r="X234" s="96" t="s">
        <v>448</v>
      </c>
      <c r="Y234" s="96" t="s">
        <v>110</v>
      </c>
      <c r="Z234" s="96" t="s">
        <v>110</v>
      </c>
      <c r="AA234" s="96" t="s">
        <v>449</v>
      </c>
      <c r="AB234" s="96" t="s">
        <v>450</v>
      </c>
      <c r="AC234" s="96" t="s">
        <v>451</v>
      </c>
      <c r="AD234" s="96" t="s">
        <v>452</v>
      </c>
      <c r="AE234" s="96" t="s">
        <v>453</v>
      </c>
      <c r="AF234" s="96" t="s">
        <v>454</v>
      </c>
      <c r="AG234" s="96" t="s">
        <v>455</v>
      </c>
      <c r="AH234" s="96">
        <v>2300</v>
      </c>
      <c r="AI234" s="96" t="s">
        <v>456</v>
      </c>
      <c r="AJ234" s="96" t="s">
        <v>457</v>
      </c>
      <c r="AK234" s="58" t="s">
        <v>110</v>
      </c>
    </row>
    <row r="235" spans="1:37">
      <c r="A235" s="70">
        <v>230</v>
      </c>
      <c r="B235" s="70">
        <f t="shared" si="9"/>
        <v>0</v>
      </c>
      <c r="C235" s="71"/>
      <c r="D235" s="59" t="s">
        <v>92</v>
      </c>
      <c r="E235" s="60">
        <v>13712</v>
      </c>
      <c r="F235" s="10" t="s">
        <v>600</v>
      </c>
      <c r="G235" s="60">
        <v>606</v>
      </c>
      <c r="H235" s="81">
        <v>225</v>
      </c>
      <c r="I235" s="86">
        <v>205</v>
      </c>
      <c r="J235" s="81">
        <v>225</v>
      </c>
      <c r="K235" s="86">
        <v>205</v>
      </c>
      <c r="L235" s="81">
        <v>293</v>
      </c>
      <c r="M235" s="86">
        <v>332</v>
      </c>
      <c r="N235" s="81">
        <v>199157</v>
      </c>
      <c r="O235" s="86">
        <v>158051</v>
      </c>
      <c r="P235" s="89">
        <f t="shared" si="10"/>
        <v>312.5</v>
      </c>
      <c r="Q235" s="89">
        <f t="shared" si="11"/>
        <v>178604</v>
      </c>
      <c r="R235" s="96" t="s">
        <v>94</v>
      </c>
      <c r="S235" s="96" t="s">
        <v>320</v>
      </c>
      <c r="T235" s="96" t="s">
        <v>94</v>
      </c>
      <c r="U235" s="96" t="s">
        <v>136</v>
      </c>
      <c r="V235" s="96" t="s">
        <v>94</v>
      </c>
      <c r="W235" s="96" t="s">
        <v>97</v>
      </c>
      <c r="X235" s="96" t="s">
        <v>147</v>
      </c>
      <c r="Y235" s="96" t="s">
        <v>110</v>
      </c>
      <c r="Z235" s="96" t="s">
        <v>110</v>
      </c>
      <c r="AA235" s="96" t="s">
        <v>601</v>
      </c>
      <c r="AB235" s="96" t="s">
        <v>602</v>
      </c>
      <c r="AC235" s="96" t="s">
        <v>603</v>
      </c>
      <c r="AD235" s="96" t="s">
        <v>604</v>
      </c>
      <c r="AE235" s="96" t="s">
        <v>605</v>
      </c>
      <c r="AF235" s="96" t="s">
        <v>606</v>
      </c>
      <c r="AG235" s="96" t="s">
        <v>110</v>
      </c>
      <c r="AH235" s="96">
        <v>2152</v>
      </c>
      <c r="AI235" s="96" t="s">
        <v>607</v>
      </c>
      <c r="AJ235" s="96" t="s">
        <v>608</v>
      </c>
      <c r="AK235" s="58" t="s">
        <v>110</v>
      </c>
    </row>
    <row r="236" spans="1:37">
      <c r="A236" s="70">
        <v>231</v>
      </c>
      <c r="B236" s="70">
        <f t="shared" si="9"/>
        <v>0</v>
      </c>
      <c r="C236" s="71"/>
      <c r="D236" s="59" t="s">
        <v>92</v>
      </c>
      <c r="E236" s="60">
        <v>12741</v>
      </c>
      <c r="F236" s="10" t="s">
        <v>581</v>
      </c>
      <c r="G236" s="60">
        <v>605</v>
      </c>
      <c r="H236" s="81">
        <v>30</v>
      </c>
      <c r="I236" s="86">
        <v>45</v>
      </c>
      <c r="J236" s="81">
        <v>30</v>
      </c>
      <c r="K236" s="86">
        <v>45</v>
      </c>
      <c r="L236" s="81">
        <v>301</v>
      </c>
      <c r="M236" s="86">
        <v>324</v>
      </c>
      <c r="N236" s="81">
        <v>182899</v>
      </c>
      <c r="O236" s="86">
        <v>174857</v>
      </c>
      <c r="P236" s="89">
        <f t="shared" si="10"/>
        <v>312.5</v>
      </c>
      <c r="Q236" s="89">
        <f t="shared" si="11"/>
        <v>178878</v>
      </c>
      <c r="R236" s="96" t="s">
        <v>94</v>
      </c>
      <c r="S236" s="96" t="s">
        <v>124</v>
      </c>
      <c r="T236" s="96" t="s">
        <v>94</v>
      </c>
      <c r="U236" s="96" t="s">
        <v>136</v>
      </c>
      <c r="V236" s="96" t="s">
        <v>94</v>
      </c>
      <c r="W236" s="96" t="s">
        <v>97</v>
      </c>
      <c r="X236" s="96" t="s">
        <v>98</v>
      </c>
      <c r="Y236" s="96" t="s">
        <v>349</v>
      </c>
      <c r="Z236" s="96" t="s">
        <v>226</v>
      </c>
      <c r="AA236" s="96" t="s">
        <v>582</v>
      </c>
      <c r="AB236" s="96" t="s">
        <v>583</v>
      </c>
      <c r="AC236" s="96" t="s">
        <v>584</v>
      </c>
      <c r="AD236" s="96" t="s">
        <v>585</v>
      </c>
      <c r="AE236" s="96" t="s">
        <v>586</v>
      </c>
      <c r="AF236" s="96" t="s">
        <v>587</v>
      </c>
      <c r="AG236" s="96" t="s">
        <v>588</v>
      </c>
      <c r="AH236" s="96">
        <v>1994</v>
      </c>
      <c r="AI236" s="96" t="s">
        <v>589</v>
      </c>
      <c r="AJ236" s="96" t="s">
        <v>590</v>
      </c>
      <c r="AK236" s="58" t="s">
        <v>110</v>
      </c>
    </row>
    <row r="237" spans="1:37">
      <c r="A237" s="70">
        <v>232</v>
      </c>
      <c r="B237" s="70">
        <f t="shared" si="9"/>
        <v>0</v>
      </c>
      <c r="C237" s="71"/>
      <c r="D237" s="59" t="s">
        <v>92</v>
      </c>
      <c r="E237" s="60">
        <v>12573</v>
      </c>
      <c r="F237" s="10" t="s">
        <v>371</v>
      </c>
      <c r="G237" s="60">
        <v>603</v>
      </c>
      <c r="H237" s="81">
        <v>120</v>
      </c>
      <c r="I237" s="86">
        <v>140</v>
      </c>
      <c r="J237" s="81">
        <v>120</v>
      </c>
      <c r="K237" s="86">
        <v>140</v>
      </c>
      <c r="L237" s="81">
        <v>303</v>
      </c>
      <c r="M237" s="86">
        <v>322</v>
      </c>
      <c r="N237" s="81">
        <v>178985</v>
      </c>
      <c r="O237" s="86">
        <v>179500</v>
      </c>
      <c r="P237" s="89">
        <f t="shared" si="10"/>
        <v>312.5</v>
      </c>
      <c r="Q237" s="89">
        <f t="shared" si="11"/>
        <v>179242.5</v>
      </c>
      <c r="R237" s="96" t="s">
        <v>94</v>
      </c>
      <c r="S237" s="96" t="s">
        <v>124</v>
      </c>
      <c r="T237" s="96" t="s">
        <v>94</v>
      </c>
      <c r="U237" s="96" t="s">
        <v>136</v>
      </c>
      <c r="V237" s="96" t="s">
        <v>94</v>
      </c>
      <c r="W237" s="96" t="s">
        <v>97</v>
      </c>
      <c r="X237" s="96" t="s">
        <v>98</v>
      </c>
      <c r="Y237" s="96" t="s">
        <v>268</v>
      </c>
      <c r="Z237" s="96" t="s">
        <v>257</v>
      </c>
      <c r="AA237" s="96" t="s">
        <v>372</v>
      </c>
      <c r="AB237" s="96" t="s">
        <v>373</v>
      </c>
      <c r="AC237" s="96" t="s">
        <v>374</v>
      </c>
      <c r="AD237" s="96" t="s">
        <v>375</v>
      </c>
      <c r="AE237" s="96" t="s">
        <v>376</v>
      </c>
      <c r="AF237" s="96" t="s">
        <v>377</v>
      </c>
      <c r="AG237" s="96" t="s">
        <v>378</v>
      </c>
      <c r="AH237" s="96">
        <v>1543</v>
      </c>
      <c r="AI237" s="96" t="s">
        <v>379</v>
      </c>
      <c r="AJ237" s="96" t="s">
        <v>380</v>
      </c>
      <c r="AK237" s="27" t="s">
        <v>110</v>
      </c>
    </row>
    <row r="238" spans="1:37">
      <c r="A238" s="70">
        <v>233</v>
      </c>
      <c r="B238" s="70">
        <f t="shared" si="9"/>
        <v>0</v>
      </c>
      <c r="C238" s="71"/>
      <c r="D238" s="59" t="s">
        <v>92</v>
      </c>
      <c r="E238" s="60">
        <v>12958</v>
      </c>
      <c r="F238" s="10" t="s">
        <v>498</v>
      </c>
      <c r="G238" s="60">
        <v>603</v>
      </c>
      <c r="H238" s="81">
        <v>220</v>
      </c>
      <c r="I238" s="86">
        <v>170</v>
      </c>
      <c r="J238" s="81">
        <v>220</v>
      </c>
      <c r="K238" s="86">
        <v>170</v>
      </c>
      <c r="L238" s="81">
        <v>277</v>
      </c>
      <c r="M238" s="86">
        <v>347</v>
      </c>
      <c r="N238" s="81">
        <v>233172</v>
      </c>
      <c r="O238" s="86">
        <v>126190</v>
      </c>
      <c r="P238" s="89">
        <f t="shared" si="10"/>
        <v>312</v>
      </c>
      <c r="Q238" s="89">
        <f t="shared" si="11"/>
        <v>179681</v>
      </c>
      <c r="R238" s="96" t="s">
        <v>94</v>
      </c>
      <c r="S238" s="96" t="s">
        <v>499</v>
      </c>
      <c r="T238" s="96" t="s">
        <v>94</v>
      </c>
      <c r="U238" s="96" t="s">
        <v>136</v>
      </c>
      <c r="V238" s="96" t="s">
        <v>94</v>
      </c>
      <c r="W238" s="96" t="s">
        <v>97</v>
      </c>
      <c r="X238" s="96" t="s">
        <v>500</v>
      </c>
      <c r="Y238" s="96" t="s">
        <v>225</v>
      </c>
      <c r="Z238" s="96" t="s">
        <v>226</v>
      </c>
      <c r="AA238" s="96" t="s">
        <v>501</v>
      </c>
      <c r="AB238" s="96" t="s">
        <v>502</v>
      </c>
      <c r="AC238" s="96" t="s">
        <v>503</v>
      </c>
      <c r="AD238" s="96" t="s">
        <v>504</v>
      </c>
      <c r="AE238" s="96" t="s">
        <v>505</v>
      </c>
      <c r="AF238" s="96" t="s">
        <v>506</v>
      </c>
      <c r="AG238" s="96" t="s">
        <v>507</v>
      </c>
      <c r="AH238" s="96">
        <v>1527</v>
      </c>
      <c r="AI238" s="96" t="s">
        <v>508</v>
      </c>
      <c r="AJ238" s="96" t="s">
        <v>509</v>
      </c>
      <c r="AK238" s="27" t="s">
        <v>110</v>
      </c>
    </row>
    <row r="239" spans="1:37">
      <c r="A239" s="70">
        <v>234</v>
      </c>
      <c r="B239" s="70">
        <f t="shared" si="9"/>
        <v>0</v>
      </c>
      <c r="C239" s="71"/>
      <c r="D239" s="59" t="s">
        <v>92</v>
      </c>
      <c r="E239" s="60">
        <v>14556</v>
      </c>
      <c r="F239" s="10" t="s">
        <v>319</v>
      </c>
      <c r="G239" s="60">
        <v>602</v>
      </c>
      <c r="H239" s="81">
        <v>130</v>
      </c>
      <c r="I239" s="86">
        <v>98</v>
      </c>
      <c r="J239" s="81">
        <v>130</v>
      </c>
      <c r="K239" s="86">
        <v>98</v>
      </c>
      <c r="L239" s="81">
        <v>299</v>
      </c>
      <c r="M239" s="86">
        <v>325</v>
      </c>
      <c r="N239" s="81">
        <v>187682</v>
      </c>
      <c r="O239" s="86">
        <v>172242</v>
      </c>
      <c r="P239" s="89">
        <f t="shared" si="10"/>
        <v>312</v>
      </c>
      <c r="Q239" s="89">
        <f t="shared" si="11"/>
        <v>179962</v>
      </c>
      <c r="R239" s="96" t="s">
        <v>94</v>
      </c>
      <c r="S239" s="96" t="s">
        <v>320</v>
      </c>
      <c r="T239" s="96" t="s">
        <v>94</v>
      </c>
      <c r="U239" s="96" t="s">
        <v>136</v>
      </c>
      <c r="V239" s="96" t="s">
        <v>94</v>
      </c>
      <c r="W239" s="96" t="s">
        <v>97</v>
      </c>
      <c r="X239" s="96" t="s">
        <v>147</v>
      </c>
      <c r="Y239" s="96" t="s">
        <v>110</v>
      </c>
      <c r="Z239" s="96" t="s">
        <v>148</v>
      </c>
      <c r="AA239" s="96" t="s">
        <v>321</v>
      </c>
      <c r="AB239" s="96" t="s">
        <v>110</v>
      </c>
      <c r="AC239" s="96" t="s">
        <v>322</v>
      </c>
      <c r="AD239" s="96" t="s">
        <v>323</v>
      </c>
      <c r="AE239" s="96" t="s">
        <v>324</v>
      </c>
      <c r="AF239" s="96" t="s">
        <v>325</v>
      </c>
      <c r="AG239" s="96" t="s">
        <v>110</v>
      </c>
      <c r="AH239" s="96">
        <v>2591</v>
      </c>
      <c r="AI239" s="96" t="s">
        <v>326</v>
      </c>
      <c r="AJ239" s="96" t="s">
        <v>327</v>
      </c>
      <c r="AK239" s="27" t="s">
        <v>110</v>
      </c>
    </row>
    <row r="240" spans="1:37">
      <c r="A240" s="70">
        <v>235</v>
      </c>
      <c r="B240" s="70">
        <f t="shared" si="9"/>
        <v>0</v>
      </c>
      <c r="C240" s="71"/>
      <c r="D240" s="59" t="s">
        <v>92</v>
      </c>
      <c r="E240" s="60">
        <v>10862</v>
      </c>
      <c r="F240" s="10" t="s">
        <v>278</v>
      </c>
      <c r="G240" s="60">
        <v>613</v>
      </c>
      <c r="H240" s="81">
        <v>56</v>
      </c>
      <c r="I240" s="86" t="s">
        <v>110</v>
      </c>
      <c r="J240" s="81">
        <v>56</v>
      </c>
      <c r="K240" s="86" t="s">
        <v>110</v>
      </c>
      <c r="L240" s="81">
        <v>302</v>
      </c>
      <c r="M240" s="86" t="s">
        <v>110</v>
      </c>
      <c r="N240" s="81">
        <v>180054</v>
      </c>
      <c r="O240" s="86" t="s">
        <v>110</v>
      </c>
      <c r="P240" s="89">
        <f t="shared" si="10"/>
        <v>302</v>
      </c>
      <c r="Q240" s="89">
        <f t="shared" si="11"/>
        <v>180054</v>
      </c>
      <c r="R240" s="96" t="s">
        <v>94</v>
      </c>
      <c r="S240" s="96" t="s">
        <v>124</v>
      </c>
      <c r="T240" s="96" t="s">
        <v>94</v>
      </c>
      <c r="U240" s="96" t="s">
        <v>136</v>
      </c>
      <c r="V240" s="96" t="s">
        <v>94</v>
      </c>
      <c r="W240" s="96" t="s">
        <v>97</v>
      </c>
      <c r="X240" s="96" t="s">
        <v>98</v>
      </c>
      <c r="Y240" s="96" t="s">
        <v>192</v>
      </c>
      <c r="Z240" s="96" t="s">
        <v>193</v>
      </c>
      <c r="AA240" s="96" t="s">
        <v>279</v>
      </c>
      <c r="AB240" s="96" t="s">
        <v>280</v>
      </c>
      <c r="AC240" s="96" t="s">
        <v>281</v>
      </c>
      <c r="AD240" s="96" t="s">
        <v>282</v>
      </c>
      <c r="AE240" s="96" t="s">
        <v>283</v>
      </c>
      <c r="AF240" s="96" t="s">
        <v>284</v>
      </c>
      <c r="AG240" s="96" t="s">
        <v>285</v>
      </c>
      <c r="AH240" s="96">
        <v>1410</v>
      </c>
      <c r="AI240" s="96" t="s">
        <v>286</v>
      </c>
      <c r="AJ240" s="96" t="s">
        <v>287</v>
      </c>
      <c r="AK240" s="27" t="s">
        <v>110</v>
      </c>
    </row>
    <row r="241" spans="1:37">
      <c r="A241" s="70">
        <v>236</v>
      </c>
      <c r="B241" s="70">
        <f t="shared" si="9"/>
        <v>0</v>
      </c>
      <c r="C241" s="71"/>
      <c r="D241" s="59" t="s">
        <v>92</v>
      </c>
      <c r="E241" s="60">
        <v>50853</v>
      </c>
      <c r="F241" s="10" t="s">
        <v>740</v>
      </c>
      <c r="G241" s="60">
        <v>602</v>
      </c>
      <c r="H241" s="81">
        <v>390</v>
      </c>
      <c r="I241" s="86">
        <v>296</v>
      </c>
      <c r="J241" s="81">
        <v>390</v>
      </c>
      <c r="K241" s="86">
        <v>296</v>
      </c>
      <c r="L241" s="81">
        <v>298</v>
      </c>
      <c r="M241" s="86">
        <v>325</v>
      </c>
      <c r="N241" s="81">
        <v>188300</v>
      </c>
      <c r="O241" s="86">
        <v>173012</v>
      </c>
      <c r="P241" s="89">
        <f t="shared" si="10"/>
        <v>311.5</v>
      </c>
      <c r="Q241" s="89">
        <f t="shared" si="11"/>
        <v>180656</v>
      </c>
      <c r="R241" s="96" t="s">
        <v>94</v>
      </c>
      <c r="S241" s="96" t="s">
        <v>741</v>
      </c>
      <c r="T241" s="96" t="s">
        <v>94</v>
      </c>
      <c r="U241" s="96" t="s">
        <v>136</v>
      </c>
      <c r="V241" s="96" t="s">
        <v>94</v>
      </c>
      <c r="W241" s="96" t="s">
        <v>97</v>
      </c>
      <c r="X241" s="96" t="s">
        <v>147</v>
      </c>
      <c r="Y241" s="96" t="s">
        <v>110</v>
      </c>
      <c r="Z241" s="96" t="s">
        <v>110</v>
      </c>
      <c r="AA241" s="96" t="s">
        <v>742</v>
      </c>
      <c r="AB241" s="96" t="s">
        <v>110</v>
      </c>
      <c r="AC241" s="96" t="s">
        <v>743</v>
      </c>
      <c r="AD241" s="96" t="s">
        <v>744</v>
      </c>
      <c r="AE241" s="96" t="s">
        <v>745</v>
      </c>
      <c r="AF241" s="96" t="s">
        <v>746</v>
      </c>
      <c r="AG241" s="96" t="s">
        <v>110</v>
      </c>
      <c r="AH241" s="96">
        <v>2633</v>
      </c>
      <c r="AI241" s="96" t="s">
        <v>747</v>
      </c>
      <c r="AJ241" s="96" t="s">
        <v>748</v>
      </c>
      <c r="AK241" s="27" t="s">
        <v>110</v>
      </c>
    </row>
    <row r="242" spans="1:37">
      <c r="A242" s="70">
        <v>237</v>
      </c>
      <c r="B242" s="70">
        <f t="shared" si="9"/>
        <v>0</v>
      </c>
      <c r="C242" s="71"/>
      <c r="D242" s="59" t="s">
        <v>92</v>
      </c>
      <c r="E242" s="60">
        <v>10862</v>
      </c>
      <c r="F242" s="10" t="s">
        <v>278</v>
      </c>
      <c r="G242" s="60">
        <v>616</v>
      </c>
      <c r="H242" s="81">
        <v>15</v>
      </c>
      <c r="I242" s="86" t="s">
        <v>110</v>
      </c>
      <c r="J242" s="81">
        <v>15</v>
      </c>
      <c r="K242" s="86" t="s">
        <v>110</v>
      </c>
      <c r="L242" s="81">
        <v>302</v>
      </c>
      <c r="M242" s="86" t="s">
        <v>110</v>
      </c>
      <c r="N242" s="81">
        <v>181372</v>
      </c>
      <c r="O242" s="86" t="s">
        <v>110</v>
      </c>
      <c r="P242" s="89">
        <f t="shared" si="10"/>
        <v>302</v>
      </c>
      <c r="Q242" s="89">
        <f t="shared" si="11"/>
        <v>181372</v>
      </c>
      <c r="R242" s="96" t="s">
        <v>94</v>
      </c>
      <c r="S242" s="96" t="s">
        <v>124</v>
      </c>
      <c r="T242" s="96" t="s">
        <v>94</v>
      </c>
      <c r="U242" s="96" t="s">
        <v>136</v>
      </c>
      <c r="V242" s="96" t="s">
        <v>94</v>
      </c>
      <c r="W242" s="96" t="s">
        <v>97</v>
      </c>
      <c r="X242" s="96" t="s">
        <v>98</v>
      </c>
      <c r="Y242" s="96" t="s">
        <v>192</v>
      </c>
      <c r="Z242" s="96" t="s">
        <v>193</v>
      </c>
      <c r="AA242" s="96" t="s">
        <v>279</v>
      </c>
      <c r="AB242" s="96" t="s">
        <v>280</v>
      </c>
      <c r="AC242" s="96" t="s">
        <v>281</v>
      </c>
      <c r="AD242" s="96" t="s">
        <v>282</v>
      </c>
      <c r="AE242" s="96" t="s">
        <v>283</v>
      </c>
      <c r="AF242" s="96" t="s">
        <v>284</v>
      </c>
      <c r="AG242" s="96" t="s">
        <v>285</v>
      </c>
      <c r="AH242" s="96">
        <v>1410</v>
      </c>
      <c r="AI242" s="96" t="s">
        <v>286</v>
      </c>
      <c r="AJ242" s="96" t="s">
        <v>287</v>
      </c>
      <c r="AK242" s="27" t="s">
        <v>110</v>
      </c>
    </row>
    <row r="243" spans="1:37">
      <c r="A243" s="70">
        <v>238</v>
      </c>
      <c r="B243" s="70">
        <f t="shared" si="9"/>
        <v>0</v>
      </c>
      <c r="C243" s="71"/>
      <c r="D243" s="59" t="s">
        <v>92</v>
      </c>
      <c r="E243" s="60">
        <v>14757</v>
      </c>
      <c r="F243" s="10" t="s">
        <v>749</v>
      </c>
      <c r="G243" s="60">
        <v>601</v>
      </c>
      <c r="H243" s="81">
        <v>600</v>
      </c>
      <c r="I243" s="86">
        <v>213</v>
      </c>
      <c r="J243" s="81">
        <v>600</v>
      </c>
      <c r="K243" s="86">
        <v>213</v>
      </c>
      <c r="L243" s="81">
        <v>257</v>
      </c>
      <c r="M243" s="86">
        <v>360</v>
      </c>
      <c r="N243" s="81">
        <v>272369</v>
      </c>
      <c r="O243" s="86">
        <v>95047</v>
      </c>
      <c r="P243" s="89">
        <f t="shared" si="10"/>
        <v>308.5</v>
      </c>
      <c r="Q243" s="89">
        <f t="shared" si="11"/>
        <v>183708</v>
      </c>
      <c r="R243" s="96" t="s">
        <v>94</v>
      </c>
      <c r="S243" s="96" t="s">
        <v>730</v>
      </c>
      <c r="T243" s="96" t="s">
        <v>94</v>
      </c>
      <c r="U243" s="96" t="s">
        <v>136</v>
      </c>
      <c r="V243" s="96" t="s">
        <v>94</v>
      </c>
      <c r="W243" s="96" t="s">
        <v>97</v>
      </c>
      <c r="X243" s="96" t="s">
        <v>147</v>
      </c>
      <c r="Y243" s="96" t="s">
        <v>110</v>
      </c>
      <c r="Z243" s="96" t="s">
        <v>110</v>
      </c>
      <c r="AA243" s="96" t="s">
        <v>750</v>
      </c>
      <c r="AB243" s="96" t="s">
        <v>110</v>
      </c>
      <c r="AC243" s="96" t="s">
        <v>751</v>
      </c>
      <c r="AD243" s="96" t="s">
        <v>752</v>
      </c>
      <c r="AE243" s="96" t="s">
        <v>753</v>
      </c>
      <c r="AF243" s="96" t="s">
        <v>754</v>
      </c>
      <c r="AG243" s="96" t="s">
        <v>110</v>
      </c>
      <c r="AH243" s="96">
        <v>2686</v>
      </c>
      <c r="AI243" s="96" t="s">
        <v>755</v>
      </c>
      <c r="AJ243" s="96" t="s">
        <v>756</v>
      </c>
      <c r="AK243" s="27" t="s">
        <v>110</v>
      </c>
    </row>
    <row r="244" spans="1:37">
      <c r="A244" s="70">
        <v>239</v>
      </c>
      <c r="B244" s="70">
        <f t="shared" si="9"/>
        <v>0</v>
      </c>
      <c r="C244" s="71"/>
      <c r="D244" s="59" t="s">
        <v>92</v>
      </c>
      <c r="E244" s="60">
        <v>14638</v>
      </c>
      <c r="F244" s="10" t="s">
        <v>674</v>
      </c>
      <c r="G244" s="60">
        <v>602</v>
      </c>
      <c r="H244" s="81">
        <v>1267</v>
      </c>
      <c r="I244" s="86">
        <v>824</v>
      </c>
      <c r="J244" s="81">
        <v>1268</v>
      </c>
      <c r="K244" s="86">
        <v>824</v>
      </c>
      <c r="L244" s="81">
        <v>292</v>
      </c>
      <c r="M244" s="86">
        <v>328</v>
      </c>
      <c r="N244" s="81">
        <v>202092</v>
      </c>
      <c r="O244" s="86">
        <v>166363</v>
      </c>
      <c r="P244" s="89">
        <f t="shared" si="10"/>
        <v>310</v>
      </c>
      <c r="Q244" s="89">
        <f t="shared" si="11"/>
        <v>184227.5</v>
      </c>
      <c r="R244" s="96" t="s">
        <v>94</v>
      </c>
      <c r="S244" s="96" t="s">
        <v>320</v>
      </c>
      <c r="T244" s="96" t="s">
        <v>94</v>
      </c>
      <c r="U244" s="96" t="s">
        <v>136</v>
      </c>
      <c r="V244" s="96" t="s">
        <v>94</v>
      </c>
      <c r="W244" s="96" t="s">
        <v>97</v>
      </c>
      <c r="X244" s="96" t="s">
        <v>147</v>
      </c>
      <c r="Y244" s="96" t="s">
        <v>110</v>
      </c>
      <c r="Z244" s="96" t="s">
        <v>110</v>
      </c>
      <c r="AA244" s="96" t="s">
        <v>675</v>
      </c>
      <c r="AB244" s="96" t="s">
        <v>110</v>
      </c>
      <c r="AC244" s="96" t="s">
        <v>676</v>
      </c>
      <c r="AD244" s="96" t="s">
        <v>677</v>
      </c>
      <c r="AE244" s="96" t="s">
        <v>678</v>
      </c>
      <c r="AF244" s="96" t="s">
        <v>679</v>
      </c>
      <c r="AG244" s="96" t="s">
        <v>110</v>
      </c>
      <c r="AH244" s="96">
        <v>2550</v>
      </c>
      <c r="AI244" s="96" t="s">
        <v>680</v>
      </c>
      <c r="AJ244" s="96" t="s">
        <v>681</v>
      </c>
      <c r="AK244" s="27" t="s">
        <v>110</v>
      </c>
    </row>
    <row r="245" spans="1:37">
      <c r="A245" s="70">
        <v>240</v>
      </c>
      <c r="B245" s="70">
        <f t="shared" si="9"/>
        <v>0</v>
      </c>
      <c r="C245" s="71"/>
      <c r="D245" s="59" t="s">
        <v>92</v>
      </c>
      <c r="E245" s="60">
        <v>12962</v>
      </c>
      <c r="F245" s="10" t="s">
        <v>691</v>
      </c>
      <c r="G245" s="60">
        <v>601</v>
      </c>
      <c r="H245" s="81">
        <v>2711</v>
      </c>
      <c r="I245" s="86">
        <v>2824</v>
      </c>
      <c r="J245" s="81">
        <v>2711</v>
      </c>
      <c r="K245" s="86">
        <v>2825</v>
      </c>
      <c r="L245" s="81">
        <v>270</v>
      </c>
      <c r="M245" s="86">
        <v>347</v>
      </c>
      <c r="N245" s="81">
        <v>247648</v>
      </c>
      <c r="O245" s="86">
        <v>126347</v>
      </c>
      <c r="P245" s="89">
        <f t="shared" si="10"/>
        <v>308.5</v>
      </c>
      <c r="Q245" s="89">
        <f t="shared" si="11"/>
        <v>186997.5</v>
      </c>
      <c r="R245" s="96" t="s">
        <v>94</v>
      </c>
      <c r="S245" s="96" t="s">
        <v>124</v>
      </c>
      <c r="T245" s="96" t="s">
        <v>94</v>
      </c>
      <c r="U245" s="96" t="s">
        <v>136</v>
      </c>
      <c r="V245" s="96" t="s">
        <v>94</v>
      </c>
      <c r="W245" s="96" t="s">
        <v>97</v>
      </c>
      <c r="X245" s="96" t="s">
        <v>98</v>
      </c>
      <c r="Y245" s="96" t="s">
        <v>382</v>
      </c>
      <c r="Z245" s="96" t="s">
        <v>110</v>
      </c>
      <c r="AA245" s="96" t="s">
        <v>692</v>
      </c>
      <c r="AB245" s="96" t="s">
        <v>693</v>
      </c>
      <c r="AC245" s="96" t="s">
        <v>694</v>
      </c>
      <c r="AD245" s="96" t="s">
        <v>695</v>
      </c>
      <c r="AE245" s="96" t="s">
        <v>696</v>
      </c>
      <c r="AF245" s="96" t="s">
        <v>697</v>
      </c>
      <c r="AG245" s="96" t="s">
        <v>698</v>
      </c>
      <c r="AH245" s="96">
        <v>1491</v>
      </c>
      <c r="AI245" s="96" t="s">
        <v>699</v>
      </c>
      <c r="AJ245" s="96" t="s">
        <v>700</v>
      </c>
      <c r="AK245" s="27" t="s">
        <v>110</v>
      </c>
    </row>
    <row r="246" spans="1:37">
      <c r="A246" s="70">
        <v>241</v>
      </c>
      <c r="B246" s="70">
        <f t="shared" si="9"/>
        <v>0</v>
      </c>
      <c r="C246" s="71"/>
      <c r="D246" s="59" t="s">
        <v>92</v>
      </c>
      <c r="E246" s="60">
        <v>13709</v>
      </c>
      <c r="F246" s="10" t="s">
        <v>429</v>
      </c>
      <c r="G246" s="60">
        <v>604</v>
      </c>
      <c r="H246" s="81">
        <v>25</v>
      </c>
      <c r="I246" s="86">
        <v>30</v>
      </c>
      <c r="J246" s="81">
        <v>25</v>
      </c>
      <c r="K246" s="86">
        <v>30</v>
      </c>
      <c r="L246" s="81">
        <v>301</v>
      </c>
      <c r="M246" s="86">
        <v>315</v>
      </c>
      <c r="N246" s="81">
        <v>182676</v>
      </c>
      <c r="O246" s="86">
        <v>192021</v>
      </c>
      <c r="P246" s="89">
        <f t="shared" si="10"/>
        <v>308</v>
      </c>
      <c r="Q246" s="89">
        <f t="shared" si="11"/>
        <v>187348.5</v>
      </c>
      <c r="R246" s="96" t="s">
        <v>94</v>
      </c>
      <c r="S246" s="96" t="s">
        <v>124</v>
      </c>
      <c r="T246" s="96" t="s">
        <v>94</v>
      </c>
      <c r="U246" s="96" t="s">
        <v>136</v>
      </c>
      <c r="V246" s="96" t="s">
        <v>94</v>
      </c>
      <c r="W246" s="96" t="s">
        <v>97</v>
      </c>
      <c r="X246" s="96" t="s">
        <v>98</v>
      </c>
      <c r="Y246" s="96" t="s">
        <v>225</v>
      </c>
      <c r="Z246" s="96" t="s">
        <v>148</v>
      </c>
      <c r="AA246" s="96" t="s">
        <v>430</v>
      </c>
      <c r="AB246" s="96" t="s">
        <v>431</v>
      </c>
      <c r="AC246" s="96" t="s">
        <v>432</v>
      </c>
      <c r="AD246" s="96" t="s">
        <v>433</v>
      </c>
      <c r="AE246" s="96" t="s">
        <v>434</v>
      </c>
      <c r="AF246" s="96" t="s">
        <v>435</v>
      </c>
      <c r="AG246" s="96" t="s">
        <v>110</v>
      </c>
      <c r="AH246" s="96">
        <v>2369</v>
      </c>
      <c r="AI246" s="96" t="s">
        <v>436</v>
      </c>
      <c r="AJ246" s="96" t="s">
        <v>437</v>
      </c>
      <c r="AK246" s="27" t="s">
        <v>110</v>
      </c>
    </row>
    <row r="247" spans="1:37">
      <c r="A247" s="70">
        <v>242</v>
      </c>
      <c r="B247" s="70">
        <f t="shared" si="9"/>
        <v>0</v>
      </c>
      <c r="C247" s="71"/>
      <c r="D247" s="59" t="s">
        <v>92</v>
      </c>
      <c r="E247" s="60">
        <v>14263</v>
      </c>
      <c r="F247" s="10" t="s">
        <v>254</v>
      </c>
      <c r="G247" s="60">
        <v>611</v>
      </c>
      <c r="H247" s="81">
        <v>40</v>
      </c>
      <c r="I247" s="86" t="s">
        <v>110</v>
      </c>
      <c r="J247" s="81">
        <v>40</v>
      </c>
      <c r="K247" s="86" t="s">
        <v>110</v>
      </c>
      <c r="L247" s="81">
        <v>298</v>
      </c>
      <c r="M247" s="86" t="s">
        <v>110</v>
      </c>
      <c r="N247" s="81">
        <v>188880</v>
      </c>
      <c r="O247" s="86" t="s">
        <v>110</v>
      </c>
      <c r="P247" s="89">
        <f t="shared" si="10"/>
        <v>298</v>
      </c>
      <c r="Q247" s="89">
        <f t="shared" si="11"/>
        <v>188880</v>
      </c>
      <c r="R247" s="96" t="s">
        <v>94</v>
      </c>
      <c r="S247" s="96" t="s">
        <v>255</v>
      </c>
      <c r="T247" s="96" t="s">
        <v>94</v>
      </c>
      <c r="U247" s="96" t="s">
        <v>136</v>
      </c>
      <c r="V247" s="96" t="s">
        <v>94</v>
      </c>
      <c r="W247" s="96" t="s">
        <v>97</v>
      </c>
      <c r="X247" s="96" t="s">
        <v>169</v>
      </c>
      <c r="Y247" s="96" t="s">
        <v>256</v>
      </c>
      <c r="Z247" s="96" t="s">
        <v>257</v>
      </c>
      <c r="AA247" s="96" t="s">
        <v>258</v>
      </c>
      <c r="AB247" s="96" t="s">
        <v>259</v>
      </c>
      <c r="AC247" s="96" t="s">
        <v>260</v>
      </c>
      <c r="AD247" s="96" t="s">
        <v>261</v>
      </c>
      <c r="AE247" s="96" t="s">
        <v>262</v>
      </c>
      <c r="AF247" s="96" t="s">
        <v>263</v>
      </c>
      <c r="AG247" s="96" t="s">
        <v>264</v>
      </c>
      <c r="AH247" s="96">
        <v>1642</v>
      </c>
      <c r="AI247" s="96" t="s">
        <v>265</v>
      </c>
      <c r="AJ247" s="96" t="s">
        <v>266</v>
      </c>
      <c r="AK247" s="27" t="s">
        <v>110</v>
      </c>
    </row>
    <row r="248" spans="1:37">
      <c r="A248" s="70">
        <v>243</v>
      </c>
      <c r="B248" s="70">
        <f t="shared" si="9"/>
        <v>0</v>
      </c>
      <c r="C248" s="71"/>
      <c r="D248" s="59" t="s">
        <v>92</v>
      </c>
      <c r="E248" s="60">
        <v>12765</v>
      </c>
      <c r="F248" s="10" t="s">
        <v>644</v>
      </c>
      <c r="G248" s="60">
        <v>613</v>
      </c>
      <c r="H248" s="81">
        <v>50</v>
      </c>
      <c r="I248" s="86" t="s">
        <v>110</v>
      </c>
      <c r="J248" s="81">
        <v>50</v>
      </c>
      <c r="K248" s="86" t="s">
        <v>110</v>
      </c>
      <c r="L248" s="81">
        <v>298</v>
      </c>
      <c r="M248" s="86" t="s">
        <v>110</v>
      </c>
      <c r="N248" s="81">
        <v>189218</v>
      </c>
      <c r="O248" s="86" t="s">
        <v>110</v>
      </c>
      <c r="P248" s="89">
        <f t="shared" si="10"/>
        <v>298</v>
      </c>
      <c r="Q248" s="89">
        <f t="shared" si="11"/>
        <v>189218</v>
      </c>
      <c r="R248" s="96" t="s">
        <v>94</v>
      </c>
      <c r="S248" s="96" t="s">
        <v>645</v>
      </c>
      <c r="T248" s="96" t="s">
        <v>94</v>
      </c>
      <c r="U248" s="96" t="s">
        <v>136</v>
      </c>
      <c r="V248" s="96" t="s">
        <v>94</v>
      </c>
      <c r="W248" s="96" t="s">
        <v>97</v>
      </c>
      <c r="X248" s="96" t="s">
        <v>500</v>
      </c>
      <c r="Y248" s="96" t="s">
        <v>110</v>
      </c>
      <c r="Z248" s="96" t="s">
        <v>148</v>
      </c>
      <c r="AA248" s="96" t="s">
        <v>646</v>
      </c>
      <c r="AB248" s="96" t="s">
        <v>647</v>
      </c>
      <c r="AC248" s="96" t="s">
        <v>648</v>
      </c>
      <c r="AD248" s="96" t="s">
        <v>649</v>
      </c>
      <c r="AE248" s="96" t="s">
        <v>650</v>
      </c>
      <c r="AF248" s="96" t="s">
        <v>651</v>
      </c>
      <c r="AG248" s="96" t="s">
        <v>110</v>
      </c>
      <c r="AH248" s="96">
        <v>2220</v>
      </c>
      <c r="AI248" s="96" t="s">
        <v>652</v>
      </c>
      <c r="AJ248" s="96" t="s">
        <v>653</v>
      </c>
      <c r="AK248" s="27" t="s">
        <v>110</v>
      </c>
    </row>
    <row r="249" spans="1:37">
      <c r="A249" s="70">
        <v>244</v>
      </c>
      <c r="B249" s="70">
        <f t="shared" si="9"/>
        <v>0</v>
      </c>
      <c r="C249" s="71"/>
      <c r="D249" s="59" t="s">
        <v>92</v>
      </c>
      <c r="E249" s="60">
        <v>14587</v>
      </c>
      <c r="F249" s="10" t="s">
        <v>757</v>
      </c>
      <c r="G249" s="60">
        <v>601</v>
      </c>
      <c r="H249" s="81">
        <v>1356</v>
      </c>
      <c r="I249" s="86">
        <v>1674</v>
      </c>
      <c r="J249" s="81">
        <v>1356</v>
      </c>
      <c r="K249" s="86">
        <v>1675</v>
      </c>
      <c r="L249" s="81">
        <v>290</v>
      </c>
      <c r="M249" s="86">
        <v>325</v>
      </c>
      <c r="N249" s="81">
        <v>206409</v>
      </c>
      <c r="O249" s="86">
        <v>172167</v>
      </c>
      <c r="P249" s="89">
        <f t="shared" si="10"/>
        <v>307.5</v>
      </c>
      <c r="Q249" s="89">
        <f t="shared" si="11"/>
        <v>189288</v>
      </c>
      <c r="R249" s="96" t="s">
        <v>94</v>
      </c>
      <c r="S249" s="96" t="s">
        <v>320</v>
      </c>
      <c r="T249" s="96" t="s">
        <v>94</v>
      </c>
      <c r="U249" s="96" t="s">
        <v>136</v>
      </c>
      <c r="V249" s="96" t="s">
        <v>94</v>
      </c>
      <c r="W249" s="96" t="s">
        <v>97</v>
      </c>
      <c r="X249" s="96" t="s">
        <v>147</v>
      </c>
      <c r="Y249" s="96" t="s">
        <v>110</v>
      </c>
      <c r="Z249" s="96" t="s">
        <v>110</v>
      </c>
      <c r="AA249" s="96" t="s">
        <v>758</v>
      </c>
      <c r="AB249" s="96" t="s">
        <v>110</v>
      </c>
      <c r="AC249" s="96" t="s">
        <v>759</v>
      </c>
      <c r="AD249" s="96" t="s">
        <v>760</v>
      </c>
      <c r="AE249" s="96">
        <v>6686618889</v>
      </c>
      <c r="AF249" s="96" t="s">
        <v>761</v>
      </c>
      <c r="AG249" s="96" t="s">
        <v>762</v>
      </c>
      <c r="AH249" s="96">
        <v>2631</v>
      </c>
      <c r="AI249" s="96" t="s">
        <v>763</v>
      </c>
      <c r="AJ249" s="96" t="s">
        <v>764</v>
      </c>
      <c r="AK249" s="27" t="s">
        <v>110</v>
      </c>
    </row>
    <row r="250" spans="1:37">
      <c r="A250" s="70">
        <v>245</v>
      </c>
      <c r="B250" s="70">
        <f t="shared" si="9"/>
        <v>0</v>
      </c>
      <c r="C250" s="71"/>
      <c r="D250" s="59" t="s">
        <v>92</v>
      </c>
      <c r="E250" s="60">
        <v>14587</v>
      </c>
      <c r="F250" s="10" t="s">
        <v>757</v>
      </c>
      <c r="G250" s="60">
        <v>605</v>
      </c>
      <c r="H250" s="81">
        <v>165</v>
      </c>
      <c r="I250" s="86" t="s">
        <v>110</v>
      </c>
      <c r="J250" s="81">
        <v>165</v>
      </c>
      <c r="K250" s="86" t="s">
        <v>110</v>
      </c>
      <c r="L250" s="81">
        <v>297</v>
      </c>
      <c r="M250" s="86" t="s">
        <v>110</v>
      </c>
      <c r="N250" s="81">
        <v>190942</v>
      </c>
      <c r="O250" s="86" t="s">
        <v>110</v>
      </c>
      <c r="P250" s="89">
        <f t="shared" si="10"/>
        <v>297</v>
      </c>
      <c r="Q250" s="89">
        <f t="shared" si="11"/>
        <v>190942</v>
      </c>
      <c r="R250" s="96" t="s">
        <v>94</v>
      </c>
      <c r="S250" s="96" t="s">
        <v>320</v>
      </c>
      <c r="T250" s="96" t="s">
        <v>94</v>
      </c>
      <c r="U250" s="96" t="s">
        <v>136</v>
      </c>
      <c r="V250" s="96" t="s">
        <v>94</v>
      </c>
      <c r="W250" s="96" t="s">
        <v>97</v>
      </c>
      <c r="X250" s="96" t="s">
        <v>147</v>
      </c>
      <c r="Y250" s="96" t="s">
        <v>110</v>
      </c>
      <c r="Z250" s="96" t="s">
        <v>110</v>
      </c>
      <c r="AA250" s="96" t="s">
        <v>758</v>
      </c>
      <c r="AB250" s="96" t="s">
        <v>110</v>
      </c>
      <c r="AC250" s="96" t="s">
        <v>759</v>
      </c>
      <c r="AD250" s="96" t="s">
        <v>760</v>
      </c>
      <c r="AE250" s="96">
        <v>6686618889</v>
      </c>
      <c r="AF250" s="96" t="s">
        <v>761</v>
      </c>
      <c r="AG250" s="96" t="s">
        <v>762</v>
      </c>
      <c r="AH250" s="96">
        <v>2631</v>
      </c>
      <c r="AI250" s="96" t="s">
        <v>763</v>
      </c>
      <c r="AJ250" s="96" t="s">
        <v>764</v>
      </c>
      <c r="AK250" s="27" t="s">
        <v>110</v>
      </c>
    </row>
    <row r="251" spans="1:37">
      <c r="A251" s="70">
        <v>246</v>
      </c>
      <c r="B251" s="70">
        <f t="shared" si="9"/>
        <v>0</v>
      </c>
      <c r="C251" s="71"/>
      <c r="D251" s="59" t="s">
        <v>92</v>
      </c>
      <c r="E251" s="60">
        <v>50853</v>
      </c>
      <c r="F251" s="10" t="s">
        <v>740</v>
      </c>
      <c r="G251" s="60">
        <v>601</v>
      </c>
      <c r="H251" s="81">
        <v>1584</v>
      </c>
      <c r="I251" s="86">
        <v>1682</v>
      </c>
      <c r="J251" s="81">
        <v>1584</v>
      </c>
      <c r="K251" s="86">
        <v>1682</v>
      </c>
      <c r="L251" s="81">
        <v>287</v>
      </c>
      <c r="M251" s="86">
        <v>326</v>
      </c>
      <c r="N251" s="81">
        <v>213246</v>
      </c>
      <c r="O251" s="86">
        <v>169578</v>
      </c>
      <c r="P251" s="89">
        <f t="shared" si="10"/>
        <v>306.5</v>
      </c>
      <c r="Q251" s="89">
        <f t="shared" si="11"/>
        <v>191412</v>
      </c>
      <c r="R251" s="96" t="s">
        <v>94</v>
      </c>
      <c r="S251" s="96" t="s">
        <v>741</v>
      </c>
      <c r="T251" s="96" t="s">
        <v>94</v>
      </c>
      <c r="U251" s="96" t="s">
        <v>136</v>
      </c>
      <c r="V251" s="96" t="s">
        <v>94</v>
      </c>
      <c r="W251" s="96" t="s">
        <v>97</v>
      </c>
      <c r="X251" s="96" t="s">
        <v>147</v>
      </c>
      <c r="Y251" s="96" t="s">
        <v>110</v>
      </c>
      <c r="Z251" s="96" t="s">
        <v>110</v>
      </c>
      <c r="AA251" s="96" t="s">
        <v>742</v>
      </c>
      <c r="AB251" s="96" t="s">
        <v>110</v>
      </c>
      <c r="AC251" s="96" t="s">
        <v>743</v>
      </c>
      <c r="AD251" s="96" t="s">
        <v>744</v>
      </c>
      <c r="AE251" s="96" t="s">
        <v>745</v>
      </c>
      <c r="AF251" s="96" t="s">
        <v>746</v>
      </c>
      <c r="AG251" s="96" t="s">
        <v>110</v>
      </c>
      <c r="AH251" s="96">
        <v>2633</v>
      </c>
      <c r="AI251" s="96" t="s">
        <v>747</v>
      </c>
      <c r="AJ251" s="96" t="s">
        <v>748</v>
      </c>
      <c r="AK251" s="27" t="s">
        <v>110</v>
      </c>
    </row>
    <row r="252" spans="1:37">
      <c r="A252" s="70">
        <v>247</v>
      </c>
      <c r="B252" s="70">
        <f t="shared" si="9"/>
        <v>0</v>
      </c>
      <c r="C252" s="71"/>
      <c r="D252" s="59" t="s">
        <v>92</v>
      </c>
      <c r="E252" s="60">
        <v>12770</v>
      </c>
      <c r="F252" s="10" t="s">
        <v>446</v>
      </c>
      <c r="G252" s="60">
        <v>609</v>
      </c>
      <c r="H252" s="81">
        <v>10</v>
      </c>
      <c r="I252" s="86" t="s">
        <v>110</v>
      </c>
      <c r="J252" s="81">
        <v>10</v>
      </c>
      <c r="K252" s="86" t="s">
        <v>110</v>
      </c>
      <c r="L252" s="81">
        <v>296</v>
      </c>
      <c r="M252" s="86" t="s">
        <v>110</v>
      </c>
      <c r="N252" s="81">
        <v>192637</v>
      </c>
      <c r="O252" s="86" t="s">
        <v>110</v>
      </c>
      <c r="P252" s="89">
        <f t="shared" si="10"/>
        <v>296</v>
      </c>
      <c r="Q252" s="89">
        <f t="shared" si="11"/>
        <v>192637</v>
      </c>
      <c r="R252" s="96" t="s">
        <v>94</v>
      </c>
      <c r="S252" s="96" t="s">
        <v>447</v>
      </c>
      <c r="T252" s="96" t="s">
        <v>94</v>
      </c>
      <c r="U252" s="96" t="s">
        <v>136</v>
      </c>
      <c r="V252" s="96" t="s">
        <v>94</v>
      </c>
      <c r="W252" s="96" t="s">
        <v>97</v>
      </c>
      <c r="X252" s="96" t="s">
        <v>448</v>
      </c>
      <c r="Y252" s="96" t="s">
        <v>110</v>
      </c>
      <c r="Z252" s="96" t="s">
        <v>110</v>
      </c>
      <c r="AA252" s="96" t="s">
        <v>449</v>
      </c>
      <c r="AB252" s="96" t="s">
        <v>450</v>
      </c>
      <c r="AC252" s="96" t="s">
        <v>451</v>
      </c>
      <c r="AD252" s="96" t="s">
        <v>452</v>
      </c>
      <c r="AE252" s="96" t="s">
        <v>453</v>
      </c>
      <c r="AF252" s="96" t="s">
        <v>454</v>
      </c>
      <c r="AG252" s="96" t="s">
        <v>455</v>
      </c>
      <c r="AH252" s="96">
        <v>2300</v>
      </c>
      <c r="AI252" s="96" t="s">
        <v>456</v>
      </c>
      <c r="AJ252" s="96" t="s">
        <v>457</v>
      </c>
      <c r="AK252" s="27" t="s">
        <v>110</v>
      </c>
    </row>
    <row r="253" spans="1:37">
      <c r="A253" s="70">
        <v>248</v>
      </c>
      <c r="B253" s="70">
        <f t="shared" si="9"/>
        <v>0</v>
      </c>
      <c r="C253" s="71"/>
      <c r="D253" s="59" t="s">
        <v>92</v>
      </c>
      <c r="E253" s="60">
        <v>12322</v>
      </c>
      <c r="F253" s="10" t="s">
        <v>478</v>
      </c>
      <c r="G253" s="60">
        <v>604</v>
      </c>
      <c r="H253" s="81">
        <v>20</v>
      </c>
      <c r="I253" s="86">
        <v>10</v>
      </c>
      <c r="J253" s="81">
        <v>20</v>
      </c>
      <c r="K253" s="86">
        <v>10</v>
      </c>
      <c r="L253" s="81">
        <v>292</v>
      </c>
      <c r="M253" s="86">
        <v>319</v>
      </c>
      <c r="N253" s="81">
        <v>201485</v>
      </c>
      <c r="O253" s="86">
        <v>184941</v>
      </c>
      <c r="P253" s="89">
        <f t="shared" si="10"/>
        <v>305.5</v>
      </c>
      <c r="Q253" s="89">
        <f t="shared" si="11"/>
        <v>193213</v>
      </c>
      <c r="R253" s="96" t="s">
        <v>94</v>
      </c>
      <c r="S253" s="96" t="s">
        <v>124</v>
      </c>
      <c r="T253" s="96" t="s">
        <v>94</v>
      </c>
      <c r="U253" s="96" t="s">
        <v>136</v>
      </c>
      <c r="V253" s="96" t="s">
        <v>94</v>
      </c>
      <c r="W253" s="96" t="s">
        <v>97</v>
      </c>
      <c r="X253" s="96" t="s">
        <v>98</v>
      </c>
      <c r="Y253" s="96" t="s">
        <v>479</v>
      </c>
      <c r="Z253" s="96" t="s">
        <v>480</v>
      </c>
      <c r="AA253" s="96" t="s">
        <v>481</v>
      </c>
      <c r="AB253" s="96" t="s">
        <v>482</v>
      </c>
      <c r="AC253" s="96" t="s">
        <v>483</v>
      </c>
      <c r="AD253" s="96" t="s">
        <v>484</v>
      </c>
      <c r="AE253" s="96" t="s">
        <v>485</v>
      </c>
      <c r="AF253" s="96" t="s">
        <v>486</v>
      </c>
      <c r="AG253" s="96" t="s">
        <v>487</v>
      </c>
      <c r="AH253" s="96">
        <v>1473</v>
      </c>
      <c r="AI253" s="96" t="s">
        <v>488</v>
      </c>
      <c r="AJ253" s="96" t="s">
        <v>489</v>
      </c>
      <c r="AK253" s="27" t="s">
        <v>110</v>
      </c>
    </row>
    <row r="254" spans="1:37">
      <c r="A254" s="70">
        <v>249</v>
      </c>
      <c r="B254" s="70">
        <f t="shared" si="9"/>
        <v>0</v>
      </c>
      <c r="C254" s="71"/>
      <c r="D254" s="59" t="s">
        <v>92</v>
      </c>
      <c r="E254" s="60">
        <v>14664</v>
      </c>
      <c r="F254" s="10" t="s">
        <v>438</v>
      </c>
      <c r="G254" s="60">
        <v>602</v>
      </c>
      <c r="H254" s="81">
        <v>105</v>
      </c>
      <c r="I254" s="86">
        <v>105</v>
      </c>
      <c r="J254" s="81">
        <v>105</v>
      </c>
      <c r="K254" s="86">
        <v>105</v>
      </c>
      <c r="L254" s="81">
        <v>277</v>
      </c>
      <c r="M254" s="86">
        <v>334</v>
      </c>
      <c r="N254" s="81">
        <v>234515</v>
      </c>
      <c r="O254" s="86">
        <v>153242</v>
      </c>
      <c r="P254" s="89">
        <f t="shared" si="10"/>
        <v>305.5</v>
      </c>
      <c r="Q254" s="89">
        <f t="shared" si="11"/>
        <v>193878.5</v>
      </c>
      <c r="R254" s="96" t="s">
        <v>94</v>
      </c>
      <c r="S254" s="96" t="s">
        <v>237</v>
      </c>
      <c r="T254" s="96" t="s">
        <v>94</v>
      </c>
      <c r="U254" s="96" t="s">
        <v>136</v>
      </c>
      <c r="V254" s="96" t="s">
        <v>94</v>
      </c>
      <c r="W254" s="96" t="s">
        <v>97</v>
      </c>
      <c r="X254" s="96" t="s">
        <v>147</v>
      </c>
      <c r="Y254" s="96" t="s">
        <v>110</v>
      </c>
      <c r="Z254" s="96" t="s">
        <v>110</v>
      </c>
      <c r="AA254" s="96" t="s">
        <v>439</v>
      </c>
      <c r="AB254" s="96" t="s">
        <v>110</v>
      </c>
      <c r="AC254" s="96" t="s">
        <v>440</v>
      </c>
      <c r="AD254" s="96" t="s">
        <v>441</v>
      </c>
      <c r="AE254" s="96" t="s">
        <v>442</v>
      </c>
      <c r="AF254" s="96" t="s">
        <v>443</v>
      </c>
      <c r="AG254" s="96" t="s">
        <v>110</v>
      </c>
      <c r="AH254" s="96">
        <v>2851</v>
      </c>
      <c r="AI254" s="96" t="s">
        <v>444</v>
      </c>
      <c r="AJ254" s="96" t="s">
        <v>445</v>
      </c>
      <c r="AK254" s="27" t="s">
        <v>110</v>
      </c>
    </row>
    <row r="255" spans="1:37">
      <c r="A255" s="70">
        <v>250</v>
      </c>
      <c r="B255" s="70">
        <f t="shared" si="9"/>
        <v>0</v>
      </c>
      <c r="C255" s="71"/>
      <c r="D255" s="59" t="s">
        <v>92</v>
      </c>
      <c r="E255" s="60">
        <v>12742</v>
      </c>
      <c r="F255" s="10" t="s">
        <v>469</v>
      </c>
      <c r="G255" s="60">
        <v>605</v>
      </c>
      <c r="H255" s="81">
        <v>155</v>
      </c>
      <c r="I255" s="86" t="s">
        <v>110</v>
      </c>
      <c r="J255" s="81">
        <v>155</v>
      </c>
      <c r="K255" s="86" t="s">
        <v>110</v>
      </c>
      <c r="L255" s="81">
        <v>296</v>
      </c>
      <c r="M255" s="86" t="s">
        <v>110</v>
      </c>
      <c r="N255" s="81">
        <v>194247</v>
      </c>
      <c r="O255" s="86" t="s">
        <v>110</v>
      </c>
      <c r="P255" s="89">
        <f t="shared" si="10"/>
        <v>296</v>
      </c>
      <c r="Q255" s="89">
        <f t="shared" si="11"/>
        <v>194247</v>
      </c>
      <c r="R255" s="96" t="s">
        <v>94</v>
      </c>
      <c r="S255" s="96" t="s">
        <v>124</v>
      </c>
      <c r="T255" s="96" t="s">
        <v>94</v>
      </c>
      <c r="U255" s="96" t="s">
        <v>136</v>
      </c>
      <c r="V255" s="96" t="s">
        <v>94</v>
      </c>
      <c r="W255" s="96" t="s">
        <v>97</v>
      </c>
      <c r="X255" s="96" t="s">
        <v>98</v>
      </c>
      <c r="Y255" s="96" t="s">
        <v>110</v>
      </c>
      <c r="Z255" s="96" t="s">
        <v>110</v>
      </c>
      <c r="AA255" s="96" t="s">
        <v>470</v>
      </c>
      <c r="AB255" s="96" t="s">
        <v>471</v>
      </c>
      <c r="AC255" s="96" t="s">
        <v>472</v>
      </c>
      <c r="AD255" s="96" t="s">
        <v>473</v>
      </c>
      <c r="AE255" s="96" t="s">
        <v>474</v>
      </c>
      <c r="AF255" s="96" t="s">
        <v>475</v>
      </c>
      <c r="AG255" s="96" t="s">
        <v>110</v>
      </c>
      <c r="AH255" s="96">
        <v>2027</v>
      </c>
      <c r="AI255" s="96" t="s">
        <v>476</v>
      </c>
      <c r="AJ255" s="96" t="s">
        <v>477</v>
      </c>
      <c r="AK255" s="27" t="s">
        <v>110</v>
      </c>
    </row>
    <row r="256" spans="1:37">
      <c r="A256" s="70">
        <v>251</v>
      </c>
      <c r="B256" s="70">
        <f t="shared" si="9"/>
        <v>0</v>
      </c>
      <c r="C256" s="71"/>
      <c r="D256" s="59" t="s">
        <v>92</v>
      </c>
      <c r="E256" s="60">
        <v>14756</v>
      </c>
      <c r="F256" s="10" t="s">
        <v>519</v>
      </c>
      <c r="G256" s="60">
        <v>608</v>
      </c>
      <c r="H256" s="81">
        <v>30</v>
      </c>
      <c r="I256" s="86" t="s">
        <v>110</v>
      </c>
      <c r="J256" s="81">
        <v>30</v>
      </c>
      <c r="K256" s="86" t="s">
        <v>110</v>
      </c>
      <c r="L256" s="81">
        <v>296</v>
      </c>
      <c r="M256" s="86" t="s">
        <v>110</v>
      </c>
      <c r="N256" s="81">
        <v>194445</v>
      </c>
      <c r="O256" s="86" t="s">
        <v>110</v>
      </c>
      <c r="P256" s="89">
        <f t="shared" si="10"/>
        <v>296</v>
      </c>
      <c r="Q256" s="89">
        <f t="shared" si="11"/>
        <v>194445</v>
      </c>
      <c r="R256" s="96" t="s">
        <v>94</v>
      </c>
      <c r="S256" s="96" t="s">
        <v>124</v>
      </c>
      <c r="T256" s="96" t="s">
        <v>94</v>
      </c>
      <c r="U256" s="96" t="s">
        <v>136</v>
      </c>
      <c r="V256" s="96" t="s">
        <v>94</v>
      </c>
      <c r="W256" s="96" t="s">
        <v>97</v>
      </c>
      <c r="X256" s="96" t="s">
        <v>98</v>
      </c>
      <c r="Y256" s="96" t="s">
        <v>110</v>
      </c>
      <c r="Z256" s="96" t="s">
        <v>110</v>
      </c>
      <c r="AA256" s="96" t="s">
        <v>520</v>
      </c>
      <c r="AB256" s="96" t="s">
        <v>110</v>
      </c>
      <c r="AC256" s="96" t="s">
        <v>110</v>
      </c>
      <c r="AD256" s="96" t="s">
        <v>110</v>
      </c>
      <c r="AE256" s="96" t="s">
        <v>521</v>
      </c>
      <c r="AF256" s="96" t="s">
        <v>522</v>
      </c>
      <c r="AG256" s="96" t="s">
        <v>110</v>
      </c>
      <c r="AH256" s="96">
        <v>2685</v>
      </c>
      <c r="AI256" s="96" t="s">
        <v>523</v>
      </c>
      <c r="AJ256" s="96" t="s">
        <v>524</v>
      </c>
      <c r="AK256" s="27" t="s">
        <v>110</v>
      </c>
    </row>
    <row r="257" spans="1:37">
      <c r="A257" s="70">
        <v>252</v>
      </c>
      <c r="B257" s="70">
        <f t="shared" si="9"/>
        <v>0</v>
      </c>
      <c r="C257" s="71"/>
      <c r="D257" s="59" t="s">
        <v>92</v>
      </c>
      <c r="E257" s="60">
        <v>13717</v>
      </c>
      <c r="F257" s="10" t="s">
        <v>765</v>
      </c>
      <c r="G257" s="60">
        <v>601</v>
      </c>
      <c r="H257" s="81">
        <v>365</v>
      </c>
      <c r="I257" s="86">
        <v>291</v>
      </c>
      <c r="J257" s="81">
        <v>365</v>
      </c>
      <c r="K257" s="86">
        <v>291</v>
      </c>
      <c r="L257" s="81">
        <v>293</v>
      </c>
      <c r="M257" s="86">
        <v>317</v>
      </c>
      <c r="N257" s="81">
        <v>200656</v>
      </c>
      <c r="O257" s="86">
        <v>188638</v>
      </c>
      <c r="P257" s="89">
        <f t="shared" si="10"/>
        <v>305</v>
      </c>
      <c r="Q257" s="89">
        <f t="shared" si="11"/>
        <v>194647</v>
      </c>
      <c r="R257" s="96" t="s">
        <v>94</v>
      </c>
      <c r="S257" s="96" t="s">
        <v>124</v>
      </c>
      <c r="T257" s="96" t="s">
        <v>94</v>
      </c>
      <c r="U257" s="96" t="s">
        <v>96</v>
      </c>
      <c r="V257" s="96" t="s">
        <v>766</v>
      </c>
      <c r="W257" s="96" t="s">
        <v>767</v>
      </c>
      <c r="X257" s="96" t="s">
        <v>98</v>
      </c>
      <c r="Y257" s="96" t="s">
        <v>110</v>
      </c>
      <c r="Z257" s="96" t="s">
        <v>110</v>
      </c>
      <c r="AA257" s="96" t="s">
        <v>768</v>
      </c>
      <c r="AB257" s="96" t="s">
        <v>110</v>
      </c>
      <c r="AC257" s="96" t="s">
        <v>769</v>
      </c>
      <c r="AD257" s="96" t="s">
        <v>770</v>
      </c>
      <c r="AE257" s="96" t="s">
        <v>771</v>
      </c>
      <c r="AF257" s="96" t="s">
        <v>772</v>
      </c>
      <c r="AG257" s="96" t="s">
        <v>773</v>
      </c>
      <c r="AH257" s="96">
        <v>1270</v>
      </c>
      <c r="AI257" s="96" t="s">
        <v>774</v>
      </c>
      <c r="AJ257" s="96" t="s">
        <v>775</v>
      </c>
      <c r="AK257" s="27" t="s">
        <v>110</v>
      </c>
    </row>
    <row r="258" spans="1:37">
      <c r="A258" s="70">
        <v>253</v>
      </c>
      <c r="B258" s="70">
        <f t="shared" si="9"/>
        <v>0</v>
      </c>
      <c r="C258" s="71"/>
      <c r="D258" s="59" t="s">
        <v>92</v>
      </c>
      <c r="E258" s="60">
        <v>13709</v>
      </c>
      <c r="F258" s="10" t="s">
        <v>429</v>
      </c>
      <c r="G258" s="60">
        <v>605</v>
      </c>
      <c r="H258" s="81">
        <v>25</v>
      </c>
      <c r="I258" s="86">
        <v>30</v>
      </c>
      <c r="J258" s="81">
        <v>25</v>
      </c>
      <c r="K258" s="86">
        <v>30</v>
      </c>
      <c r="L258" s="81">
        <v>297</v>
      </c>
      <c r="M258" s="86">
        <v>312</v>
      </c>
      <c r="N258" s="81">
        <v>190892</v>
      </c>
      <c r="O258" s="86">
        <v>198695</v>
      </c>
      <c r="P258" s="89">
        <f t="shared" si="10"/>
        <v>304.5</v>
      </c>
      <c r="Q258" s="89">
        <f t="shared" si="11"/>
        <v>194793.5</v>
      </c>
      <c r="R258" s="96" t="s">
        <v>94</v>
      </c>
      <c r="S258" s="96" t="s">
        <v>124</v>
      </c>
      <c r="T258" s="96" t="s">
        <v>94</v>
      </c>
      <c r="U258" s="96" t="s">
        <v>136</v>
      </c>
      <c r="V258" s="96" t="s">
        <v>94</v>
      </c>
      <c r="W258" s="96" t="s">
        <v>97</v>
      </c>
      <c r="X258" s="96" t="s">
        <v>98</v>
      </c>
      <c r="Y258" s="96" t="s">
        <v>225</v>
      </c>
      <c r="Z258" s="96" t="s">
        <v>148</v>
      </c>
      <c r="AA258" s="96" t="s">
        <v>430</v>
      </c>
      <c r="AB258" s="96" t="s">
        <v>431</v>
      </c>
      <c r="AC258" s="96" t="s">
        <v>432</v>
      </c>
      <c r="AD258" s="96" t="s">
        <v>433</v>
      </c>
      <c r="AE258" s="96" t="s">
        <v>434</v>
      </c>
      <c r="AF258" s="96" t="s">
        <v>435</v>
      </c>
      <c r="AG258" s="96" t="s">
        <v>110</v>
      </c>
      <c r="AH258" s="96">
        <v>2369</v>
      </c>
      <c r="AI258" s="96" t="s">
        <v>436</v>
      </c>
      <c r="AJ258" s="96" t="s">
        <v>437</v>
      </c>
      <c r="AK258" s="27" t="s">
        <v>110</v>
      </c>
    </row>
    <row r="259" spans="1:37">
      <c r="A259" s="70">
        <v>254</v>
      </c>
      <c r="B259" s="70">
        <f t="shared" si="9"/>
        <v>0</v>
      </c>
      <c r="C259" s="71"/>
      <c r="D259" s="59" t="s">
        <v>92</v>
      </c>
      <c r="E259" s="60">
        <v>14664</v>
      </c>
      <c r="F259" s="10" t="s">
        <v>438</v>
      </c>
      <c r="G259" s="60">
        <v>601</v>
      </c>
      <c r="H259" s="81">
        <v>420</v>
      </c>
      <c r="I259" s="86">
        <v>428</v>
      </c>
      <c r="J259" s="81">
        <v>420</v>
      </c>
      <c r="K259" s="86">
        <v>428</v>
      </c>
      <c r="L259" s="81">
        <v>275</v>
      </c>
      <c r="M259" s="86">
        <v>335</v>
      </c>
      <c r="N259" s="81">
        <v>237750</v>
      </c>
      <c r="O259" s="86">
        <v>152659</v>
      </c>
      <c r="P259" s="89">
        <f t="shared" si="10"/>
        <v>305</v>
      </c>
      <c r="Q259" s="89">
        <f t="shared" si="11"/>
        <v>195204.5</v>
      </c>
      <c r="R259" s="96" t="s">
        <v>94</v>
      </c>
      <c r="S259" s="96" t="s">
        <v>237</v>
      </c>
      <c r="T259" s="96" t="s">
        <v>94</v>
      </c>
      <c r="U259" s="96" t="s">
        <v>136</v>
      </c>
      <c r="V259" s="96" t="s">
        <v>94</v>
      </c>
      <c r="W259" s="96" t="s">
        <v>97</v>
      </c>
      <c r="X259" s="96" t="s">
        <v>147</v>
      </c>
      <c r="Y259" s="96" t="s">
        <v>110</v>
      </c>
      <c r="Z259" s="96" t="s">
        <v>110</v>
      </c>
      <c r="AA259" s="96" t="s">
        <v>439</v>
      </c>
      <c r="AB259" s="96" t="s">
        <v>110</v>
      </c>
      <c r="AC259" s="96" t="s">
        <v>440</v>
      </c>
      <c r="AD259" s="96" t="s">
        <v>441</v>
      </c>
      <c r="AE259" s="96" t="s">
        <v>442</v>
      </c>
      <c r="AF259" s="96" t="s">
        <v>443</v>
      </c>
      <c r="AG259" s="96" t="s">
        <v>110</v>
      </c>
      <c r="AH259" s="96">
        <v>2851</v>
      </c>
      <c r="AI259" s="96" t="s">
        <v>444</v>
      </c>
      <c r="AJ259" s="96" t="s">
        <v>445</v>
      </c>
      <c r="AK259" s="27" t="s">
        <v>110</v>
      </c>
    </row>
    <row r="260" spans="1:37">
      <c r="A260" s="70">
        <v>255</v>
      </c>
      <c r="B260" s="70">
        <f t="shared" si="9"/>
        <v>0</v>
      </c>
      <c r="C260" s="71"/>
      <c r="D260" s="59" t="s">
        <v>92</v>
      </c>
      <c r="E260" s="60">
        <v>12742</v>
      </c>
      <c r="F260" s="10" t="s">
        <v>469</v>
      </c>
      <c r="G260" s="60">
        <v>603</v>
      </c>
      <c r="H260" s="81">
        <v>220</v>
      </c>
      <c r="I260" s="86" t="s">
        <v>110</v>
      </c>
      <c r="J260" s="81">
        <v>221</v>
      </c>
      <c r="K260" s="86" t="s">
        <v>110</v>
      </c>
      <c r="L260" s="81">
        <v>295</v>
      </c>
      <c r="M260" s="86" t="s">
        <v>110</v>
      </c>
      <c r="N260" s="81">
        <v>196284</v>
      </c>
      <c r="O260" s="86" t="s">
        <v>110</v>
      </c>
      <c r="P260" s="89">
        <f t="shared" si="10"/>
        <v>295</v>
      </c>
      <c r="Q260" s="89">
        <f t="shared" si="11"/>
        <v>196284</v>
      </c>
      <c r="R260" s="96" t="s">
        <v>94</v>
      </c>
      <c r="S260" s="96" t="s">
        <v>124</v>
      </c>
      <c r="T260" s="96" t="s">
        <v>94</v>
      </c>
      <c r="U260" s="96" t="s">
        <v>136</v>
      </c>
      <c r="V260" s="96" t="s">
        <v>94</v>
      </c>
      <c r="W260" s="96" t="s">
        <v>97</v>
      </c>
      <c r="X260" s="96" t="s">
        <v>98</v>
      </c>
      <c r="Y260" s="96" t="s">
        <v>110</v>
      </c>
      <c r="Z260" s="96" t="s">
        <v>110</v>
      </c>
      <c r="AA260" s="96" t="s">
        <v>470</v>
      </c>
      <c r="AB260" s="96" t="s">
        <v>471</v>
      </c>
      <c r="AC260" s="96" t="s">
        <v>472</v>
      </c>
      <c r="AD260" s="96" t="s">
        <v>473</v>
      </c>
      <c r="AE260" s="96" t="s">
        <v>474</v>
      </c>
      <c r="AF260" s="96" t="s">
        <v>475</v>
      </c>
      <c r="AG260" s="96" t="s">
        <v>110</v>
      </c>
      <c r="AH260" s="96">
        <v>2027</v>
      </c>
      <c r="AI260" s="96" t="s">
        <v>476</v>
      </c>
      <c r="AJ260" s="96" t="s">
        <v>477</v>
      </c>
      <c r="AK260" s="27" t="s">
        <v>110</v>
      </c>
    </row>
    <row r="261" spans="1:37">
      <c r="A261" s="70">
        <v>256</v>
      </c>
      <c r="B261" s="70">
        <f t="shared" si="9"/>
        <v>0</v>
      </c>
      <c r="C261" s="71"/>
      <c r="D261" s="59" t="s">
        <v>92</v>
      </c>
      <c r="E261" s="60">
        <v>12742</v>
      </c>
      <c r="F261" s="10" t="s">
        <v>469</v>
      </c>
      <c r="G261" s="60">
        <v>604</v>
      </c>
      <c r="H261" s="81">
        <v>50</v>
      </c>
      <c r="I261" s="86" t="s">
        <v>110</v>
      </c>
      <c r="J261" s="81">
        <v>50</v>
      </c>
      <c r="K261" s="86" t="s">
        <v>110</v>
      </c>
      <c r="L261" s="81">
        <v>294</v>
      </c>
      <c r="M261" s="86" t="s">
        <v>110</v>
      </c>
      <c r="N261" s="81">
        <v>197361</v>
      </c>
      <c r="O261" s="86" t="s">
        <v>110</v>
      </c>
      <c r="P261" s="89">
        <f t="shared" si="10"/>
        <v>294</v>
      </c>
      <c r="Q261" s="89">
        <f t="shared" si="11"/>
        <v>197361</v>
      </c>
      <c r="R261" s="96" t="s">
        <v>94</v>
      </c>
      <c r="S261" s="96" t="s">
        <v>124</v>
      </c>
      <c r="T261" s="96" t="s">
        <v>94</v>
      </c>
      <c r="U261" s="96" t="s">
        <v>136</v>
      </c>
      <c r="V261" s="96" t="s">
        <v>94</v>
      </c>
      <c r="W261" s="96" t="s">
        <v>97</v>
      </c>
      <c r="X261" s="96" t="s">
        <v>98</v>
      </c>
      <c r="Y261" s="96" t="s">
        <v>110</v>
      </c>
      <c r="Z261" s="96" t="s">
        <v>110</v>
      </c>
      <c r="AA261" s="96" t="s">
        <v>470</v>
      </c>
      <c r="AB261" s="96" t="s">
        <v>471</v>
      </c>
      <c r="AC261" s="96" t="s">
        <v>472</v>
      </c>
      <c r="AD261" s="96" t="s">
        <v>473</v>
      </c>
      <c r="AE261" s="96" t="s">
        <v>474</v>
      </c>
      <c r="AF261" s="96" t="s">
        <v>475</v>
      </c>
      <c r="AG261" s="96" t="s">
        <v>110</v>
      </c>
      <c r="AH261" s="96">
        <v>2027</v>
      </c>
      <c r="AI261" s="96" t="s">
        <v>476</v>
      </c>
      <c r="AJ261" s="96" t="s">
        <v>477</v>
      </c>
      <c r="AK261" s="27" t="s">
        <v>110</v>
      </c>
    </row>
    <row r="262" spans="1:37">
      <c r="A262" s="70">
        <v>257</v>
      </c>
      <c r="B262" s="70">
        <f t="shared" ref="B262:B325" si="12">C262</f>
        <v>0</v>
      </c>
      <c r="C262" s="71"/>
      <c r="D262" s="59" t="s">
        <v>92</v>
      </c>
      <c r="E262" s="60">
        <v>13709</v>
      </c>
      <c r="F262" s="10" t="s">
        <v>429</v>
      </c>
      <c r="G262" s="60">
        <v>606</v>
      </c>
      <c r="H262" s="81">
        <v>35</v>
      </c>
      <c r="I262" s="86">
        <v>20</v>
      </c>
      <c r="J262" s="81">
        <v>35</v>
      </c>
      <c r="K262" s="86">
        <v>20</v>
      </c>
      <c r="L262" s="81">
        <v>294</v>
      </c>
      <c r="M262" s="86">
        <v>305</v>
      </c>
      <c r="N262" s="81">
        <v>196815</v>
      </c>
      <c r="O262" s="86">
        <v>211240</v>
      </c>
      <c r="P262" s="89">
        <f t="shared" si="10"/>
        <v>299.5</v>
      </c>
      <c r="Q262" s="89">
        <f t="shared" si="11"/>
        <v>204027.5</v>
      </c>
      <c r="R262" s="96" t="s">
        <v>94</v>
      </c>
      <c r="S262" s="96" t="s">
        <v>124</v>
      </c>
      <c r="T262" s="96" t="s">
        <v>94</v>
      </c>
      <c r="U262" s="96" t="s">
        <v>136</v>
      </c>
      <c r="V262" s="96" t="s">
        <v>94</v>
      </c>
      <c r="W262" s="96" t="s">
        <v>97</v>
      </c>
      <c r="X262" s="96" t="s">
        <v>98</v>
      </c>
      <c r="Y262" s="96" t="s">
        <v>225</v>
      </c>
      <c r="Z262" s="96" t="s">
        <v>148</v>
      </c>
      <c r="AA262" s="96" t="s">
        <v>430</v>
      </c>
      <c r="AB262" s="96" t="s">
        <v>431</v>
      </c>
      <c r="AC262" s="96" t="s">
        <v>432</v>
      </c>
      <c r="AD262" s="96" t="s">
        <v>433</v>
      </c>
      <c r="AE262" s="96" t="s">
        <v>434</v>
      </c>
      <c r="AF262" s="96" t="s">
        <v>435</v>
      </c>
      <c r="AG262" s="96" t="s">
        <v>110</v>
      </c>
      <c r="AH262" s="96">
        <v>2369</v>
      </c>
      <c r="AI262" s="96" t="s">
        <v>436</v>
      </c>
      <c r="AJ262" s="96" t="s">
        <v>437</v>
      </c>
      <c r="AK262" s="27" t="s">
        <v>110</v>
      </c>
    </row>
    <row r="263" spans="1:37">
      <c r="A263" s="70">
        <v>258</v>
      </c>
      <c r="B263" s="70">
        <f t="shared" si="12"/>
        <v>0</v>
      </c>
      <c r="C263" s="71"/>
      <c r="D263" s="59" t="s">
        <v>92</v>
      </c>
      <c r="E263" s="60">
        <v>14065</v>
      </c>
      <c r="F263" s="10" t="s">
        <v>310</v>
      </c>
      <c r="G263" s="60">
        <v>615</v>
      </c>
      <c r="H263" s="81">
        <v>150</v>
      </c>
      <c r="I263" s="86" t="s">
        <v>110</v>
      </c>
      <c r="J263" s="81">
        <v>150</v>
      </c>
      <c r="K263" s="86" t="s">
        <v>110</v>
      </c>
      <c r="L263" s="81">
        <v>290</v>
      </c>
      <c r="M263" s="86" t="s">
        <v>110</v>
      </c>
      <c r="N263" s="81">
        <v>206459</v>
      </c>
      <c r="O263" s="86" t="s">
        <v>110</v>
      </c>
      <c r="P263" s="89">
        <f t="shared" ref="P263:P326" si="13">IFERROR(AVERAGE(L263:M263),"/")</f>
        <v>290</v>
      </c>
      <c r="Q263" s="89">
        <f t="shared" ref="Q263:Q326" si="14">IFERROR(AVERAGE(N263:O263),"/")</f>
        <v>206459</v>
      </c>
      <c r="R263" s="96" t="s">
        <v>94</v>
      </c>
      <c r="S263" s="96" t="s">
        <v>124</v>
      </c>
      <c r="T263" s="96" t="s">
        <v>94</v>
      </c>
      <c r="U263" s="96" t="s">
        <v>136</v>
      </c>
      <c r="V263" s="96" t="s">
        <v>94</v>
      </c>
      <c r="W263" s="96" t="s">
        <v>97</v>
      </c>
      <c r="X263" s="96" t="s">
        <v>98</v>
      </c>
      <c r="Y263" s="96" t="s">
        <v>225</v>
      </c>
      <c r="Z263" s="96" t="s">
        <v>148</v>
      </c>
      <c r="AA263" s="96" t="s">
        <v>311</v>
      </c>
      <c r="AB263" s="96" t="s">
        <v>312</v>
      </c>
      <c r="AC263" s="96" t="s">
        <v>313</v>
      </c>
      <c r="AD263" s="96" t="s">
        <v>314</v>
      </c>
      <c r="AE263" s="96" t="s">
        <v>315</v>
      </c>
      <c r="AF263" s="96" t="s">
        <v>316</v>
      </c>
      <c r="AG263" s="96" t="s">
        <v>110</v>
      </c>
      <c r="AH263" s="96">
        <v>2004</v>
      </c>
      <c r="AI263" s="96" t="s">
        <v>317</v>
      </c>
      <c r="AJ263" s="96" t="s">
        <v>318</v>
      </c>
      <c r="AK263" s="27" t="s">
        <v>110</v>
      </c>
    </row>
    <row r="264" spans="1:37">
      <c r="A264" s="70">
        <v>259</v>
      </c>
      <c r="B264" s="70">
        <f t="shared" si="12"/>
        <v>0</v>
      </c>
      <c r="C264" s="71"/>
      <c r="D264" s="59" t="s">
        <v>92</v>
      </c>
      <c r="E264" s="60">
        <v>11121</v>
      </c>
      <c r="F264" s="10" t="s">
        <v>776</v>
      </c>
      <c r="G264" s="60">
        <v>601</v>
      </c>
      <c r="H264" s="81">
        <v>936</v>
      </c>
      <c r="I264" s="86">
        <v>309</v>
      </c>
      <c r="J264" s="81">
        <v>936</v>
      </c>
      <c r="K264" s="86">
        <v>309</v>
      </c>
      <c r="L264" s="81">
        <v>281</v>
      </c>
      <c r="M264" s="86">
        <v>316</v>
      </c>
      <c r="N264" s="81">
        <v>224990</v>
      </c>
      <c r="O264" s="86">
        <v>190834</v>
      </c>
      <c r="P264" s="89">
        <f t="shared" si="13"/>
        <v>298.5</v>
      </c>
      <c r="Q264" s="89">
        <f t="shared" si="14"/>
        <v>207912</v>
      </c>
      <c r="R264" s="96" t="s">
        <v>94</v>
      </c>
      <c r="S264" s="96" t="s">
        <v>124</v>
      </c>
      <c r="T264" s="96" t="s">
        <v>94</v>
      </c>
      <c r="U264" s="96" t="s">
        <v>136</v>
      </c>
      <c r="V264" s="96" t="s">
        <v>766</v>
      </c>
      <c r="W264" s="96" t="s">
        <v>767</v>
      </c>
      <c r="X264" s="96" t="s">
        <v>98</v>
      </c>
      <c r="Y264" s="96" t="s">
        <v>110</v>
      </c>
      <c r="Z264" s="96" t="s">
        <v>110</v>
      </c>
      <c r="AA264" s="96" t="s">
        <v>777</v>
      </c>
      <c r="AB264" s="96" t="s">
        <v>778</v>
      </c>
      <c r="AC264" s="96" t="s">
        <v>779</v>
      </c>
      <c r="AD264" s="96" t="s">
        <v>780</v>
      </c>
      <c r="AE264" s="96" t="s">
        <v>781</v>
      </c>
      <c r="AF264" s="96" t="s">
        <v>782</v>
      </c>
      <c r="AG264" s="96" t="s">
        <v>783</v>
      </c>
      <c r="AH264" s="96">
        <v>2335</v>
      </c>
      <c r="AI264" s="96" t="s">
        <v>784</v>
      </c>
      <c r="AJ264" s="96" t="s">
        <v>785</v>
      </c>
      <c r="AK264" s="27" t="s">
        <v>110</v>
      </c>
    </row>
    <row r="265" spans="1:37">
      <c r="A265" s="70">
        <v>260</v>
      </c>
      <c r="B265" s="70">
        <f t="shared" si="12"/>
        <v>0</v>
      </c>
      <c r="C265" s="71"/>
      <c r="D265" s="59" t="s">
        <v>92</v>
      </c>
      <c r="E265" s="60">
        <v>12575</v>
      </c>
      <c r="F265" s="10" t="s">
        <v>786</v>
      </c>
      <c r="G265" s="60">
        <v>601</v>
      </c>
      <c r="H265" s="81">
        <v>382</v>
      </c>
      <c r="I265" s="86">
        <v>160</v>
      </c>
      <c r="J265" s="81">
        <v>382</v>
      </c>
      <c r="K265" s="86">
        <v>160</v>
      </c>
      <c r="L265" s="81">
        <v>282</v>
      </c>
      <c r="M265" s="86">
        <v>312</v>
      </c>
      <c r="N265" s="81">
        <v>223617</v>
      </c>
      <c r="O265" s="86">
        <v>198216</v>
      </c>
      <c r="P265" s="89">
        <f t="shared" si="13"/>
        <v>297</v>
      </c>
      <c r="Q265" s="89">
        <f t="shared" si="14"/>
        <v>210916.5</v>
      </c>
      <c r="R265" s="96" t="s">
        <v>94</v>
      </c>
      <c r="S265" s="96" t="s">
        <v>124</v>
      </c>
      <c r="T265" s="96" t="s">
        <v>94</v>
      </c>
      <c r="U265" s="96" t="s">
        <v>136</v>
      </c>
      <c r="V265" s="96" t="s">
        <v>766</v>
      </c>
      <c r="W265" s="96" t="s">
        <v>767</v>
      </c>
      <c r="X265" s="96" t="s">
        <v>98</v>
      </c>
      <c r="Y265" s="96" t="s">
        <v>110</v>
      </c>
      <c r="Z265" s="96" t="s">
        <v>110</v>
      </c>
      <c r="AA265" s="96" t="s">
        <v>787</v>
      </c>
      <c r="AB265" s="96" t="s">
        <v>788</v>
      </c>
      <c r="AC265" s="96" t="s">
        <v>789</v>
      </c>
      <c r="AD265" s="96" t="s">
        <v>790</v>
      </c>
      <c r="AE265" s="96" t="s">
        <v>791</v>
      </c>
      <c r="AF265" s="96" t="s">
        <v>792</v>
      </c>
      <c r="AG265" s="96" t="s">
        <v>793</v>
      </c>
      <c r="AH265" s="96">
        <v>2071</v>
      </c>
      <c r="AI265" s="96" t="s">
        <v>794</v>
      </c>
      <c r="AJ265" s="96" t="s">
        <v>795</v>
      </c>
      <c r="AK265" s="27" t="s">
        <v>110</v>
      </c>
    </row>
    <row r="266" spans="1:37">
      <c r="A266" s="70">
        <v>261</v>
      </c>
      <c r="B266" s="70">
        <f t="shared" si="12"/>
        <v>0</v>
      </c>
      <c r="C266" s="71"/>
      <c r="D266" s="59" t="s">
        <v>92</v>
      </c>
      <c r="E266" s="60">
        <v>14510</v>
      </c>
      <c r="F266" s="10" t="s">
        <v>609</v>
      </c>
      <c r="G266" s="60">
        <v>603</v>
      </c>
      <c r="H266" s="81">
        <v>390</v>
      </c>
      <c r="I266" s="86" t="s">
        <v>110</v>
      </c>
      <c r="J266" s="81">
        <v>390</v>
      </c>
      <c r="K266" s="86" t="s">
        <v>110</v>
      </c>
      <c r="L266" s="81">
        <v>288</v>
      </c>
      <c r="M266" s="86" t="s">
        <v>110</v>
      </c>
      <c r="N266" s="81">
        <v>211165</v>
      </c>
      <c r="O266" s="86" t="s">
        <v>110</v>
      </c>
      <c r="P266" s="89">
        <f t="shared" si="13"/>
        <v>288</v>
      </c>
      <c r="Q266" s="89">
        <f t="shared" si="14"/>
        <v>211165</v>
      </c>
      <c r="R266" s="96" t="s">
        <v>94</v>
      </c>
      <c r="S266" s="96" t="s">
        <v>329</v>
      </c>
      <c r="T266" s="96" t="s">
        <v>94</v>
      </c>
      <c r="U266" s="96" t="s">
        <v>136</v>
      </c>
      <c r="V266" s="96" t="s">
        <v>94</v>
      </c>
      <c r="W266" s="96" t="s">
        <v>97</v>
      </c>
      <c r="X266" s="96" t="s">
        <v>290</v>
      </c>
      <c r="Y266" s="96" t="s">
        <v>110</v>
      </c>
      <c r="Z266" s="96" t="s">
        <v>110</v>
      </c>
      <c r="AA266" s="96" t="s">
        <v>610</v>
      </c>
      <c r="AB266" s="96" t="s">
        <v>110</v>
      </c>
      <c r="AC266" s="96" t="s">
        <v>611</v>
      </c>
      <c r="AD266" s="96" t="s">
        <v>612</v>
      </c>
      <c r="AE266" s="96" t="s">
        <v>613</v>
      </c>
      <c r="AF266" s="96" t="s">
        <v>614</v>
      </c>
      <c r="AG266" s="96" t="s">
        <v>615</v>
      </c>
      <c r="AH266" s="96">
        <v>2357</v>
      </c>
      <c r="AI266" s="96" t="s">
        <v>616</v>
      </c>
      <c r="AJ266" s="96" t="s">
        <v>617</v>
      </c>
      <c r="AK266" s="27" t="s">
        <v>110</v>
      </c>
    </row>
    <row r="267" spans="1:37">
      <c r="A267" s="70">
        <v>262</v>
      </c>
      <c r="B267" s="70">
        <f t="shared" si="12"/>
        <v>0</v>
      </c>
      <c r="C267" s="71"/>
      <c r="D267" s="59" t="s">
        <v>92</v>
      </c>
      <c r="E267" s="60">
        <v>12772</v>
      </c>
      <c r="F267" s="10" t="s">
        <v>561</v>
      </c>
      <c r="G267" s="60">
        <v>612</v>
      </c>
      <c r="H267" s="81">
        <v>20</v>
      </c>
      <c r="I267" s="86" t="s">
        <v>110</v>
      </c>
      <c r="J267" s="81">
        <v>20</v>
      </c>
      <c r="K267" s="86" t="s">
        <v>110</v>
      </c>
      <c r="L267" s="81">
        <v>285</v>
      </c>
      <c r="M267" s="86" t="s">
        <v>110</v>
      </c>
      <c r="N267" s="81">
        <v>216313</v>
      </c>
      <c r="O267" s="86" t="s">
        <v>110</v>
      </c>
      <c r="P267" s="89">
        <f t="shared" si="13"/>
        <v>285</v>
      </c>
      <c r="Q267" s="89">
        <f t="shared" si="14"/>
        <v>216313</v>
      </c>
      <c r="R267" s="96" t="s">
        <v>94</v>
      </c>
      <c r="S267" s="96" t="s">
        <v>562</v>
      </c>
      <c r="T267" s="96" t="s">
        <v>94</v>
      </c>
      <c r="U267" s="96" t="s">
        <v>136</v>
      </c>
      <c r="V267" s="96" t="s">
        <v>94</v>
      </c>
      <c r="W267" s="96" t="s">
        <v>97</v>
      </c>
      <c r="X267" s="96" t="s">
        <v>500</v>
      </c>
      <c r="Y267" s="96" t="s">
        <v>225</v>
      </c>
      <c r="Z267" s="96" t="s">
        <v>226</v>
      </c>
      <c r="AA267" s="96" t="s">
        <v>563</v>
      </c>
      <c r="AB267" s="96" t="s">
        <v>564</v>
      </c>
      <c r="AC267" s="96" t="s">
        <v>565</v>
      </c>
      <c r="AD267" s="96" t="s">
        <v>566</v>
      </c>
      <c r="AE267" s="96" t="s">
        <v>567</v>
      </c>
      <c r="AF267" s="96" t="s">
        <v>568</v>
      </c>
      <c r="AG267" s="96" t="s">
        <v>569</v>
      </c>
      <c r="AH267" s="96">
        <v>1839</v>
      </c>
      <c r="AI267" s="96" t="s">
        <v>570</v>
      </c>
      <c r="AJ267" s="96" t="s">
        <v>571</v>
      </c>
      <c r="AK267" s="27" t="s">
        <v>110</v>
      </c>
    </row>
    <row r="268" spans="1:37">
      <c r="A268" s="70">
        <v>263</v>
      </c>
      <c r="B268" s="70">
        <f t="shared" si="12"/>
        <v>0</v>
      </c>
      <c r="C268" s="71"/>
      <c r="D268" s="59" t="s">
        <v>92</v>
      </c>
      <c r="E268" s="60">
        <v>13707</v>
      </c>
      <c r="F268" s="10" t="s">
        <v>402</v>
      </c>
      <c r="G268" s="60">
        <v>601</v>
      </c>
      <c r="H268" s="81">
        <v>23</v>
      </c>
      <c r="I268" s="86" t="s">
        <v>110</v>
      </c>
      <c r="J268" s="81">
        <v>23</v>
      </c>
      <c r="K268" s="86" t="s">
        <v>110</v>
      </c>
      <c r="L268" s="81">
        <v>284</v>
      </c>
      <c r="M268" s="86" t="s">
        <v>110</v>
      </c>
      <c r="N268" s="81">
        <v>219017</v>
      </c>
      <c r="O268" s="86" t="s">
        <v>110</v>
      </c>
      <c r="P268" s="89">
        <f t="shared" si="13"/>
        <v>284</v>
      </c>
      <c r="Q268" s="89">
        <f t="shared" si="14"/>
        <v>219017</v>
      </c>
      <c r="R268" s="96" t="s">
        <v>94</v>
      </c>
      <c r="S268" s="96" t="s">
        <v>124</v>
      </c>
      <c r="T268" s="96" t="s">
        <v>94</v>
      </c>
      <c r="U268" s="96" t="s">
        <v>136</v>
      </c>
      <c r="V268" s="96" t="s">
        <v>94</v>
      </c>
      <c r="W268" s="96" t="s">
        <v>97</v>
      </c>
      <c r="X268" s="96" t="s">
        <v>98</v>
      </c>
      <c r="Y268" s="96" t="s">
        <v>110</v>
      </c>
      <c r="Z268" s="96" t="s">
        <v>110</v>
      </c>
      <c r="AA268" s="96" t="s">
        <v>403</v>
      </c>
      <c r="AB268" s="96" t="s">
        <v>404</v>
      </c>
      <c r="AC268" s="96" t="s">
        <v>405</v>
      </c>
      <c r="AD268" s="96" t="s">
        <v>406</v>
      </c>
      <c r="AE268" s="96" t="s">
        <v>407</v>
      </c>
      <c r="AF268" s="96" t="s">
        <v>408</v>
      </c>
      <c r="AG268" s="96" t="s">
        <v>110</v>
      </c>
      <c r="AH268" s="96">
        <v>2421</v>
      </c>
      <c r="AI268" s="96" t="s">
        <v>409</v>
      </c>
      <c r="AJ268" s="96" t="s">
        <v>410</v>
      </c>
      <c r="AK268" s="27" t="s">
        <v>110</v>
      </c>
    </row>
    <row r="269" spans="1:37">
      <c r="A269" s="70">
        <v>264</v>
      </c>
      <c r="B269" s="70">
        <f t="shared" si="12"/>
        <v>0</v>
      </c>
      <c r="C269" s="71"/>
      <c r="D269" s="59" t="s">
        <v>92</v>
      </c>
      <c r="E269" s="60">
        <v>50853</v>
      </c>
      <c r="F269" s="10" t="s">
        <v>740</v>
      </c>
      <c r="G269" s="60">
        <v>606</v>
      </c>
      <c r="H269" s="81">
        <v>93</v>
      </c>
      <c r="I269" s="86" t="s">
        <v>110</v>
      </c>
      <c r="J269" s="81">
        <v>93</v>
      </c>
      <c r="K269" s="86" t="s">
        <v>110</v>
      </c>
      <c r="L269" s="81">
        <v>284</v>
      </c>
      <c r="M269" s="86" t="s">
        <v>110</v>
      </c>
      <c r="N269" s="81">
        <v>219964</v>
      </c>
      <c r="O269" s="86" t="s">
        <v>110</v>
      </c>
      <c r="P269" s="89">
        <f t="shared" si="13"/>
        <v>284</v>
      </c>
      <c r="Q269" s="89">
        <f t="shared" si="14"/>
        <v>219964</v>
      </c>
      <c r="R269" s="96" t="s">
        <v>94</v>
      </c>
      <c r="S269" s="96" t="s">
        <v>741</v>
      </c>
      <c r="T269" s="96" t="s">
        <v>94</v>
      </c>
      <c r="U269" s="96" t="s">
        <v>136</v>
      </c>
      <c r="V269" s="96" t="s">
        <v>94</v>
      </c>
      <c r="W269" s="96" t="s">
        <v>97</v>
      </c>
      <c r="X269" s="96" t="s">
        <v>147</v>
      </c>
      <c r="Y269" s="96" t="s">
        <v>110</v>
      </c>
      <c r="Z269" s="96" t="s">
        <v>110</v>
      </c>
      <c r="AA269" s="96" t="s">
        <v>742</v>
      </c>
      <c r="AB269" s="96" t="s">
        <v>110</v>
      </c>
      <c r="AC269" s="96" t="s">
        <v>743</v>
      </c>
      <c r="AD269" s="96" t="s">
        <v>744</v>
      </c>
      <c r="AE269" s="96" t="s">
        <v>745</v>
      </c>
      <c r="AF269" s="96" t="s">
        <v>746</v>
      </c>
      <c r="AG269" s="96" t="s">
        <v>110</v>
      </c>
      <c r="AH269" s="96">
        <v>2633</v>
      </c>
      <c r="AI269" s="96" t="s">
        <v>747</v>
      </c>
      <c r="AJ269" s="96" t="s">
        <v>748</v>
      </c>
      <c r="AK269" s="27" t="s">
        <v>110</v>
      </c>
    </row>
    <row r="270" spans="1:37">
      <c r="A270" s="70">
        <v>265</v>
      </c>
      <c r="B270" s="70">
        <f t="shared" si="12"/>
        <v>0</v>
      </c>
      <c r="C270" s="71"/>
      <c r="D270" s="59" t="s">
        <v>92</v>
      </c>
      <c r="E270" s="60">
        <v>13919</v>
      </c>
      <c r="F270" s="10" t="s">
        <v>348</v>
      </c>
      <c r="G270" s="60">
        <v>607</v>
      </c>
      <c r="H270" s="81">
        <v>60</v>
      </c>
      <c r="I270" s="86" t="s">
        <v>110</v>
      </c>
      <c r="J270" s="81">
        <v>60</v>
      </c>
      <c r="K270" s="86" t="s">
        <v>110</v>
      </c>
      <c r="L270" s="81">
        <v>282</v>
      </c>
      <c r="M270" s="86" t="s">
        <v>110</v>
      </c>
      <c r="N270" s="81">
        <v>222455</v>
      </c>
      <c r="O270" s="86" t="s">
        <v>110</v>
      </c>
      <c r="P270" s="89">
        <f t="shared" si="13"/>
        <v>282</v>
      </c>
      <c r="Q270" s="89">
        <f t="shared" si="14"/>
        <v>222455</v>
      </c>
      <c r="R270" s="96" t="s">
        <v>94</v>
      </c>
      <c r="S270" s="96" t="s">
        <v>124</v>
      </c>
      <c r="T270" s="96" t="s">
        <v>94</v>
      </c>
      <c r="U270" s="96" t="s">
        <v>136</v>
      </c>
      <c r="V270" s="96" t="s">
        <v>94</v>
      </c>
      <c r="W270" s="96" t="s">
        <v>97</v>
      </c>
      <c r="X270" s="96" t="s">
        <v>98</v>
      </c>
      <c r="Y270" s="96" t="s">
        <v>349</v>
      </c>
      <c r="Z270" s="96" t="s">
        <v>226</v>
      </c>
      <c r="AA270" s="96" t="s">
        <v>350</v>
      </c>
      <c r="AB270" s="96" t="s">
        <v>351</v>
      </c>
      <c r="AC270" s="96" t="s">
        <v>352</v>
      </c>
      <c r="AD270" s="96" t="s">
        <v>353</v>
      </c>
      <c r="AE270" s="96" t="s">
        <v>354</v>
      </c>
      <c r="AF270" s="96" t="s">
        <v>355</v>
      </c>
      <c r="AG270" s="96" t="s">
        <v>356</v>
      </c>
      <c r="AH270" s="96">
        <v>1626</v>
      </c>
      <c r="AI270" s="96" t="s">
        <v>357</v>
      </c>
      <c r="AJ270" s="96" t="s">
        <v>358</v>
      </c>
      <c r="AK270" s="27" t="s">
        <v>110</v>
      </c>
    </row>
    <row r="271" spans="1:37">
      <c r="A271" s="70">
        <v>266</v>
      </c>
      <c r="B271" s="70">
        <f t="shared" si="12"/>
        <v>0</v>
      </c>
      <c r="C271" s="71"/>
      <c r="D271" s="59" t="s">
        <v>92</v>
      </c>
      <c r="E271" s="60">
        <v>14509</v>
      </c>
      <c r="F271" s="10" t="s">
        <v>490</v>
      </c>
      <c r="G271" s="60">
        <v>607</v>
      </c>
      <c r="H271" s="81">
        <v>25</v>
      </c>
      <c r="I271" s="86" t="s">
        <v>110</v>
      </c>
      <c r="J271" s="81">
        <v>25</v>
      </c>
      <c r="K271" s="86" t="s">
        <v>110</v>
      </c>
      <c r="L271" s="81">
        <v>280</v>
      </c>
      <c r="M271" s="86" t="s">
        <v>110</v>
      </c>
      <c r="N271" s="81">
        <v>226727</v>
      </c>
      <c r="O271" s="86" t="s">
        <v>110</v>
      </c>
      <c r="P271" s="89">
        <f t="shared" si="13"/>
        <v>280</v>
      </c>
      <c r="Q271" s="89">
        <f t="shared" si="14"/>
        <v>226727</v>
      </c>
      <c r="R271" s="96" t="s">
        <v>94</v>
      </c>
      <c r="S271" s="96" t="s">
        <v>124</v>
      </c>
      <c r="T271" s="96" t="s">
        <v>94</v>
      </c>
      <c r="U271" s="96" t="s">
        <v>136</v>
      </c>
      <c r="V271" s="96" t="s">
        <v>94</v>
      </c>
      <c r="W271" s="96" t="s">
        <v>97</v>
      </c>
      <c r="X271" s="96" t="s">
        <v>98</v>
      </c>
      <c r="Y271" s="96" t="s">
        <v>110</v>
      </c>
      <c r="Z271" s="96" t="s">
        <v>148</v>
      </c>
      <c r="AA271" s="96" t="s">
        <v>491</v>
      </c>
      <c r="AB271" s="96" t="s">
        <v>110</v>
      </c>
      <c r="AC271" s="96" t="s">
        <v>492</v>
      </c>
      <c r="AD271" s="96" t="s">
        <v>493</v>
      </c>
      <c r="AE271" s="96" t="s">
        <v>494</v>
      </c>
      <c r="AF271" s="96" t="s">
        <v>495</v>
      </c>
      <c r="AG271" s="96" t="s">
        <v>110</v>
      </c>
      <c r="AH271" s="96">
        <v>1977</v>
      </c>
      <c r="AI271" s="96" t="s">
        <v>496</v>
      </c>
      <c r="AJ271" s="96" t="s">
        <v>497</v>
      </c>
      <c r="AK271" s="27" t="s">
        <v>110</v>
      </c>
    </row>
    <row r="272" spans="1:37">
      <c r="A272" s="70">
        <v>267</v>
      </c>
      <c r="B272" s="70">
        <f t="shared" si="12"/>
        <v>0</v>
      </c>
      <c r="C272" s="71"/>
      <c r="D272" s="59" t="s">
        <v>92</v>
      </c>
      <c r="E272" s="60">
        <v>14136</v>
      </c>
      <c r="F272" s="10" t="s">
        <v>796</v>
      </c>
      <c r="G272" s="60">
        <v>601</v>
      </c>
      <c r="H272" s="81">
        <v>3305</v>
      </c>
      <c r="I272" s="86">
        <v>2750</v>
      </c>
      <c r="J272" s="81">
        <v>3305</v>
      </c>
      <c r="K272" s="86">
        <v>2750</v>
      </c>
      <c r="L272" s="81">
        <v>266</v>
      </c>
      <c r="M272" s="86">
        <v>311</v>
      </c>
      <c r="N272" s="81">
        <v>255625</v>
      </c>
      <c r="O272" s="86">
        <v>199628</v>
      </c>
      <c r="P272" s="89">
        <f t="shared" si="13"/>
        <v>288.5</v>
      </c>
      <c r="Q272" s="89">
        <f t="shared" si="14"/>
        <v>227626.5</v>
      </c>
      <c r="R272" s="96" t="s">
        <v>94</v>
      </c>
      <c r="S272" s="96" t="s">
        <v>124</v>
      </c>
      <c r="T272" s="96" t="s">
        <v>94</v>
      </c>
      <c r="U272" s="96" t="s">
        <v>136</v>
      </c>
      <c r="V272" s="96" t="s">
        <v>766</v>
      </c>
      <c r="W272" s="96" t="s">
        <v>767</v>
      </c>
      <c r="X272" s="96" t="s">
        <v>98</v>
      </c>
      <c r="Y272" s="96" t="s">
        <v>225</v>
      </c>
      <c r="Z272" s="96" t="s">
        <v>797</v>
      </c>
      <c r="AA272" s="96" t="s">
        <v>798</v>
      </c>
      <c r="AB272" s="96" t="s">
        <v>799</v>
      </c>
      <c r="AC272" s="96" t="s">
        <v>800</v>
      </c>
      <c r="AD272" s="96" t="s">
        <v>801</v>
      </c>
      <c r="AE272" s="96" t="s">
        <v>802</v>
      </c>
      <c r="AF272" s="96" t="s">
        <v>803</v>
      </c>
      <c r="AG272" s="96" t="s">
        <v>804</v>
      </c>
      <c r="AH272" s="96">
        <v>1781</v>
      </c>
      <c r="AI272" s="96" t="s">
        <v>805</v>
      </c>
      <c r="AJ272" s="96" t="s">
        <v>806</v>
      </c>
      <c r="AK272" s="27" t="s">
        <v>110</v>
      </c>
    </row>
    <row r="273" spans="1:37">
      <c r="A273" s="70">
        <v>268</v>
      </c>
      <c r="B273" s="70">
        <f t="shared" si="12"/>
        <v>0</v>
      </c>
      <c r="C273" s="71"/>
      <c r="D273" s="59" t="s">
        <v>92</v>
      </c>
      <c r="E273" s="60">
        <v>12772</v>
      </c>
      <c r="F273" s="10" t="s">
        <v>561</v>
      </c>
      <c r="G273" s="60">
        <v>611</v>
      </c>
      <c r="H273" s="81">
        <v>20</v>
      </c>
      <c r="I273" s="86" t="s">
        <v>110</v>
      </c>
      <c r="J273" s="81">
        <v>20</v>
      </c>
      <c r="K273" s="86" t="s">
        <v>110</v>
      </c>
      <c r="L273" s="81">
        <v>280</v>
      </c>
      <c r="M273" s="86" t="s">
        <v>110</v>
      </c>
      <c r="N273" s="81">
        <v>228181</v>
      </c>
      <c r="O273" s="86" t="s">
        <v>110</v>
      </c>
      <c r="P273" s="89">
        <f t="shared" si="13"/>
        <v>280</v>
      </c>
      <c r="Q273" s="89">
        <f t="shared" si="14"/>
        <v>228181</v>
      </c>
      <c r="R273" s="96" t="s">
        <v>94</v>
      </c>
      <c r="S273" s="96" t="s">
        <v>562</v>
      </c>
      <c r="T273" s="96" t="s">
        <v>94</v>
      </c>
      <c r="U273" s="96" t="s">
        <v>136</v>
      </c>
      <c r="V273" s="96" t="s">
        <v>94</v>
      </c>
      <c r="W273" s="96" t="s">
        <v>97</v>
      </c>
      <c r="X273" s="96" t="s">
        <v>500</v>
      </c>
      <c r="Y273" s="96" t="s">
        <v>225</v>
      </c>
      <c r="Z273" s="96" t="s">
        <v>226</v>
      </c>
      <c r="AA273" s="96" t="s">
        <v>563</v>
      </c>
      <c r="AB273" s="96" t="s">
        <v>564</v>
      </c>
      <c r="AC273" s="96" t="s">
        <v>565</v>
      </c>
      <c r="AD273" s="96" t="s">
        <v>566</v>
      </c>
      <c r="AE273" s="96" t="s">
        <v>567</v>
      </c>
      <c r="AF273" s="96" t="s">
        <v>568</v>
      </c>
      <c r="AG273" s="96" t="s">
        <v>569</v>
      </c>
      <c r="AH273" s="96">
        <v>1839</v>
      </c>
      <c r="AI273" s="96" t="s">
        <v>570</v>
      </c>
      <c r="AJ273" s="96" t="s">
        <v>571</v>
      </c>
      <c r="AK273" s="27" t="s">
        <v>110</v>
      </c>
    </row>
    <row r="274" spans="1:37">
      <c r="A274" s="70">
        <v>269</v>
      </c>
      <c r="B274" s="70">
        <f t="shared" si="12"/>
        <v>0</v>
      </c>
      <c r="C274" s="71"/>
      <c r="D274" s="59" t="s">
        <v>92</v>
      </c>
      <c r="E274" s="60">
        <v>12954</v>
      </c>
      <c r="F274" s="10" t="s">
        <v>729</v>
      </c>
      <c r="G274" s="60">
        <v>606</v>
      </c>
      <c r="H274" s="81">
        <v>30</v>
      </c>
      <c r="I274" s="86" t="s">
        <v>110</v>
      </c>
      <c r="J274" s="81">
        <v>30</v>
      </c>
      <c r="K274" s="86" t="s">
        <v>110</v>
      </c>
      <c r="L274" s="81">
        <v>278</v>
      </c>
      <c r="M274" s="86" t="s">
        <v>110</v>
      </c>
      <c r="N274" s="81">
        <v>230785</v>
      </c>
      <c r="O274" s="86" t="s">
        <v>110</v>
      </c>
      <c r="P274" s="89">
        <f t="shared" si="13"/>
        <v>278</v>
      </c>
      <c r="Q274" s="89">
        <f t="shared" si="14"/>
        <v>230785</v>
      </c>
      <c r="R274" s="96" t="s">
        <v>94</v>
      </c>
      <c r="S274" s="96" t="s">
        <v>730</v>
      </c>
      <c r="T274" s="96" t="s">
        <v>94</v>
      </c>
      <c r="U274" s="96" t="s">
        <v>136</v>
      </c>
      <c r="V274" s="96" t="s">
        <v>94</v>
      </c>
      <c r="W274" s="96" t="s">
        <v>97</v>
      </c>
      <c r="X274" s="96" t="s">
        <v>147</v>
      </c>
      <c r="Y274" s="96" t="s">
        <v>110</v>
      </c>
      <c r="Z274" s="96" t="s">
        <v>148</v>
      </c>
      <c r="AA274" s="96" t="s">
        <v>731</v>
      </c>
      <c r="AB274" s="96" t="s">
        <v>732</v>
      </c>
      <c r="AC274" s="96" t="s">
        <v>733</v>
      </c>
      <c r="AD274" s="96" t="s">
        <v>734</v>
      </c>
      <c r="AE274" s="96" t="s">
        <v>735</v>
      </c>
      <c r="AF274" s="96" t="s">
        <v>736</v>
      </c>
      <c r="AG274" s="96" t="s">
        <v>737</v>
      </c>
      <c r="AH274" s="96">
        <v>1724</v>
      </c>
      <c r="AI274" s="96" t="s">
        <v>738</v>
      </c>
      <c r="AJ274" s="96" t="s">
        <v>739</v>
      </c>
      <c r="AK274" s="27" t="s">
        <v>110</v>
      </c>
    </row>
    <row r="275" spans="1:37">
      <c r="A275" s="70">
        <v>270</v>
      </c>
      <c r="B275" s="70">
        <f t="shared" si="12"/>
        <v>0</v>
      </c>
      <c r="C275" s="71"/>
      <c r="D275" s="59" t="s">
        <v>92</v>
      </c>
      <c r="E275" s="60">
        <v>12736</v>
      </c>
      <c r="F275" s="10" t="s">
        <v>572</v>
      </c>
      <c r="G275" s="60">
        <v>605</v>
      </c>
      <c r="H275" s="81">
        <v>55</v>
      </c>
      <c r="I275" s="86" t="s">
        <v>110</v>
      </c>
      <c r="J275" s="81">
        <v>55</v>
      </c>
      <c r="K275" s="86" t="s">
        <v>110</v>
      </c>
      <c r="L275" s="81">
        <v>278</v>
      </c>
      <c r="M275" s="86" t="s">
        <v>110</v>
      </c>
      <c r="N275" s="81">
        <v>231276</v>
      </c>
      <c r="O275" s="86" t="s">
        <v>110</v>
      </c>
      <c r="P275" s="89">
        <f t="shared" si="13"/>
        <v>278</v>
      </c>
      <c r="Q275" s="89">
        <f t="shared" si="14"/>
        <v>231276</v>
      </c>
      <c r="R275" s="96" t="s">
        <v>94</v>
      </c>
      <c r="S275" s="96" t="s">
        <v>168</v>
      </c>
      <c r="T275" s="96" t="s">
        <v>94</v>
      </c>
      <c r="U275" s="96" t="s">
        <v>136</v>
      </c>
      <c r="V275" s="96" t="s">
        <v>94</v>
      </c>
      <c r="W275" s="96" t="s">
        <v>97</v>
      </c>
      <c r="X275" s="96" t="s">
        <v>169</v>
      </c>
      <c r="Y275" s="96" t="s">
        <v>573</v>
      </c>
      <c r="Z275" s="96" t="s">
        <v>110</v>
      </c>
      <c r="AA275" s="96" t="s">
        <v>574</v>
      </c>
      <c r="AB275" s="96" t="s">
        <v>110</v>
      </c>
      <c r="AC275" s="96" t="s">
        <v>575</v>
      </c>
      <c r="AD275" s="96" t="s">
        <v>576</v>
      </c>
      <c r="AE275" s="96" t="s">
        <v>577</v>
      </c>
      <c r="AF275" s="96" t="s">
        <v>578</v>
      </c>
      <c r="AG275" s="96" t="s">
        <v>110</v>
      </c>
      <c r="AH275" s="96">
        <v>1654</v>
      </c>
      <c r="AI275" s="96" t="s">
        <v>579</v>
      </c>
      <c r="AJ275" s="96" t="s">
        <v>580</v>
      </c>
      <c r="AK275" s="27" t="s">
        <v>110</v>
      </c>
    </row>
    <row r="276" spans="1:37">
      <c r="A276" s="70">
        <v>271</v>
      </c>
      <c r="B276" s="70">
        <f t="shared" si="12"/>
        <v>0</v>
      </c>
      <c r="C276" s="71"/>
      <c r="D276" s="59" t="s">
        <v>92</v>
      </c>
      <c r="E276" s="60">
        <v>11121</v>
      </c>
      <c r="F276" s="10" t="s">
        <v>776</v>
      </c>
      <c r="G276" s="60">
        <v>602</v>
      </c>
      <c r="H276" s="81">
        <v>112</v>
      </c>
      <c r="I276" s="86">
        <v>34</v>
      </c>
      <c r="J276" s="81">
        <v>112</v>
      </c>
      <c r="K276" s="86">
        <v>34</v>
      </c>
      <c r="L276" s="81">
        <v>275</v>
      </c>
      <c r="M276" s="86">
        <v>297</v>
      </c>
      <c r="N276" s="81">
        <v>237590</v>
      </c>
      <c r="O276" s="86">
        <v>226337</v>
      </c>
      <c r="P276" s="89">
        <f t="shared" si="13"/>
        <v>286</v>
      </c>
      <c r="Q276" s="89">
        <f t="shared" si="14"/>
        <v>231963.5</v>
      </c>
      <c r="R276" s="96" t="s">
        <v>94</v>
      </c>
      <c r="S276" s="96" t="s">
        <v>124</v>
      </c>
      <c r="T276" s="96" t="s">
        <v>94</v>
      </c>
      <c r="U276" s="96" t="s">
        <v>136</v>
      </c>
      <c r="V276" s="96" t="s">
        <v>766</v>
      </c>
      <c r="W276" s="96" t="s">
        <v>767</v>
      </c>
      <c r="X276" s="96" t="s">
        <v>98</v>
      </c>
      <c r="Y276" s="96" t="s">
        <v>110</v>
      </c>
      <c r="Z276" s="96" t="s">
        <v>110</v>
      </c>
      <c r="AA276" s="96" t="s">
        <v>777</v>
      </c>
      <c r="AB276" s="96" t="s">
        <v>778</v>
      </c>
      <c r="AC276" s="96" t="s">
        <v>779</v>
      </c>
      <c r="AD276" s="96" t="s">
        <v>780</v>
      </c>
      <c r="AE276" s="96" t="s">
        <v>781</v>
      </c>
      <c r="AF276" s="96" t="s">
        <v>782</v>
      </c>
      <c r="AG276" s="96" t="s">
        <v>783</v>
      </c>
      <c r="AH276" s="96">
        <v>2335</v>
      </c>
      <c r="AI276" s="96" t="s">
        <v>784</v>
      </c>
      <c r="AJ276" s="96" t="s">
        <v>785</v>
      </c>
      <c r="AK276" s="27" t="s">
        <v>110</v>
      </c>
    </row>
    <row r="277" spans="1:37">
      <c r="A277" s="70">
        <v>272</v>
      </c>
      <c r="B277" s="70">
        <f t="shared" si="12"/>
        <v>0</v>
      </c>
      <c r="C277" s="71"/>
      <c r="D277" s="59" t="s">
        <v>92</v>
      </c>
      <c r="E277" s="60">
        <v>12575</v>
      </c>
      <c r="F277" s="10" t="s">
        <v>786</v>
      </c>
      <c r="G277" s="60">
        <v>602</v>
      </c>
      <c r="H277" s="81">
        <v>290</v>
      </c>
      <c r="I277" s="86">
        <v>80</v>
      </c>
      <c r="J277" s="81">
        <v>290</v>
      </c>
      <c r="K277" s="86">
        <v>80</v>
      </c>
      <c r="L277" s="81">
        <v>262</v>
      </c>
      <c r="M277" s="86">
        <v>293</v>
      </c>
      <c r="N277" s="81">
        <v>262542</v>
      </c>
      <c r="O277" s="86">
        <v>233535</v>
      </c>
      <c r="P277" s="89">
        <f t="shared" si="13"/>
        <v>277.5</v>
      </c>
      <c r="Q277" s="89">
        <f t="shared" si="14"/>
        <v>248038.5</v>
      </c>
      <c r="R277" s="96" t="s">
        <v>94</v>
      </c>
      <c r="S277" s="96" t="s">
        <v>124</v>
      </c>
      <c r="T277" s="96" t="s">
        <v>94</v>
      </c>
      <c r="U277" s="96" t="s">
        <v>136</v>
      </c>
      <c r="V277" s="96" t="s">
        <v>766</v>
      </c>
      <c r="W277" s="96" t="s">
        <v>767</v>
      </c>
      <c r="X277" s="96" t="s">
        <v>98</v>
      </c>
      <c r="Y277" s="96" t="s">
        <v>110</v>
      </c>
      <c r="Z277" s="96" t="s">
        <v>110</v>
      </c>
      <c r="AA277" s="96" t="s">
        <v>787</v>
      </c>
      <c r="AB277" s="96" t="s">
        <v>788</v>
      </c>
      <c r="AC277" s="96" t="s">
        <v>789</v>
      </c>
      <c r="AD277" s="96" t="s">
        <v>790</v>
      </c>
      <c r="AE277" s="96" t="s">
        <v>791</v>
      </c>
      <c r="AF277" s="96" t="s">
        <v>792</v>
      </c>
      <c r="AG277" s="96" t="s">
        <v>793</v>
      </c>
      <c r="AH277" s="96">
        <v>2071</v>
      </c>
      <c r="AI277" s="96" t="s">
        <v>794</v>
      </c>
      <c r="AJ277" s="96" t="s">
        <v>795</v>
      </c>
      <c r="AK277" s="27" t="s">
        <v>110</v>
      </c>
    </row>
    <row r="278" spans="1:37">
      <c r="A278" s="70">
        <v>273</v>
      </c>
      <c r="B278" s="70">
        <f t="shared" si="12"/>
        <v>0</v>
      </c>
      <c r="C278" s="71"/>
      <c r="D278" s="59" t="s">
        <v>92</v>
      </c>
      <c r="E278" s="60">
        <v>12772</v>
      </c>
      <c r="F278" s="10" t="s">
        <v>561</v>
      </c>
      <c r="G278" s="60">
        <v>613</v>
      </c>
      <c r="H278" s="81">
        <v>165</v>
      </c>
      <c r="I278" s="86" t="s">
        <v>110</v>
      </c>
      <c r="J278" s="81">
        <v>165</v>
      </c>
      <c r="K278" s="86" t="s">
        <v>110</v>
      </c>
      <c r="L278" s="81">
        <v>269</v>
      </c>
      <c r="M278" s="86" t="s">
        <v>110</v>
      </c>
      <c r="N278" s="81">
        <v>249854</v>
      </c>
      <c r="O278" s="86" t="s">
        <v>110</v>
      </c>
      <c r="P278" s="89">
        <f t="shared" si="13"/>
        <v>269</v>
      </c>
      <c r="Q278" s="89">
        <f t="shared" si="14"/>
        <v>249854</v>
      </c>
      <c r="R278" s="96" t="s">
        <v>94</v>
      </c>
      <c r="S278" s="96" t="s">
        <v>562</v>
      </c>
      <c r="T278" s="96" t="s">
        <v>94</v>
      </c>
      <c r="U278" s="96" t="s">
        <v>136</v>
      </c>
      <c r="V278" s="96" t="s">
        <v>94</v>
      </c>
      <c r="W278" s="96" t="s">
        <v>97</v>
      </c>
      <c r="X278" s="96" t="s">
        <v>500</v>
      </c>
      <c r="Y278" s="96" t="s">
        <v>225</v>
      </c>
      <c r="Z278" s="96" t="s">
        <v>226</v>
      </c>
      <c r="AA278" s="96" t="s">
        <v>563</v>
      </c>
      <c r="AB278" s="96" t="s">
        <v>564</v>
      </c>
      <c r="AC278" s="96" t="s">
        <v>565</v>
      </c>
      <c r="AD278" s="96" t="s">
        <v>566</v>
      </c>
      <c r="AE278" s="96" t="s">
        <v>567</v>
      </c>
      <c r="AF278" s="96" t="s">
        <v>568</v>
      </c>
      <c r="AG278" s="96" t="s">
        <v>569</v>
      </c>
      <c r="AH278" s="96">
        <v>1839</v>
      </c>
      <c r="AI278" s="96" t="s">
        <v>570</v>
      </c>
      <c r="AJ278" s="96" t="s">
        <v>571</v>
      </c>
      <c r="AK278" s="27" t="s">
        <v>110</v>
      </c>
    </row>
    <row r="279" spans="1:37">
      <c r="A279" s="70">
        <v>274</v>
      </c>
      <c r="B279" s="70">
        <f t="shared" si="12"/>
        <v>0</v>
      </c>
      <c r="C279" s="71"/>
      <c r="D279" s="59" t="s">
        <v>92</v>
      </c>
      <c r="E279" s="60">
        <v>14136</v>
      </c>
      <c r="F279" s="10" t="s">
        <v>796</v>
      </c>
      <c r="G279" s="60">
        <v>605</v>
      </c>
      <c r="H279" s="81">
        <v>120</v>
      </c>
      <c r="I279" s="86">
        <v>540</v>
      </c>
      <c r="J279" s="81">
        <v>120</v>
      </c>
      <c r="K279" s="86">
        <v>540</v>
      </c>
      <c r="L279" s="81">
        <v>263</v>
      </c>
      <c r="M279" s="86">
        <v>286</v>
      </c>
      <c r="N279" s="81">
        <v>260976</v>
      </c>
      <c r="O279" s="86">
        <v>247391</v>
      </c>
      <c r="P279" s="89">
        <f t="shared" si="13"/>
        <v>274.5</v>
      </c>
      <c r="Q279" s="89">
        <f t="shared" si="14"/>
        <v>254183.5</v>
      </c>
      <c r="R279" s="96" t="s">
        <v>94</v>
      </c>
      <c r="S279" s="96" t="s">
        <v>124</v>
      </c>
      <c r="T279" s="96" t="s">
        <v>94</v>
      </c>
      <c r="U279" s="96" t="s">
        <v>136</v>
      </c>
      <c r="V279" s="96" t="s">
        <v>766</v>
      </c>
      <c r="W279" s="96" t="s">
        <v>767</v>
      </c>
      <c r="X279" s="96" t="s">
        <v>98</v>
      </c>
      <c r="Y279" s="96" t="s">
        <v>225</v>
      </c>
      <c r="Z279" s="96" t="s">
        <v>797</v>
      </c>
      <c r="AA279" s="96" t="s">
        <v>798</v>
      </c>
      <c r="AB279" s="96" t="s">
        <v>799</v>
      </c>
      <c r="AC279" s="96" t="s">
        <v>800</v>
      </c>
      <c r="AD279" s="96" t="s">
        <v>801</v>
      </c>
      <c r="AE279" s="96" t="s">
        <v>802</v>
      </c>
      <c r="AF279" s="96" t="s">
        <v>803</v>
      </c>
      <c r="AG279" s="96" t="s">
        <v>804</v>
      </c>
      <c r="AH279" s="96">
        <v>1781</v>
      </c>
      <c r="AI279" s="96" t="s">
        <v>805</v>
      </c>
      <c r="AJ279" s="96" t="s">
        <v>806</v>
      </c>
      <c r="AK279" s="27" t="s">
        <v>110</v>
      </c>
    </row>
    <row r="280" spans="1:37">
      <c r="A280" s="70">
        <v>275</v>
      </c>
      <c r="B280" s="70">
        <f t="shared" si="12"/>
        <v>0</v>
      </c>
      <c r="C280" s="71"/>
      <c r="D280" s="59" t="s">
        <v>92</v>
      </c>
      <c r="E280" s="60">
        <v>13928</v>
      </c>
      <c r="F280" s="10" t="s">
        <v>807</v>
      </c>
      <c r="G280" s="60">
        <v>602</v>
      </c>
      <c r="H280" s="81">
        <v>952</v>
      </c>
      <c r="I280" s="86" t="s">
        <v>110</v>
      </c>
      <c r="J280" s="81">
        <v>952</v>
      </c>
      <c r="K280" s="86" t="s">
        <v>110</v>
      </c>
      <c r="L280" s="81">
        <v>266</v>
      </c>
      <c r="M280" s="86" t="s">
        <v>110</v>
      </c>
      <c r="N280" s="81">
        <v>256126</v>
      </c>
      <c r="O280" s="86" t="s">
        <v>110</v>
      </c>
      <c r="P280" s="89">
        <f t="shared" si="13"/>
        <v>266</v>
      </c>
      <c r="Q280" s="89">
        <f t="shared" si="14"/>
        <v>256126</v>
      </c>
      <c r="R280" s="96" t="s">
        <v>94</v>
      </c>
      <c r="S280" s="96" t="s">
        <v>124</v>
      </c>
      <c r="T280" s="96" t="s">
        <v>94</v>
      </c>
      <c r="U280" s="96" t="s">
        <v>136</v>
      </c>
      <c r="V280" s="96" t="s">
        <v>766</v>
      </c>
      <c r="W280" s="96" t="s">
        <v>767</v>
      </c>
      <c r="X280" s="96" t="s">
        <v>98</v>
      </c>
      <c r="Y280" s="96" t="s">
        <v>110</v>
      </c>
      <c r="Z280" s="96" t="s">
        <v>110</v>
      </c>
      <c r="AA280" s="96" t="s">
        <v>808</v>
      </c>
      <c r="AB280" s="96" t="s">
        <v>809</v>
      </c>
      <c r="AC280" s="96" t="s">
        <v>810</v>
      </c>
      <c r="AD280" s="96" t="s">
        <v>811</v>
      </c>
      <c r="AE280" s="96" t="s">
        <v>812</v>
      </c>
      <c r="AF280" s="96" t="s">
        <v>813</v>
      </c>
      <c r="AG280" s="96" t="s">
        <v>814</v>
      </c>
      <c r="AH280" s="96">
        <v>2435</v>
      </c>
      <c r="AI280" s="96" t="s">
        <v>815</v>
      </c>
      <c r="AJ280" s="96" t="s">
        <v>816</v>
      </c>
      <c r="AK280" s="27" t="s">
        <v>110</v>
      </c>
    </row>
    <row r="281" spans="1:37">
      <c r="A281" s="70">
        <v>276</v>
      </c>
      <c r="B281" s="70">
        <f t="shared" si="12"/>
        <v>0</v>
      </c>
      <c r="C281" s="71"/>
      <c r="D281" s="59" t="s">
        <v>92</v>
      </c>
      <c r="E281" s="60">
        <v>13912</v>
      </c>
      <c r="F281" s="10" t="s">
        <v>817</v>
      </c>
      <c r="G281" s="60">
        <v>601</v>
      </c>
      <c r="H281" s="81">
        <v>1180</v>
      </c>
      <c r="I281" s="86">
        <v>501</v>
      </c>
      <c r="J281" s="81">
        <v>1180</v>
      </c>
      <c r="K281" s="86">
        <v>501</v>
      </c>
      <c r="L281" s="81">
        <v>259</v>
      </c>
      <c r="M281" s="86">
        <v>275</v>
      </c>
      <c r="N281" s="81">
        <v>269201</v>
      </c>
      <c r="O281" s="86">
        <v>266645</v>
      </c>
      <c r="P281" s="89">
        <f t="shared" si="13"/>
        <v>267</v>
      </c>
      <c r="Q281" s="89">
        <f t="shared" si="14"/>
        <v>267923</v>
      </c>
      <c r="R281" s="96" t="s">
        <v>94</v>
      </c>
      <c r="S281" s="96" t="s">
        <v>124</v>
      </c>
      <c r="T281" s="96" t="s">
        <v>94</v>
      </c>
      <c r="U281" s="96" t="s">
        <v>136</v>
      </c>
      <c r="V281" s="96" t="s">
        <v>766</v>
      </c>
      <c r="W281" s="96" t="s">
        <v>767</v>
      </c>
      <c r="X281" s="96" t="s">
        <v>98</v>
      </c>
      <c r="Y281" s="96" t="s">
        <v>110</v>
      </c>
      <c r="Z281" s="96" t="s">
        <v>797</v>
      </c>
      <c r="AA281" s="96" t="s">
        <v>818</v>
      </c>
      <c r="AB281" s="96" t="s">
        <v>819</v>
      </c>
      <c r="AC281" s="96" t="s">
        <v>820</v>
      </c>
      <c r="AD281" s="96" t="s">
        <v>821</v>
      </c>
      <c r="AE281" s="96" t="s">
        <v>822</v>
      </c>
      <c r="AF281" s="96" t="s">
        <v>823</v>
      </c>
      <c r="AG281" s="96" t="s">
        <v>110</v>
      </c>
      <c r="AH281" s="96">
        <v>2467</v>
      </c>
      <c r="AI281" s="96" t="s">
        <v>824</v>
      </c>
      <c r="AJ281" s="96" t="s">
        <v>825</v>
      </c>
      <c r="AK281" s="27" t="s">
        <v>110</v>
      </c>
    </row>
    <row r="282" spans="1:37">
      <c r="A282" s="70">
        <v>277</v>
      </c>
      <c r="B282" s="70">
        <f t="shared" si="12"/>
        <v>0</v>
      </c>
      <c r="C282" s="71"/>
      <c r="D282" s="59" t="s">
        <v>92</v>
      </c>
      <c r="E282" s="60">
        <v>13721</v>
      </c>
      <c r="F282" s="10" t="s">
        <v>826</v>
      </c>
      <c r="G282" s="60">
        <v>601</v>
      </c>
      <c r="H282" s="81">
        <v>30</v>
      </c>
      <c r="I282" s="86">
        <v>513</v>
      </c>
      <c r="J282" s="81">
        <v>30</v>
      </c>
      <c r="K282" s="86">
        <v>513</v>
      </c>
      <c r="L282" s="81">
        <v>274</v>
      </c>
      <c r="M282" s="86">
        <v>252</v>
      </c>
      <c r="N282" s="81">
        <v>240251</v>
      </c>
      <c r="O282" s="86">
        <v>303402</v>
      </c>
      <c r="P282" s="89">
        <f t="shared" si="13"/>
        <v>263</v>
      </c>
      <c r="Q282" s="89">
        <f t="shared" si="14"/>
        <v>271826.5</v>
      </c>
      <c r="R282" s="96" t="s">
        <v>94</v>
      </c>
      <c r="S282" s="96" t="s">
        <v>145</v>
      </c>
      <c r="T282" s="96" t="s">
        <v>94</v>
      </c>
      <c r="U282" s="96" t="s">
        <v>96</v>
      </c>
      <c r="V282" s="96" t="s">
        <v>766</v>
      </c>
      <c r="W282" s="96" t="s">
        <v>767</v>
      </c>
      <c r="X282" s="96" t="s">
        <v>147</v>
      </c>
      <c r="Y282" s="96" t="s">
        <v>110</v>
      </c>
      <c r="Z282" s="96" t="s">
        <v>110</v>
      </c>
      <c r="AA282" s="96" t="s">
        <v>827</v>
      </c>
      <c r="AB282" s="96" t="s">
        <v>110</v>
      </c>
      <c r="AC282" s="96" t="s">
        <v>828</v>
      </c>
      <c r="AD282" s="96" t="s">
        <v>829</v>
      </c>
      <c r="AE282" s="96" t="s">
        <v>830</v>
      </c>
      <c r="AF282" s="96" t="s">
        <v>831</v>
      </c>
      <c r="AG282" s="96" t="s">
        <v>110</v>
      </c>
      <c r="AH282" s="96">
        <v>1289</v>
      </c>
      <c r="AI282" s="96" t="s">
        <v>832</v>
      </c>
      <c r="AJ282" s="96" t="s">
        <v>833</v>
      </c>
      <c r="AK282" s="27" t="s">
        <v>110</v>
      </c>
    </row>
    <row r="283" spans="1:37">
      <c r="A283" s="70">
        <v>278</v>
      </c>
      <c r="B283" s="70">
        <f t="shared" si="12"/>
        <v>0</v>
      </c>
      <c r="C283" s="71"/>
      <c r="D283" s="59" t="s">
        <v>92</v>
      </c>
      <c r="E283" s="60">
        <v>13715</v>
      </c>
      <c r="F283" s="10" t="s">
        <v>834</v>
      </c>
      <c r="G283" s="60">
        <v>603</v>
      </c>
      <c r="H283" s="81">
        <v>68</v>
      </c>
      <c r="I283" s="86">
        <v>60</v>
      </c>
      <c r="J283" s="81">
        <v>68</v>
      </c>
      <c r="K283" s="86">
        <v>60</v>
      </c>
      <c r="L283" s="81">
        <v>251</v>
      </c>
      <c r="M283" s="86">
        <v>277</v>
      </c>
      <c r="N283" s="81">
        <v>284032</v>
      </c>
      <c r="O283" s="86">
        <v>262638</v>
      </c>
      <c r="P283" s="89">
        <f t="shared" si="13"/>
        <v>264</v>
      </c>
      <c r="Q283" s="89">
        <f t="shared" si="14"/>
        <v>273335</v>
      </c>
      <c r="R283" s="96" t="s">
        <v>94</v>
      </c>
      <c r="S283" s="96" t="s">
        <v>124</v>
      </c>
      <c r="T283" s="96" t="s">
        <v>94</v>
      </c>
      <c r="U283" s="96" t="s">
        <v>136</v>
      </c>
      <c r="V283" s="96" t="s">
        <v>766</v>
      </c>
      <c r="W283" s="96" t="s">
        <v>767</v>
      </c>
      <c r="X283" s="96" t="s">
        <v>98</v>
      </c>
      <c r="Y283" s="96" t="s">
        <v>382</v>
      </c>
      <c r="Z283" s="96" t="s">
        <v>797</v>
      </c>
      <c r="AA283" s="96" t="s">
        <v>835</v>
      </c>
      <c r="AB283" s="96" t="s">
        <v>836</v>
      </c>
      <c r="AC283" s="96" t="s">
        <v>837</v>
      </c>
      <c r="AD283" s="96" t="s">
        <v>838</v>
      </c>
      <c r="AE283" s="96" t="s">
        <v>839</v>
      </c>
      <c r="AF283" s="96" t="s">
        <v>840</v>
      </c>
      <c r="AG283" s="96" t="s">
        <v>110</v>
      </c>
      <c r="AH283" s="96">
        <v>1947</v>
      </c>
      <c r="AI283" s="96" t="s">
        <v>841</v>
      </c>
      <c r="AJ283" s="96" t="s">
        <v>842</v>
      </c>
      <c r="AK283" s="27" t="s">
        <v>110</v>
      </c>
    </row>
    <row r="284" spans="1:37">
      <c r="A284" s="70">
        <v>279</v>
      </c>
      <c r="B284" s="70">
        <f t="shared" si="12"/>
        <v>0</v>
      </c>
      <c r="C284" s="71"/>
      <c r="D284" s="59" t="s">
        <v>92</v>
      </c>
      <c r="E284" s="60">
        <v>14125</v>
      </c>
      <c r="F284" s="10" t="s">
        <v>843</v>
      </c>
      <c r="G284" s="60">
        <v>603</v>
      </c>
      <c r="H284" s="81">
        <v>2266</v>
      </c>
      <c r="I284" s="86">
        <v>2505</v>
      </c>
      <c r="J284" s="81">
        <v>2266</v>
      </c>
      <c r="K284" s="86">
        <v>2506</v>
      </c>
      <c r="L284" s="81">
        <v>257</v>
      </c>
      <c r="M284" s="86">
        <v>268</v>
      </c>
      <c r="N284" s="81">
        <v>272388</v>
      </c>
      <c r="O284" s="86">
        <v>279226</v>
      </c>
      <c r="P284" s="89">
        <f t="shared" si="13"/>
        <v>262.5</v>
      </c>
      <c r="Q284" s="89">
        <f t="shared" si="14"/>
        <v>275807</v>
      </c>
      <c r="R284" s="96" t="s">
        <v>94</v>
      </c>
      <c r="S284" s="96" t="s">
        <v>124</v>
      </c>
      <c r="T284" s="96" t="s">
        <v>94</v>
      </c>
      <c r="U284" s="96" t="s">
        <v>136</v>
      </c>
      <c r="V284" s="96" t="s">
        <v>766</v>
      </c>
      <c r="W284" s="96" t="s">
        <v>767</v>
      </c>
      <c r="X284" s="96" t="s">
        <v>98</v>
      </c>
      <c r="Y284" s="96" t="s">
        <v>110</v>
      </c>
      <c r="Z284" s="96" t="s">
        <v>110</v>
      </c>
      <c r="AA284" s="96" t="s">
        <v>844</v>
      </c>
      <c r="AB284" s="96" t="s">
        <v>845</v>
      </c>
      <c r="AC284" s="96" t="s">
        <v>846</v>
      </c>
      <c r="AD284" s="96" t="s">
        <v>847</v>
      </c>
      <c r="AE284" s="96" t="s">
        <v>848</v>
      </c>
      <c r="AF284" s="96" t="s">
        <v>849</v>
      </c>
      <c r="AG284" s="96" t="s">
        <v>850</v>
      </c>
      <c r="AH284" s="96">
        <v>2428</v>
      </c>
      <c r="AI284" s="96" t="s">
        <v>851</v>
      </c>
      <c r="AJ284" s="96" t="s">
        <v>852</v>
      </c>
      <c r="AK284" s="27" t="s">
        <v>110</v>
      </c>
    </row>
    <row r="285" spans="1:37">
      <c r="A285" s="70">
        <v>280</v>
      </c>
      <c r="B285" s="70">
        <f t="shared" si="12"/>
        <v>0</v>
      </c>
      <c r="C285" s="71"/>
      <c r="D285" s="59" t="s">
        <v>92</v>
      </c>
      <c r="E285" s="60">
        <v>12325</v>
      </c>
      <c r="F285" s="10" t="s">
        <v>853</v>
      </c>
      <c r="G285" s="60">
        <v>601</v>
      </c>
      <c r="H285" s="81">
        <v>652</v>
      </c>
      <c r="I285" s="86">
        <v>977</v>
      </c>
      <c r="J285" s="81">
        <v>652</v>
      </c>
      <c r="K285" s="86">
        <v>977</v>
      </c>
      <c r="L285" s="81">
        <v>252</v>
      </c>
      <c r="M285" s="86">
        <v>265</v>
      </c>
      <c r="N285" s="81">
        <v>282039</v>
      </c>
      <c r="O285" s="86">
        <v>283801</v>
      </c>
      <c r="P285" s="89">
        <f t="shared" si="13"/>
        <v>258.5</v>
      </c>
      <c r="Q285" s="89">
        <f t="shared" si="14"/>
        <v>282920</v>
      </c>
      <c r="R285" s="96" t="s">
        <v>94</v>
      </c>
      <c r="S285" s="96" t="s">
        <v>95</v>
      </c>
      <c r="T285" s="96" t="s">
        <v>94</v>
      </c>
      <c r="U285" s="96" t="s">
        <v>136</v>
      </c>
      <c r="V285" s="96" t="s">
        <v>766</v>
      </c>
      <c r="W285" s="96" t="s">
        <v>767</v>
      </c>
      <c r="X285" s="96" t="s">
        <v>98</v>
      </c>
      <c r="Y285" s="96" t="s">
        <v>110</v>
      </c>
      <c r="Z285" s="96" t="s">
        <v>797</v>
      </c>
      <c r="AA285" s="96" t="s">
        <v>854</v>
      </c>
      <c r="AB285" s="96" t="s">
        <v>855</v>
      </c>
      <c r="AC285" s="96" t="s">
        <v>856</v>
      </c>
      <c r="AD285" s="96" t="s">
        <v>857</v>
      </c>
      <c r="AE285" s="96" t="s">
        <v>858</v>
      </c>
      <c r="AF285" s="96" t="s">
        <v>859</v>
      </c>
      <c r="AG285" s="96" t="s">
        <v>110</v>
      </c>
      <c r="AH285" s="96">
        <v>1327</v>
      </c>
      <c r="AI285" s="96" t="s">
        <v>860</v>
      </c>
      <c r="AJ285" s="96" t="s">
        <v>861</v>
      </c>
      <c r="AK285" s="27" t="s">
        <v>110</v>
      </c>
    </row>
    <row r="286" spans="1:37">
      <c r="A286" s="70">
        <v>281</v>
      </c>
      <c r="B286" s="70">
        <f t="shared" si="12"/>
        <v>0</v>
      </c>
      <c r="C286" s="71"/>
      <c r="D286" s="59" t="s">
        <v>92</v>
      </c>
      <c r="E286" s="60">
        <v>13717</v>
      </c>
      <c r="F286" s="10" t="s">
        <v>765</v>
      </c>
      <c r="G286" s="60">
        <v>602</v>
      </c>
      <c r="H286" s="81">
        <v>30</v>
      </c>
      <c r="I286" s="86">
        <v>35</v>
      </c>
      <c r="J286" s="81">
        <v>30</v>
      </c>
      <c r="K286" s="86">
        <v>35</v>
      </c>
      <c r="L286" s="81">
        <v>241</v>
      </c>
      <c r="M286" s="86">
        <v>271</v>
      </c>
      <c r="N286" s="81">
        <v>301837</v>
      </c>
      <c r="O286" s="86">
        <v>273774</v>
      </c>
      <c r="P286" s="89">
        <f t="shared" si="13"/>
        <v>256</v>
      </c>
      <c r="Q286" s="89">
        <f t="shared" si="14"/>
        <v>287805.5</v>
      </c>
      <c r="R286" s="96" t="s">
        <v>94</v>
      </c>
      <c r="S286" s="96" t="s">
        <v>124</v>
      </c>
      <c r="T286" s="96" t="s">
        <v>94</v>
      </c>
      <c r="U286" s="96" t="s">
        <v>96</v>
      </c>
      <c r="V286" s="96" t="s">
        <v>766</v>
      </c>
      <c r="W286" s="96" t="s">
        <v>767</v>
      </c>
      <c r="X286" s="96" t="s">
        <v>98</v>
      </c>
      <c r="Y286" s="96" t="s">
        <v>110</v>
      </c>
      <c r="Z286" s="96" t="s">
        <v>110</v>
      </c>
      <c r="AA286" s="96" t="s">
        <v>768</v>
      </c>
      <c r="AB286" s="96" t="s">
        <v>110</v>
      </c>
      <c r="AC286" s="96" t="s">
        <v>769</v>
      </c>
      <c r="AD286" s="96" t="s">
        <v>770</v>
      </c>
      <c r="AE286" s="96" t="s">
        <v>771</v>
      </c>
      <c r="AF286" s="96" t="s">
        <v>772</v>
      </c>
      <c r="AG286" s="96" t="s">
        <v>773</v>
      </c>
      <c r="AH286" s="96">
        <v>1270</v>
      </c>
      <c r="AI286" s="96" t="s">
        <v>774</v>
      </c>
      <c r="AJ286" s="96" t="s">
        <v>775</v>
      </c>
      <c r="AK286" s="27" t="s">
        <v>110</v>
      </c>
    </row>
    <row r="287" spans="1:37">
      <c r="A287" s="70">
        <v>282</v>
      </c>
      <c r="B287" s="70">
        <f t="shared" si="12"/>
        <v>0</v>
      </c>
      <c r="C287" s="71"/>
      <c r="D287" s="59" t="s">
        <v>92</v>
      </c>
      <c r="E287" s="60">
        <v>13929</v>
      </c>
      <c r="F287" s="10" t="s">
        <v>338</v>
      </c>
      <c r="G287" s="60">
        <v>602</v>
      </c>
      <c r="H287" s="81">
        <v>50</v>
      </c>
      <c r="I287" s="86" t="s">
        <v>110</v>
      </c>
      <c r="J287" s="81">
        <v>50</v>
      </c>
      <c r="K287" s="86" t="s">
        <v>110</v>
      </c>
      <c r="L287" s="81">
        <v>242</v>
      </c>
      <c r="M287" s="86" t="s">
        <v>110</v>
      </c>
      <c r="N287" s="81">
        <v>299259</v>
      </c>
      <c r="O287" s="86" t="s">
        <v>110</v>
      </c>
      <c r="P287" s="89">
        <f t="shared" si="13"/>
        <v>242</v>
      </c>
      <c r="Q287" s="89">
        <f t="shared" si="14"/>
        <v>299259</v>
      </c>
      <c r="R287" s="96" t="s">
        <v>94</v>
      </c>
      <c r="S287" s="96" t="s">
        <v>124</v>
      </c>
      <c r="T287" s="96" t="s">
        <v>94</v>
      </c>
      <c r="U287" s="96" t="s">
        <v>136</v>
      </c>
      <c r="V287" s="96" t="s">
        <v>94</v>
      </c>
      <c r="W287" s="96" t="s">
        <v>97</v>
      </c>
      <c r="X287" s="96" t="s">
        <v>98</v>
      </c>
      <c r="Y287" s="96" t="s">
        <v>110</v>
      </c>
      <c r="Z287" s="96" t="s">
        <v>110</v>
      </c>
      <c r="AA287" s="96" t="s">
        <v>339</v>
      </c>
      <c r="AB287" s="96" t="s">
        <v>340</v>
      </c>
      <c r="AC287" s="96" t="s">
        <v>341</v>
      </c>
      <c r="AD287" s="96" t="s">
        <v>342</v>
      </c>
      <c r="AE287" s="96" t="s">
        <v>343</v>
      </c>
      <c r="AF287" s="96" t="s">
        <v>344</v>
      </c>
      <c r="AG287" s="96" t="s">
        <v>345</v>
      </c>
      <c r="AH287" s="96">
        <v>1436</v>
      </c>
      <c r="AI287" s="96" t="s">
        <v>346</v>
      </c>
      <c r="AJ287" s="96" t="s">
        <v>347</v>
      </c>
      <c r="AK287" s="27" t="s">
        <v>110</v>
      </c>
    </row>
    <row r="288" spans="1:37">
      <c r="A288" s="70">
        <v>283</v>
      </c>
      <c r="B288" s="70">
        <f t="shared" si="12"/>
        <v>0</v>
      </c>
      <c r="C288" s="71"/>
      <c r="D288" s="59" t="s">
        <v>92</v>
      </c>
      <c r="E288" s="60">
        <v>12325</v>
      </c>
      <c r="F288" s="10" t="s">
        <v>853</v>
      </c>
      <c r="G288" s="60">
        <v>603</v>
      </c>
      <c r="H288" s="81">
        <v>24</v>
      </c>
      <c r="I288" s="86">
        <v>45</v>
      </c>
      <c r="J288" s="81">
        <v>24</v>
      </c>
      <c r="K288" s="86">
        <v>45</v>
      </c>
      <c r="L288" s="81">
        <v>250</v>
      </c>
      <c r="M288" s="86">
        <v>244</v>
      </c>
      <c r="N288" s="81">
        <v>286073</v>
      </c>
      <c r="O288" s="86">
        <v>314717</v>
      </c>
      <c r="P288" s="89">
        <f t="shared" si="13"/>
        <v>247</v>
      </c>
      <c r="Q288" s="89">
        <f t="shared" si="14"/>
        <v>300395</v>
      </c>
      <c r="R288" s="96" t="s">
        <v>94</v>
      </c>
      <c r="S288" s="96" t="s">
        <v>95</v>
      </c>
      <c r="T288" s="96" t="s">
        <v>94</v>
      </c>
      <c r="U288" s="96" t="s">
        <v>136</v>
      </c>
      <c r="V288" s="96" t="s">
        <v>766</v>
      </c>
      <c r="W288" s="96" t="s">
        <v>767</v>
      </c>
      <c r="X288" s="96" t="s">
        <v>98</v>
      </c>
      <c r="Y288" s="96" t="s">
        <v>110</v>
      </c>
      <c r="Z288" s="96" t="s">
        <v>797</v>
      </c>
      <c r="AA288" s="96" t="s">
        <v>854</v>
      </c>
      <c r="AB288" s="96" t="s">
        <v>855</v>
      </c>
      <c r="AC288" s="96" t="s">
        <v>856</v>
      </c>
      <c r="AD288" s="96" t="s">
        <v>857</v>
      </c>
      <c r="AE288" s="96" t="s">
        <v>858</v>
      </c>
      <c r="AF288" s="96" t="s">
        <v>859</v>
      </c>
      <c r="AG288" s="96" t="s">
        <v>110</v>
      </c>
      <c r="AH288" s="96">
        <v>1327</v>
      </c>
      <c r="AI288" s="96" t="s">
        <v>860</v>
      </c>
      <c r="AJ288" s="96" t="s">
        <v>861</v>
      </c>
      <c r="AK288" s="27" t="s">
        <v>110</v>
      </c>
    </row>
    <row r="289" spans="1:37">
      <c r="A289" s="70">
        <v>284</v>
      </c>
      <c r="B289" s="70">
        <f t="shared" si="12"/>
        <v>0</v>
      </c>
      <c r="C289" s="71"/>
      <c r="D289" s="59" t="s">
        <v>92</v>
      </c>
      <c r="E289" s="60">
        <v>12749</v>
      </c>
      <c r="F289" s="10" t="s">
        <v>862</v>
      </c>
      <c r="G289" s="60">
        <v>601</v>
      </c>
      <c r="H289" s="81">
        <v>3611</v>
      </c>
      <c r="I289" s="86">
        <v>3184</v>
      </c>
      <c r="J289" s="81">
        <v>3611</v>
      </c>
      <c r="K289" s="86">
        <v>3184</v>
      </c>
      <c r="L289" s="81">
        <v>196</v>
      </c>
      <c r="M289" s="86">
        <v>292</v>
      </c>
      <c r="N289" s="81">
        <v>366065</v>
      </c>
      <c r="O289" s="86">
        <v>236078</v>
      </c>
      <c r="P289" s="89">
        <f t="shared" si="13"/>
        <v>244</v>
      </c>
      <c r="Q289" s="89">
        <f t="shared" si="14"/>
        <v>301071.5</v>
      </c>
      <c r="R289" s="96" t="s">
        <v>94</v>
      </c>
      <c r="S289" s="96" t="s">
        <v>124</v>
      </c>
      <c r="T289" s="96" t="s">
        <v>94</v>
      </c>
      <c r="U289" s="96" t="s">
        <v>136</v>
      </c>
      <c r="V289" s="96" t="s">
        <v>766</v>
      </c>
      <c r="W289" s="96" t="s">
        <v>767</v>
      </c>
      <c r="X289" s="96" t="s">
        <v>98</v>
      </c>
      <c r="Y289" s="96" t="s">
        <v>110</v>
      </c>
      <c r="Z289" s="96" t="s">
        <v>797</v>
      </c>
      <c r="AA289" s="96" t="s">
        <v>863</v>
      </c>
      <c r="AB289" s="96" t="s">
        <v>864</v>
      </c>
      <c r="AC289" s="96" t="s">
        <v>865</v>
      </c>
      <c r="AD289" s="96" t="s">
        <v>866</v>
      </c>
      <c r="AE289" s="96" t="s">
        <v>867</v>
      </c>
      <c r="AF289" s="96" t="s">
        <v>868</v>
      </c>
      <c r="AG289" s="96" t="s">
        <v>110</v>
      </c>
      <c r="AH289" s="96">
        <v>1622</v>
      </c>
      <c r="AI289" s="96" t="s">
        <v>869</v>
      </c>
      <c r="AJ289" s="96" t="s">
        <v>870</v>
      </c>
      <c r="AK289" s="27" t="s">
        <v>110</v>
      </c>
    </row>
    <row r="290" spans="1:37">
      <c r="A290" s="70">
        <v>285</v>
      </c>
      <c r="B290" s="70">
        <f t="shared" si="12"/>
        <v>0</v>
      </c>
      <c r="C290" s="71"/>
      <c r="D290" s="59" t="s">
        <v>92</v>
      </c>
      <c r="E290" s="60">
        <v>13718</v>
      </c>
      <c r="F290" s="10" t="s">
        <v>871</v>
      </c>
      <c r="G290" s="60">
        <v>603</v>
      </c>
      <c r="H290" s="81">
        <v>1625</v>
      </c>
      <c r="I290" s="86">
        <v>763</v>
      </c>
      <c r="J290" s="81">
        <v>1578</v>
      </c>
      <c r="K290" s="86">
        <v>763</v>
      </c>
      <c r="L290" s="81">
        <v>190</v>
      </c>
      <c r="M290" s="86">
        <v>291</v>
      </c>
      <c r="N290" s="81">
        <v>373091</v>
      </c>
      <c r="O290" s="86">
        <v>238550</v>
      </c>
      <c r="P290" s="89">
        <f t="shared" si="13"/>
        <v>240.5</v>
      </c>
      <c r="Q290" s="89">
        <f t="shared" si="14"/>
        <v>305820.5</v>
      </c>
      <c r="R290" s="96" t="s">
        <v>94</v>
      </c>
      <c r="S290" s="96" t="s">
        <v>329</v>
      </c>
      <c r="T290" s="96" t="s">
        <v>94</v>
      </c>
      <c r="U290" s="96" t="s">
        <v>136</v>
      </c>
      <c r="V290" s="96" t="s">
        <v>766</v>
      </c>
      <c r="W290" s="96" t="s">
        <v>767</v>
      </c>
      <c r="X290" s="96" t="s">
        <v>290</v>
      </c>
      <c r="Y290" s="96" t="s">
        <v>110</v>
      </c>
      <c r="Z290" s="96" t="s">
        <v>797</v>
      </c>
      <c r="AA290" s="96" t="s">
        <v>872</v>
      </c>
      <c r="AB290" s="96" t="s">
        <v>873</v>
      </c>
      <c r="AC290" s="96" t="s">
        <v>874</v>
      </c>
      <c r="AD290" s="96" t="s">
        <v>875</v>
      </c>
      <c r="AE290" s="96" t="s">
        <v>876</v>
      </c>
      <c r="AF290" s="96" t="s">
        <v>877</v>
      </c>
      <c r="AG290" s="96" t="s">
        <v>878</v>
      </c>
      <c r="AH290" s="96">
        <v>2425</v>
      </c>
      <c r="AI290" s="96" t="s">
        <v>879</v>
      </c>
      <c r="AJ290" s="96" t="s">
        <v>880</v>
      </c>
      <c r="AK290" s="27" t="s">
        <v>110</v>
      </c>
    </row>
    <row r="291" spans="1:37">
      <c r="A291" s="70">
        <v>286</v>
      </c>
      <c r="B291" s="70">
        <f t="shared" si="12"/>
        <v>0</v>
      </c>
      <c r="C291" s="71"/>
      <c r="D291" s="59" t="s">
        <v>92</v>
      </c>
      <c r="E291" s="60">
        <v>14123</v>
      </c>
      <c r="F291" s="10" t="s">
        <v>881</v>
      </c>
      <c r="G291" s="60">
        <v>601</v>
      </c>
      <c r="H291" s="81">
        <v>747</v>
      </c>
      <c r="I291" s="86">
        <v>650</v>
      </c>
      <c r="J291" s="81">
        <v>700</v>
      </c>
      <c r="K291" s="86">
        <v>650</v>
      </c>
      <c r="L291" s="81">
        <v>190</v>
      </c>
      <c r="M291" s="86">
        <v>287</v>
      </c>
      <c r="N291" s="81">
        <v>373036</v>
      </c>
      <c r="O291" s="86">
        <v>244636</v>
      </c>
      <c r="P291" s="89">
        <f t="shared" si="13"/>
        <v>238.5</v>
      </c>
      <c r="Q291" s="89">
        <f t="shared" si="14"/>
        <v>308836</v>
      </c>
      <c r="R291" s="96" t="s">
        <v>94</v>
      </c>
      <c r="S291" s="96" t="s">
        <v>124</v>
      </c>
      <c r="T291" s="96" t="s">
        <v>94</v>
      </c>
      <c r="U291" s="96" t="s">
        <v>136</v>
      </c>
      <c r="V291" s="96" t="s">
        <v>766</v>
      </c>
      <c r="W291" s="96" t="s">
        <v>767</v>
      </c>
      <c r="X291" s="96" t="s">
        <v>98</v>
      </c>
      <c r="Y291" s="96" t="s">
        <v>110</v>
      </c>
      <c r="Z291" s="96" t="s">
        <v>797</v>
      </c>
      <c r="AA291" s="96" t="s">
        <v>882</v>
      </c>
      <c r="AB291" s="96" t="s">
        <v>883</v>
      </c>
      <c r="AC291" s="96" t="s">
        <v>884</v>
      </c>
      <c r="AD291" s="96" t="s">
        <v>885</v>
      </c>
      <c r="AE291" s="96" t="s">
        <v>886</v>
      </c>
      <c r="AF291" s="96" t="s">
        <v>887</v>
      </c>
      <c r="AG291" s="96" t="s">
        <v>110</v>
      </c>
      <c r="AH291" s="96">
        <v>2540</v>
      </c>
      <c r="AI291" s="96" t="s">
        <v>888</v>
      </c>
      <c r="AJ291" s="96" t="s">
        <v>889</v>
      </c>
      <c r="AK291" s="27" t="s">
        <v>110</v>
      </c>
    </row>
    <row r="292" spans="1:37">
      <c r="A292" s="70">
        <v>287</v>
      </c>
      <c r="B292" s="70">
        <f t="shared" si="12"/>
        <v>0</v>
      </c>
      <c r="C292" s="71"/>
      <c r="D292" s="59" t="s">
        <v>92</v>
      </c>
      <c r="E292" s="60">
        <v>14266</v>
      </c>
      <c r="F292" s="10" t="s">
        <v>890</v>
      </c>
      <c r="G292" s="60">
        <v>601</v>
      </c>
      <c r="H292" s="81">
        <v>300</v>
      </c>
      <c r="I292" s="86">
        <v>2900</v>
      </c>
      <c r="J292" s="81">
        <v>300</v>
      </c>
      <c r="K292" s="86">
        <v>2900</v>
      </c>
      <c r="L292" s="81">
        <v>242</v>
      </c>
      <c r="M292" s="86">
        <v>238</v>
      </c>
      <c r="N292" s="81">
        <v>299815</v>
      </c>
      <c r="O292" s="86">
        <v>321636</v>
      </c>
      <c r="P292" s="89">
        <f t="shared" si="13"/>
        <v>240</v>
      </c>
      <c r="Q292" s="89">
        <f t="shared" si="14"/>
        <v>310725.5</v>
      </c>
      <c r="R292" s="96" t="s">
        <v>94</v>
      </c>
      <c r="S292" s="96" t="s">
        <v>124</v>
      </c>
      <c r="T292" s="96" t="s">
        <v>94</v>
      </c>
      <c r="U292" s="96" t="s">
        <v>136</v>
      </c>
      <c r="V292" s="96" t="s">
        <v>766</v>
      </c>
      <c r="W292" s="96" t="s">
        <v>767</v>
      </c>
      <c r="X292" s="96" t="s">
        <v>98</v>
      </c>
      <c r="Y292" s="96" t="s">
        <v>110</v>
      </c>
      <c r="Z292" s="96" t="s">
        <v>110</v>
      </c>
      <c r="AA292" s="96" t="s">
        <v>891</v>
      </c>
      <c r="AB292" s="96" t="s">
        <v>892</v>
      </c>
      <c r="AC292" s="96" t="s">
        <v>893</v>
      </c>
      <c r="AD292" s="96" t="s">
        <v>894</v>
      </c>
      <c r="AE292" s="96" t="s">
        <v>895</v>
      </c>
      <c r="AF292" s="96" t="s">
        <v>896</v>
      </c>
      <c r="AG292" s="96" t="s">
        <v>110</v>
      </c>
      <c r="AH292" s="96">
        <v>2458</v>
      </c>
      <c r="AI292" s="96" t="s">
        <v>897</v>
      </c>
      <c r="AJ292" s="96" t="s">
        <v>898</v>
      </c>
      <c r="AK292" s="27" t="s">
        <v>110</v>
      </c>
    </row>
    <row r="293" spans="1:37">
      <c r="A293" s="70">
        <v>288</v>
      </c>
      <c r="B293" s="70">
        <f t="shared" si="12"/>
        <v>0</v>
      </c>
      <c r="C293" s="71"/>
      <c r="D293" s="59" t="s">
        <v>92</v>
      </c>
      <c r="E293" s="60">
        <v>14266</v>
      </c>
      <c r="F293" s="10" t="s">
        <v>890</v>
      </c>
      <c r="G293" s="60">
        <v>603</v>
      </c>
      <c r="H293" s="81">
        <v>70</v>
      </c>
      <c r="I293" s="86" t="s">
        <v>110</v>
      </c>
      <c r="J293" s="81">
        <v>70</v>
      </c>
      <c r="K293" s="86" t="s">
        <v>110</v>
      </c>
      <c r="L293" s="81">
        <v>233</v>
      </c>
      <c r="M293" s="86" t="s">
        <v>110</v>
      </c>
      <c r="N293" s="81">
        <v>315079</v>
      </c>
      <c r="O293" s="86" t="s">
        <v>110</v>
      </c>
      <c r="P293" s="89">
        <f t="shared" si="13"/>
        <v>233</v>
      </c>
      <c r="Q293" s="89">
        <f t="shared" si="14"/>
        <v>315079</v>
      </c>
      <c r="R293" s="96" t="s">
        <v>94</v>
      </c>
      <c r="S293" s="96" t="s">
        <v>124</v>
      </c>
      <c r="T293" s="96" t="s">
        <v>94</v>
      </c>
      <c r="U293" s="96" t="s">
        <v>136</v>
      </c>
      <c r="V293" s="96" t="s">
        <v>766</v>
      </c>
      <c r="W293" s="96" t="s">
        <v>767</v>
      </c>
      <c r="X293" s="96" t="s">
        <v>98</v>
      </c>
      <c r="Y293" s="96" t="s">
        <v>110</v>
      </c>
      <c r="Z293" s="96" t="s">
        <v>110</v>
      </c>
      <c r="AA293" s="96" t="s">
        <v>891</v>
      </c>
      <c r="AB293" s="96" t="s">
        <v>892</v>
      </c>
      <c r="AC293" s="96" t="s">
        <v>893</v>
      </c>
      <c r="AD293" s="96" t="s">
        <v>894</v>
      </c>
      <c r="AE293" s="96" t="s">
        <v>895</v>
      </c>
      <c r="AF293" s="96" t="s">
        <v>896</v>
      </c>
      <c r="AG293" s="96" t="s">
        <v>110</v>
      </c>
      <c r="AH293" s="96">
        <v>2458</v>
      </c>
      <c r="AI293" s="96" t="s">
        <v>897</v>
      </c>
      <c r="AJ293" s="96" t="s">
        <v>898</v>
      </c>
      <c r="AK293" s="27" t="s">
        <v>110</v>
      </c>
    </row>
    <row r="294" spans="1:37">
      <c r="A294" s="70">
        <v>289</v>
      </c>
      <c r="B294" s="70">
        <f t="shared" si="12"/>
        <v>0</v>
      </c>
      <c r="C294" s="71"/>
      <c r="D294" s="59" t="s">
        <v>92</v>
      </c>
      <c r="E294" s="60">
        <v>10965</v>
      </c>
      <c r="F294" s="10" t="s">
        <v>899</v>
      </c>
      <c r="G294" s="60">
        <v>601</v>
      </c>
      <c r="H294" s="81">
        <v>1500</v>
      </c>
      <c r="I294" s="86">
        <v>418</v>
      </c>
      <c r="J294" s="81">
        <v>1110</v>
      </c>
      <c r="K294" s="86">
        <v>418</v>
      </c>
      <c r="L294" s="81">
        <v>190</v>
      </c>
      <c r="M294" s="86">
        <v>279</v>
      </c>
      <c r="N294" s="81">
        <v>373008</v>
      </c>
      <c r="O294" s="86">
        <v>260323</v>
      </c>
      <c r="P294" s="89">
        <f t="shared" si="13"/>
        <v>234.5</v>
      </c>
      <c r="Q294" s="89">
        <f t="shared" si="14"/>
        <v>316665.5</v>
      </c>
      <c r="R294" s="96" t="s">
        <v>94</v>
      </c>
      <c r="S294" s="96" t="s">
        <v>710</v>
      </c>
      <c r="T294" s="96" t="s">
        <v>94</v>
      </c>
      <c r="U294" s="96" t="s">
        <v>136</v>
      </c>
      <c r="V294" s="96" t="s">
        <v>766</v>
      </c>
      <c r="W294" s="96" t="s">
        <v>767</v>
      </c>
      <c r="X294" s="96" t="s">
        <v>147</v>
      </c>
      <c r="Y294" s="96" t="s">
        <v>110</v>
      </c>
      <c r="Z294" s="96" t="s">
        <v>797</v>
      </c>
      <c r="AA294" s="96" t="s">
        <v>900</v>
      </c>
      <c r="AB294" s="96" t="s">
        <v>901</v>
      </c>
      <c r="AC294" s="96" t="s">
        <v>902</v>
      </c>
      <c r="AD294" s="96" t="s">
        <v>903</v>
      </c>
      <c r="AE294" s="96" t="s">
        <v>904</v>
      </c>
      <c r="AF294" s="96" t="s">
        <v>905</v>
      </c>
      <c r="AG294" s="96" t="s">
        <v>110</v>
      </c>
      <c r="AH294" s="96">
        <v>2489</v>
      </c>
      <c r="AI294" s="96" t="s">
        <v>906</v>
      </c>
      <c r="AJ294" s="96" t="s">
        <v>907</v>
      </c>
      <c r="AK294" s="27" t="s">
        <v>110</v>
      </c>
    </row>
    <row r="295" spans="1:37">
      <c r="A295" s="70">
        <v>290</v>
      </c>
      <c r="B295" s="70">
        <f t="shared" si="12"/>
        <v>0</v>
      </c>
      <c r="C295" s="71"/>
      <c r="D295" s="59" t="s">
        <v>92</v>
      </c>
      <c r="E295" s="60">
        <v>13715</v>
      </c>
      <c r="F295" s="10" t="s">
        <v>834</v>
      </c>
      <c r="G295" s="60">
        <v>602</v>
      </c>
      <c r="H295" s="81">
        <v>58</v>
      </c>
      <c r="I295" s="86">
        <v>105</v>
      </c>
      <c r="J295" s="81">
        <v>58</v>
      </c>
      <c r="K295" s="86">
        <v>105</v>
      </c>
      <c r="L295" s="81">
        <v>234</v>
      </c>
      <c r="M295" s="86">
        <v>239</v>
      </c>
      <c r="N295" s="81">
        <v>312588</v>
      </c>
      <c r="O295" s="86">
        <v>321050</v>
      </c>
      <c r="P295" s="89">
        <f t="shared" si="13"/>
        <v>236.5</v>
      </c>
      <c r="Q295" s="89">
        <f t="shared" si="14"/>
        <v>316819</v>
      </c>
      <c r="R295" s="96" t="s">
        <v>94</v>
      </c>
      <c r="S295" s="96" t="s">
        <v>124</v>
      </c>
      <c r="T295" s="96" t="s">
        <v>94</v>
      </c>
      <c r="U295" s="96" t="s">
        <v>136</v>
      </c>
      <c r="V295" s="96" t="s">
        <v>766</v>
      </c>
      <c r="W295" s="96" t="s">
        <v>767</v>
      </c>
      <c r="X295" s="96" t="s">
        <v>98</v>
      </c>
      <c r="Y295" s="96" t="s">
        <v>382</v>
      </c>
      <c r="Z295" s="96" t="s">
        <v>797</v>
      </c>
      <c r="AA295" s="96" t="s">
        <v>835</v>
      </c>
      <c r="AB295" s="96" t="s">
        <v>836</v>
      </c>
      <c r="AC295" s="96" t="s">
        <v>837</v>
      </c>
      <c r="AD295" s="96" t="s">
        <v>838</v>
      </c>
      <c r="AE295" s="96" t="s">
        <v>839</v>
      </c>
      <c r="AF295" s="96" t="s">
        <v>840</v>
      </c>
      <c r="AG295" s="96" t="s">
        <v>110</v>
      </c>
      <c r="AH295" s="96">
        <v>1947</v>
      </c>
      <c r="AI295" s="96" t="s">
        <v>841</v>
      </c>
      <c r="AJ295" s="96" t="s">
        <v>842</v>
      </c>
      <c r="AK295" s="27" t="s">
        <v>110</v>
      </c>
    </row>
    <row r="296" spans="1:37">
      <c r="A296" s="70">
        <v>291</v>
      </c>
      <c r="B296" s="70">
        <f t="shared" si="12"/>
        <v>0</v>
      </c>
      <c r="C296" s="71"/>
      <c r="D296" s="59" t="s">
        <v>92</v>
      </c>
      <c r="E296" s="60">
        <v>14125</v>
      </c>
      <c r="F296" s="10" t="s">
        <v>843</v>
      </c>
      <c r="G296" s="60">
        <v>604</v>
      </c>
      <c r="H296" s="81">
        <v>60</v>
      </c>
      <c r="I296" s="86">
        <v>20</v>
      </c>
      <c r="J296" s="81">
        <v>60</v>
      </c>
      <c r="K296" s="86">
        <v>20</v>
      </c>
      <c r="L296" s="81">
        <v>238</v>
      </c>
      <c r="M296" s="86">
        <v>231</v>
      </c>
      <c r="N296" s="81">
        <v>305741</v>
      </c>
      <c r="O296" s="86">
        <v>330685</v>
      </c>
      <c r="P296" s="89">
        <f t="shared" si="13"/>
        <v>234.5</v>
      </c>
      <c r="Q296" s="89">
        <f t="shared" si="14"/>
        <v>318213</v>
      </c>
      <c r="R296" s="96" t="s">
        <v>94</v>
      </c>
      <c r="S296" s="96" t="s">
        <v>124</v>
      </c>
      <c r="T296" s="96" t="s">
        <v>94</v>
      </c>
      <c r="U296" s="96" t="s">
        <v>136</v>
      </c>
      <c r="V296" s="96" t="s">
        <v>766</v>
      </c>
      <c r="W296" s="96" t="s">
        <v>767</v>
      </c>
      <c r="X296" s="96" t="s">
        <v>98</v>
      </c>
      <c r="Y296" s="96" t="s">
        <v>110</v>
      </c>
      <c r="Z296" s="96" t="s">
        <v>110</v>
      </c>
      <c r="AA296" s="96" t="s">
        <v>844</v>
      </c>
      <c r="AB296" s="96" t="s">
        <v>845</v>
      </c>
      <c r="AC296" s="96" t="s">
        <v>846</v>
      </c>
      <c r="AD296" s="96" t="s">
        <v>847</v>
      </c>
      <c r="AE296" s="96" t="s">
        <v>848</v>
      </c>
      <c r="AF296" s="96" t="s">
        <v>849</v>
      </c>
      <c r="AG296" s="96" t="s">
        <v>850</v>
      </c>
      <c r="AH296" s="96">
        <v>2428</v>
      </c>
      <c r="AI296" s="96" t="s">
        <v>851</v>
      </c>
      <c r="AJ296" s="96" t="s">
        <v>852</v>
      </c>
      <c r="AK296" s="27" t="s">
        <v>110</v>
      </c>
    </row>
    <row r="297" spans="1:37">
      <c r="A297" s="70">
        <v>292</v>
      </c>
      <c r="B297" s="70">
        <f t="shared" si="12"/>
        <v>0</v>
      </c>
      <c r="C297" s="71"/>
      <c r="D297" s="59" t="s">
        <v>92</v>
      </c>
      <c r="E297" s="60">
        <v>10861</v>
      </c>
      <c r="F297" s="10" t="s">
        <v>359</v>
      </c>
      <c r="G297" s="60">
        <v>606</v>
      </c>
      <c r="H297" s="81">
        <v>38</v>
      </c>
      <c r="I297" s="86" t="s">
        <v>110</v>
      </c>
      <c r="J297" s="81">
        <v>38</v>
      </c>
      <c r="K297" s="86" t="s">
        <v>110</v>
      </c>
      <c r="L297" s="81">
        <v>226</v>
      </c>
      <c r="M297" s="86" t="s">
        <v>110</v>
      </c>
      <c r="N297" s="81">
        <v>324821</v>
      </c>
      <c r="O297" s="86" t="s">
        <v>110</v>
      </c>
      <c r="P297" s="89">
        <f t="shared" si="13"/>
        <v>226</v>
      </c>
      <c r="Q297" s="89">
        <f t="shared" si="14"/>
        <v>324821</v>
      </c>
      <c r="R297" s="96" t="s">
        <v>94</v>
      </c>
      <c r="S297" s="96" t="s">
        <v>124</v>
      </c>
      <c r="T297" s="96" t="s">
        <v>94</v>
      </c>
      <c r="U297" s="96" t="s">
        <v>136</v>
      </c>
      <c r="V297" s="96" t="s">
        <v>94</v>
      </c>
      <c r="W297" s="96" t="s">
        <v>97</v>
      </c>
      <c r="X297" s="96" t="s">
        <v>98</v>
      </c>
      <c r="Y297" s="96" t="s">
        <v>360</v>
      </c>
      <c r="Z297" s="96" t="s">
        <v>361</v>
      </c>
      <c r="AA297" s="96" t="s">
        <v>362</v>
      </c>
      <c r="AB297" s="96" t="s">
        <v>363</v>
      </c>
      <c r="AC297" s="96" t="s">
        <v>364</v>
      </c>
      <c r="AD297" s="96" t="s">
        <v>365</v>
      </c>
      <c r="AE297" s="96" t="s">
        <v>366</v>
      </c>
      <c r="AF297" s="96" t="s">
        <v>367</v>
      </c>
      <c r="AG297" s="96" t="s">
        <v>368</v>
      </c>
      <c r="AH297" s="96">
        <v>1765</v>
      </c>
      <c r="AI297" s="96" t="s">
        <v>369</v>
      </c>
      <c r="AJ297" s="96" t="s">
        <v>370</v>
      </c>
      <c r="AK297" s="27" t="s">
        <v>110</v>
      </c>
    </row>
    <row r="298" spans="1:37">
      <c r="A298" s="70">
        <v>293</v>
      </c>
      <c r="B298" s="70">
        <f t="shared" si="12"/>
        <v>0</v>
      </c>
      <c r="C298" s="71"/>
      <c r="D298" s="59" t="s">
        <v>92</v>
      </c>
      <c r="E298" s="60">
        <v>14761</v>
      </c>
      <c r="F298" s="10" t="s">
        <v>908</v>
      </c>
      <c r="G298" s="60">
        <v>601</v>
      </c>
      <c r="H298" s="81">
        <v>956</v>
      </c>
      <c r="I298" s="86">
        <v>644</v>
      </c>
      <c r="J298" s="81">
        <v>595</v>
      </c>
      <c r="K298" s="86">
        <v>644</v>
      </c>
      <c r="L298" s="81">
        <v>190</v>
      </c>
      <c r="M298" s="86">
        <v>268</v>
      </c>
      <c r="N298" s="81">
        <v>372636</v>
      </c>
      <c r="O298" s="86">
        <v>278588</v>
      </c>
      <c r="P298" s="89">
        <f t="shared" si="13"/>
        <v>229</v>
      </c>
      <c r="Q298" s="89">
        <f t="shared" si="14"/>
        <v>325612</v>
      </c>
      <c r="R298" s="96" t="s">
        <v>94</v>
      </c>
      <c r="S298" s="96" t="s">
        <v>145</v>
      </c>
      <c r="T298" s="96" t="s">
        <v>94</v>
      </c>
      <c r="U298" s="96" t="s">
        <v>136</v>
      </c>
      <c r="V298" s="96" t="s">
        <v>766</v>
      </c>
      <c r="W298" s="96" t="s">
        <v>767</v>
      </c>
      <c r="X298" s="96" t="s">
        <v>147</v>
      </c>
      <c r="Y298" s="96" t="s">
        <v>382</v>
      </c>
      <c r="Z298" s="96" t="s">
        <v>110</v>
      </c>
      <c r="AA298" s="96" t="s">
        <v>909</v>
      </c>
      <c r="AB298" s="96" t="s">
        <v>110</v>
      </c>
      <c r="AC298" s="96" t="s">
        <v>910</v>
      </c>
      <c r="AD298" s="96" t="s">
        <v>911</v>
      </c>
      <c r="AE298" s="96" t="s">
        <v>912</v>
      </c>
      <c r="AF298" s="96" t="s">
        <v>913</v>
      </c>
      <c r="AG298" s="96" t="s">
        <v>110</v>
      </c>
      <c r="AH298" s="96">
        <v>2690</v>
      </c>
      <c r="AI298" s="96" t="s">
        <v>914</v>
      </c>
      <c r="AJ298" s="96" t="s">
        <v>915</v>
      </c>
      <c r="AK298" s="27" t="s">
        <v>110</v>
      </c>
    </row>
    <row r="299" spans="1:37">
      <c r="A299" s="70">
        <v>294</v>
      </c>
      <c r="B299" s="70">
        <f t="shared" si="12"/>
        <v>0</v>
      </c>
      <c r="C299" s="71"/>
      <c r="D299" s="59" t="s">
        <v>92</v>
      </c>
      <c r="E299" s="60">
        <v>13715</v>
      </c>
      <c r="F299" s="10" t="s">
        <v>834</v>
      </c>
      <c r="G299" s="60">
        <v>601</v>
      </c>
      <c r="H299" s="81">
        <v>1165</v>
      </c>
      <c r="I299" s="86">
        <v>567</v>
      </c>
      <c r="J299" s="81">
        <v>1165</v>
      </c>
      <c r="K299" s="86">
        <v>567</v>
      </c>
      <c r="L299" s="81">
        <v>191</v>
      </c>
      <c r="M299" s="86">
        <v>266</v>
      </c>
      <c r="N299" s="81">
        <v>371988</v>
      </c>
      <c r="O299" s="86">
        <v>282852</v>
      </c>
      <c r="P299" s="89">
        <f t="shared" si="13"/>
        <v>228.5</v>
      </c>
      <c r="Q299" s="89">
        <f t="shared" si="14"/>
        <v>327420</v>
      </c>
      <c r="R299" s="96" t="s">
        <v>94</v>
      </c>
      <c r="S299" s="96" t="s">
        <v>124</v>
      </c>
      <c r="T299" s="96" t="s">
        <v>94</v>
      </c>
      <c r="U299" s="96" t="s">
        <v>136</v>
      </c>
      <c r="V299" s="96" t="s">
        <v>766</v>
      </c>
      <c r="W299" s="96" t="s">
        <v>767</v>
      </c>
      <c r="X299" s="96" t="s">
        <v>98</v>
      </c>
      <c r="Y299" s="96" t="s">
        <v>382</v>
      </c>
      <c r="Z299" s="96" t="s">
        <v>797</v>
      </c>
      <c r="AA299" s="96" t="s">
        <v>835</v>
      </c>
      <c r="AB299" s="96" t="s">
        <v>836</v>
      </c>
      <c r="AC299" s="96" t="s">
        <v>837</v>
      </c>
      <c r="AD299" s="96" t="s">
        <v>838</v>
      </c>
      <c r="AE299" s="96" t="s">
        <v>839</v>
      </c>
      <c r="AF299" s="96" t="s">
        <v>840</v>
      </c>
      <c r="AG299" s="96" t="s">
        <v>110</v>
      </c>
      <c r="AH299" s="96">
        <v>1947</v>
      </c>
      <c r="AI299" s="96" t="s">
        <v>841</v>
      </c>
      <c r="AJ299" s="96" t="s">
        <v>842</v>
      </c>
      <c r="AK299" s="27" t="s">
        <v>110</v>
      </c>
    </row>
    <row r="300" spans="1:37">
      <c r="A300" s="70">
        <v>295</v>
      </c>
      <c r="B300" s="70">
        <f t="shared" si="12"/>
        <v>0</v>
      </c>
      <c r="C300" s="71"/>
      <c r="D300" s="59" t="s">
        <v>92</v>
      </c>
      <c r="E300" s="60">
        <v>13928</v>
      </c>
      <c r="F300" s="10" t="s">
        <v>807</v>
      </c>
      <c r="G300" s="60">
        <v>601</v>
      </c>
      <c r="H300" s="81">
        <v>1440</v>
      </c>
      <c r="I300" s="86">
        <v>2249</v>
      </c>
      <c r="J300" s="81">
        <v>1044</v>
      </c>
      <c r="K300" s="86">
        <v>2249</v>
      </c>
      <c r="L300" s="81">
        <v>190</v>
      </c>
      <c r="M300" s="86">
        <v>266</v>
      </c>
      <c r="N300" s="81">
        <v>373010</v>
      </c>
      <c r="O300" s="86">
        <v>282280</v>
      </c>
      <c r="P300" s="89">
        <f t="shared" si="13"/>
        <v>228</v>
      </c>
      <c r="Q300" s="89">
        <f t="shared" si="14"/>
        <v>327645</v>
      </c>
      <c r="R300" s="96" t="s">
        <v>94</v>
      </c>
      <c r="S300" s="96" t="s">
        <v>124</v>
      </c>
      <c r="T300" s="96" t="s">
        <v>94</v>
      </c>
      <c r="U300" s="96" t="s">
        <v>136</v>
      </c>
      <c r="V300" s="96" t="s">
        <v>766</v>
      </c>
      <c r="W300" s="96" t="s">
        <v>767</v>
      </c>
      <c r="X300" s="96" t="s">
        <v>98</v>
      </c>
      <c r="Y300" s="96" t="s">
        <v>110</v>
      </c>
      <c r="Z300" s="96" t="s">
        <v>110</v>
      </c>
      <c r="AA300" s="96" t="s">
        <v>808</v>
      </c>
      <c r="AB300" s="96" t="s">
        <v>809</v>
      </c>
      <c r="AC300" s="96" t="s">
        <v>810</v>
      </c>
      <c r="AD300" s="96" t="s">
        <v>811</v>
      </c>
      <c r="AE300" s="96" t="s">
        <v>812</v>
      </c>
      <c r="AF300" s="96" t="s">
        <v>813</v>
      </c>
      <c r="AG300" s="96" t="s">
        <v>814</v>
      </c>
      <c r="AH300" s="96">
        <v>2435</v>
      </c>
      <c r="AI300" s="96" t="s">
        <v>815</v>
      </c>
      <c r="AJ300" s="96" t="s">
        <v>816</v>
      </c>
      <c r="AK300" s="27" t="s">
        <v>110</v>
      </c>
    </row>
    <row r="301" spans="1:37">
      <c r="A301" s="70">
        <v>296</v>
      </c>
      <c r="B301" s="70">
        <f t="shared" si="12"/>
        <v>0</v>
      </c>
      <c r="C301" s="71"/>
      <c r="D301" s="59" t="s">
        <v>92</v>
      </c>
      <c r="E301" s="60">
        <v>14761</v>
      </c>
      <c r="F301" s="10" t="s">
        <v>908</v>
      </c>
      <c r="G301" s="60">
        <v>603</v>
      </c>
      <c r="H301" s="81">
        <v>208</v>
      </c>
      <c r="I301" s="86">
        <v>36</v>
      </c>
      <c r="J301" s="81">
        <v>166</v>
      </c>
      <c r="K301" s="86">
        <v>37</v>
      </c>
      <c r="L301" s="81">
        <v>190</v>
      </c>
      <c r="M301" s="86">
        <v>261</v>
      </c>
      <c r="N301" s="81">
        <v>372953</v>
      </c>
      <c r="O301" s="86">
        <v>290001</v>
      </c>
      <c r="P301" s="89">
        <f t="shared" si="13"/>
        <v>225.5</v>
      </c>
      <c r="Q301" s="89">
        <f t="shared" si="14"/>
        <v>331477</v>
      </c>
      <c r="R301" s="96" t="s">
        <v>94</v>
      </c>
      <c r="S301" s="96" t="s">
        <v>145</v>
      </c>
      <c r="T301" s="96" t="s">
        <v>94</v>
      </c>
      <c r="U301" s="96" t="s">
        <v>136</v>
      </c>
      <c r="V301" s="96" t="s">
        <v>766</v>
      </c>
      <c r="W301" s="96" t="s">
        <v>767</v>
      </c>
      <c r="X301" s="96" t="s">
        <v>147</v>
      </c>
      <c r="Y301" s="96" t="s">
        <v>382</v>
      </c>
      <c r="Z301" s="96" t="s">
        <v>110</v>
      </c>
      <c r="AA301" s="96" t="s">
        <v>909</v>
      </c>
      <c r="AB301" s="96" t="s">
        <v>110</v>
      </c>
      <c r="AC301" s="96" t="s">
        <v>910</v>
      </c>
      <c r="AD301" s="96" t="s">
        <v>911</v>
      </c>
      <c r="AE301" s="96" t="s">
        <v>912</v>
      </c>
      <c r="AF301" s="96" t="s">
        <v>913</v>
      </c>
      <c r="AG301" s="96" t="s">
        <v>110</v>
      </c>
      <c r="AH301" s="96">
        <v>2690</v>
      </c>
      <c r="AI301" s="96" t="s">
        <v>914</v>
      </c>
      <c r="AJ301" s="96" t="s">
        <v>915</v>
      </c>
      <c r="AK301" s="27" t="s">
        <v>110</v>
      </c>
    </row>
    <row r="302" spans="1:37">
      <c r="A302" s="70">
        <v>297</v>
      </c>
      <c r="B302" s="70">
        <f t="shared" si="12"/>
        <v>0</v>
      </c>
      <c r="C302" s="71"/>
      <c r="D302" s="59" t="s">
        <v>92</v>
      </c>
      <c r="E302" s="60">
        <v>14265</v>
      </c>
      <c r="F302" s="10" t="s">
        <v>916</v>
      </c>
      <c r="G302" s="60">
        <v>601</v>
      </c>
      <c r="H302" s="81">
        <v>6593</v>
      </c>
      <c r="I302" s="86">
        <v>6800</v>
      </c>
      <c r="J302" s="81">
        <v>5399</v>
      </c>
      <c r="K302" s="86">
        <v>6800</v>
      </c>
      <c r="L302" s="81">
        <v>190</v>
      </c>
      <c r="M302" s="86">
        <v>259</v>
      </c>
      <c r="N302" s="81">
        <v>373062</v>
      </c>
      <c r="O302" s="86">
        <v>293144</v>
      </c>
      <c r="P302" s="89">
        <f t="shared" si="13"/>
        <v>224.5</v>
      </c>
      <c r="Q302" s="89">
        <f t="shared" si="14"/>
        <v>333103</v>
      </c>
      <c r="R302" s="96" t="s">
        <v>94</v>
      </c>
      <c r="S302" s="96" t="s">
        <v>237</v>
      </c>
      <c r="T302" s="96" t="s">
        <v>94</v>
      </c>
      <c r="U302" s="96" t="s">
        <v>136</v>
      </c>
      <c r="V302" s="96" t="s">
        <v>766</v>
      </c>
      <c r="W302" s="96" t="s">
        <v>767</v>
      </c>
      <c r="X302" s="96" t="s">
        <v>147</v>
      </c>
      <c r="Y302" s="96" t="s">
        <v>110</v>
      </c>
      <c r="Z302" s="96" t="s">
        <v>797</v>
      </c>
      <c r="AA302" s="96" t="s">
        <v>917</v>
      </c>
      <c r="AB302" s="96" t="s">
        <v>110</v>
      </c>
      <c r="AC302" s="96" t="s">
        <v>918</v>
      </c>
      <c r="AD302" s="96" t="s">
        <v>919</v>
      </c>
      <c r="AE302" s="96" t="s">
        <v>920</v>
      </c>
      <c r="AF302" s="96" t="s">
        <v>921</v>
      </c>
      <c r="AG302" s="96" t="s">
        <v>110</v>
      </c>
      <c r="AH302" s="96">
        <v>2448</v>
      </c>
      <c r="AI302" s="96" t="s">
        <v>922</v>
      </c>
      <c r="AJ302" s="96" t="s">
        <v>923</v>
      </c>
      <c r="AK302" s="27" t="s">
        <v>110</v>
      </c>
    </row>
    <row r="303" spans="1:37">
      <c r="A303" s="70">
        <v>298</v>
      </c>
      <c r="B303" s="70">
        <f t="shared" si="12"/>
        <v>0</v>
      </c>
      <c r="C303" s="71"/>
      <c r="D303" s="59" t="s">
        <v>92</v>
      </c>
      <c r="E303" s="60">
        <v>14427</v>
      </c>
      <c r="F303" s="10" t="s">
        <v>924</v>
      </c>
      <c r="G303" s="60">
        <v>601</v>
      </c>
      <c r="H303" s="81">
        <v>2821</v>
      </c>
      <c r="I303" s="86">
        <v>786</v>
      </c>
      <c r="J303" s="81">
        <v>797</v>
      </c>
      <c r="K303" s="86">
        <v>786</v>
      </c>
      <c r="L303" s="81">
        <v>190</v>
      </c>
      <c r="M303" s="86">
        <v>256</v>
      </c>
      <c r="N303" s="81">
        <v>372774</v>
      </c>
      <c r="O303" s="86">
        <v>297801</v>
      </c>
      <c r="P303" s="89">
        <f t="shared" si="13"/>
        <v>223</v>
      </c>
      <c r="Q303" s="89">
        <f t="shared" si="14"/>
        <v>335287.5</v>
      </c>
      <c r="R303" s="96" t="s">
        <v>94</v>
      </c>
      <c r="S303" s="96" t="s">
        <v>145</v>
      </c>
      <c r="T303" s="96" t="s">
        <v>94</v>
      </c>
      <c r="U303" s="96" t="s">
        <v>136</v>
      </c>
      <c r="V303" s="96" t="s">
        <v>766</v>
      </c>
      <c r="W303" s="96" t="s">
        <v>767</v>
      </c>
      <c r="X303" s="96" t="s">
        <v>147</v>
      </c>
      <c r="Y303" s="96" t="s">
        <v>110</v>
      </c>
      <c r="Z303" s="96" t="s">
        <v>110</v>
      </c>
      <c r="AA303" s="96" t="s">
        <v>925</v>
      </c>
      <c r="AB303" s="96" t="s">
        <v>110</v>
      </c>
      <c r="AC303" s="96" t="s">
        <v>926</v>
      </c>
      <c r="AD303" s="96" t="s">
        <v>927</v>
      </c>
      <c r="AE303" s="96" t="s">
        <v>928</v>
      </c>
      <c r="AF303" s="96" t="s">
        <v>929</v>
      </c>
      <c r="AG303" s="96" t="s">
        <v>110</v>
      </c>
      <c r="AH303" s="96">
        <v>2567</v>
      </c>
      <c r="AI303" s="96" t="s">
        <v>930</v>
      </c>
      <c r="AJ303" s="96" t="s">
        <v>931</v>
      </c>
      <c r="AK303" s="27" t="s">
        <v>110</v>
      </c>
    </row>
    <row r="304" spans="1:37">
      <c r="A304" s="70">
        <v>299</v>
      </c>
      <c r="B304" s="70">
        <f t="shared" si="12"/>
        <v>0</v>
      </c>
      <c r="C304" s="71"/>
      <c r="D304" s="59" t="s">
        <v>92</v>
      </c>
      <c r="E304" s="60">
        <v>12961</v>
      </c>
      <c r="F304" s="10" t="s">
        <v>932</v>
      </c>
      <c r="G304" s="60">
        <v>601</v>
      </c>
      <c r="H304" s="81">
        <v>1387</v>
      </c>
      <c r="I304" s="86">
        <v>1478</v>
      </c>
      <c r="J304" s="81">
        <v>628</v>
      </c>
      <c r="K304" s="86">
        <v>1478</v>
      </c>
      <c r="L304" s="81">
        <v>190</v>
      </c>
      <c r="M304" s="86">
        <v>255</v>
      </c>
      <c r="N304" s="81">
        <v>372890</v>
      </c>
      <c r="O304" s="86">
        <v>299842</v>
      </c>
      <c r="P304" s="89">
        <f t="shared" si="13"/>
        <v>222.5</v>
      </c>
      <c r="Q304" s="89">
        <f t="shared" si="14"/>
        <v>336366</v>
      </c>
      <c r="R304" s="96" t="s">
        <v>94</v>
      </c>
      <c r="S304" s="96" t="s">
        <v>145</v>
      </c>
      <c r="T304" s="96" t="s">
        <v>94</v>
      </c>
      <c r="U304" s="96" t="s">
        <v>136</v>
      </c>
      <c r="V304" s="96" t="s">
        <v>766</v>
      </c>
      <c r="W304" s="96" t="s">
        <v>767</v>
      </c>
      <c r="X304" s="96" t="s">
        <v>147</v>
      </c>
      <c r="Y304" s="96" t="s">
        <v>110</v>
      </c>
      <c r="Z304" s="96" t="s">
        <v>110</v>
      </c>
      <c r="AA304" s="96" t="s">
        <v>933</v>
      </c>
      <c r="AB304" s="96" t="s">
        <v>934</v>
      </c>
      <c r="AC304" s="96" t="s">
        <v>935</v>
      </c>
      <c r="AD304" s="96" t="s">
        <v>936</v>
      </c>
      <c r="AE304" s="96" t="s">
        <v>937</v>
      </c>
      <c r="AF304" s="96" t="s">
        <v>938</v>
      </c>
      <c r="AG304" s="96" t="s">
        <v>939</v>
      </c>
      <c r="AH304" s="96">
        <v>2478</v>
      </c>
      <c r="AI304" s="96" t="s">
        <v>940</v>
      </c>
      <c r="AJ304" s="96" t="s">
        <v>941</v>
      </c>
      <c r="AK304" s="27" t="s">
        <v>110</v>
      </c>
    </row>
    <row r="305" spans="1:37">
      <c r="A305" s="70">
        <v>300</v>
      </c>
      <c r="B305" s="70">
        <f t="shared" si="12"/>
        <v>0</v>
      </c>
      <c r="C305" s="71"/>
      <c r="D305" s="59" t="s">
        <v>92</v>
      </c>
      <c r="E305" s="60">
        <v>14266</v>
      </c>
      <c r="F305" s="10" t="s">
        <v>890</v>
      </c>
      <c r="G305" s="60">
        <v>602</v>
      </c>
      <c r="H305" s="81">
        <v>1630</v>
      </c>
      <c r="I305" s="86">
        <v>4000</v>
      </c>
      <c r="J305" s="81">
        <v>690</v>
      </c>
      <c r="K305" s="86">
        <v>4000</v>
      </c>
      <c r="L305" s="81">
        <v>190</v>
      </c>
      <c r="M305" s="86">
        <v>254</v>
      </c>
      <c r="N305" s="81">
        <v>372800</v>
      </c>
      <c r="O305" s="86">
        <v>301411</v>
      </c>
      <c r="P305" s="89">
        <f t="shared" si="13"/>
        <v>222</v>
      </c>
      <c r="Q305" s="89">
        <f t="shared" si="14"/>
        <v>337105.5</v>
      </c>
      <c r="R305" s="96" t="s">
        <v>94</v>
      </c>
      <c r="S305" s="96" t="s">
        <v>124</v>
      </c>
      <c r="T305" s="96" t="s">
        <v>94</v>
      </c>
      <c r="U305" s="96" t="s">
        <v>136</v>
      </c>
      <c r="V305" s="96" t="s">
        <v>766</v>
      </c>
      <c r="W305" s="96" t="s">
        <v>767</v>
      </c>
      <c r="X305" s="96" t="s">
        <v>98</v>
      </c>
      <c r="Y305" s="96" t="s">
        <v>110</v>
      </c>
      <c r="Z305" s="96" t="s">
        <v>110</v>
      </c>
      <c r="AA305" s="96" t="s">
        <v>891</v>
      </c>
      <c r="AB305" s="96" t="s">
        <v>892</v>
      </c>
      <c r="AC305" s="96" t="s">
        <v>893</v>
      </c>
      <c r="AD305" s="96" t="s">
        <v>894</v>
      </c>
      <c r="AE305" s="96" t="s">
        <v>895</v>
      </c>
      <c r="AF305" s="96" t="s">
        <v>896</v>
      </c>
      <c r="AG305" s="96" t="s">
        <v>110</v>
      </c>
      <c r="AH305" s="96">
        <v>2458</v>
      </c>
      <c r="AI305" s="96" t="s">
        <v>897</v>
      </c>
      <c r="AJ305" s="96" t="s">
        <v>898</v>
      </c>
      <c r="AK305" s="27" t="s">
        <v>110</v>
      </c>
    </row>
    <row r="306" spans="1:37">
      <c r="A306" s="70">
        <v>301</v>
      </c>
      <c r="B306" s="70">
        <f t="shared" si="12"/>
        <v>0</v>
      </c>
      <c r="C306" s="71"/>
      <c r="D306" s="59" t="s">
        <v>92</v>
      </c>
      <c r="E306" s="60">
        <v>14363</v>
      </c>
      <c r="F306" s="10" t="s">
        <v>942</v>
      </c>
      <c r="G306" s="60">
        <v>601</v>
      </c>
      <c r="H306" s="81">
        <v>1393</v>
      </c>
      <c r="I306" s="86">
        <v>2870</v>
      </c>
      <c r="J306" s="81">
        <v>599</v>
      </c>
      <c r="K306" s="86">
        <v>2870</v>
      </c>
      <c r="L306" s="81">
        <v>190</v>
      </c>
      <c r="M306" s="86">
        <v>246</v>
      </c>
      <c r="N306" s="81">
        <v>372924</v>
      </c>
      <c r="O306" s="86">
        <v>311869</v>
      </c>
      <c r="P306" s="89">
        <f t="shared" si="13"/>
        <v>218</v>
      </c>
      <c r="Q306" s="89">
        <f t="shared" si="14"/>
        <v>342396.5</v>
      </c>
      <c r="R306" s="96" t="s">
        <v>94</v>
      </c>
      <c r="S306" s="96" t="s">
        <v>255</v>
      </c>
      <c r="T306" s="96" t="s">
        <v>94</v>
      </c>
      <c r="U306" s="96" t="s">
        <v>136</v>
      </c>
      <c r="V306" s="96" t="s">
        <v>766</v>
      </c>
      <c r="W306" s="96" t="s">
        <v>767</v>
      </c>
      <c r="X306" s="96" t="s">
        <v>169</v>
      </c>
      <c r="Y306" s="96" t="s">
        <v>110</v>
      </c>
      <c r="Z306" s="96" t="s">
        <v>943</v>
      </c>
      <c r="AA306" s="96" t="s">
        <v>944</v>
      </c>
      <c r="AB306" s="96" t="s">
        <v>110</v>
      </c>
      <c r="AC306" s="96" t="s">
        <v>945</v>
      </c>
      <c r="AD306" s="96" t="s">
        <v>946</v>
      </c>
      <c r="AE306" s="96" t="s">
        <v>947</v>
      </c>
      <c r="AF306" s="96" t="s">
        <v>948</v>
      </c>
      <c r="AG306" s="96" t="s">
        <v>110</v>
      </c>
      <c r="AH306" s="96">
        <v>2089</v>
      </c>
      <c r="AI306" s="96" t="s">
        <v>949</v>
      </c>
      <c r="AJ306" s="96" t="s">
        <v>950</v>
      </c>
      <c r="AK306" s="27" t="s">
        <v>110</v>
      </c>
    </row>
    <row r="307" spans="1:37">
      <c r="A307" s="70">
        <v>302</v>
      </c>
      <c r="B307" s="70">
        <f t="shared" si="12"/>
        <v>0</v>
      </c>
      <c r="C307" s="71"/>
      <c r="D307" s="59" t="s">
        <v>92</v>
      </c>
      <c r="E307" s="60">
        <v>13715</v>
      </c>
      <c r="F307" s="10" t="s">
        <v>834</v>
      </c>
      <c r="G307" s="60">
        <v>604</v>
      </c>
      <c r="H307" s="81">
        <v>60</v>
      </c>
      <c r="I307" s="86">
        <v>60</v>
      </c>
      <c r="J307" s="81">
        <v>60</v>
      </c>
      <c r="K307" s="86">
        <v>60</v>
      </c>
      <c r="L307" s="81">
        <v>226</v>
      </c>
      <c r="M307" s="86">
        <v>193</v>
      </c>
      <c r="N307" s="81">
        <v>326103</v>
      </c>
      <c r="O307" s="86">
        <v>367907</v>
      </c>
      <c r="P307" s="89">
        <f t="shared" si="13"/>
        <v>209.5</v>
      </c>
      <c r="Q307" s="89">
        <f t="shared" si="14"/>
        <v>347005</v>
      </c>
      <c r="R307" s="96" t="s">
        <v>94</v>
      </c>
      <c r="S307" s="96" t="s">
        <v>124</v>
      </c>
      <c r="T307" s="96" t="s">
        <v>94</v>
      </c>
      <c r="U307" s="96" t="s">
        <v>136</v>
      </c>
      <c r="V307" s="96" t="s">
        <v>766</v>
      </c>
      <c r="W307" s="96" t="s">
        <v>767</v>
      </c>
      <c r="X307" s="96" t="s">
        <v>98</v>
      </c>
      <c r="Y307" s="96" t="s">
        <v>382</v>
      </c>
      <c r="Z307" s="96" t="s">
        <v>797</v>
      </c>
      <c r="AA307" s="96" t="s">
        <v>835</v>
      </c>
      <c r="AB307" s="96" t="s">
        <v>836</v>
      </c>
      <c r="AC307" s="96" t="s">
        <v>837</v>
      </c>
      <c r="AD307" s="96" t="s">
        <v>838</v>
      </c>
      <c r="AE307" s="96" t="s">
        <v>839</v>
      </c>
      <c r="AF307" s="96" t="s">
        <v>840</v>
      </c>
      <c r="AG307" s="96" t="s">
        <v>110</v>
      </c>
      <c r="AH307" s="96">
        <v>1947</v>
      </c>
      <c r="AI307" s="96" t="s">
        <v>841</v>
      </c>
      <c r="AJ307" s="96" t="s">
        <v>842</v>
      </c>
      <c r="AK307" s="27" t="s">
        <v>110</v>
      </c>
    </row>
    <row r="308" spans="1:37">
      <c r="A308" s="70">
        <v>303</v>
      </c>
      <c r="B308" s="70">
        <f t="shared" si="12"/>
        <v>0</v>
      </c>
      <c r="C308" s="71"/>
      <c r="D308" s="59" t="s">
        <v>92</v>
      </c>
      <c r="E308" s="60">
        <v>12576</v>
      </c>
      <c r="F308" s="10" t="s">
        <v>951</v>
      </c>
      <c r="G308" s="60">
        <v>601</v>
      </c>
      <c r="H308" s="81">
        <v>503</v>
      </c>
      <c r="I308" s="86">
        <v>342</v>
      </c>
      <c r="J308" s="81">
        <v>453</v>
      </c>
      <c r="K308" s="86">
        <v>342</v>
      </c>
      <c r="L308" s="81">
        <v>190</v>
      </c>
      <c r="M308" s="86">
        <v>238</v>
      </c>
      <c r="N308" s="81">
        <v>372987</v>
      </c>
      <c r="O308" s="86">
        <v>322167</v>
      </c>
      <c r="P308" s="89">
        <f t="shared" si="13"/>
        <v>214</v>
      </c>
      <c r="Q308" s="89">
        <f t="shared" si="14"/>
        <v>347577</v>
      </c>
      <c r="R308" s="96" t="s">
        <v>94</v>
      </c>
      <c r="S308" s="96" t="s">
        <v>289</v>
      </c>
      <c r="T308" s="96" t="s">
        <v>94</v>
      </c>
      <c r="U308" s="96" t="s">
        <v>136</v>
      </c>
      <c r="V308" s="96" t="s">
        <v>766</v>
      </c>
      <c r="W308" s="96" t="s">
        <v>767</v>
      </c>
      <c r="X308" s="96" t="s">
        <v>290</v>
      </c>
      <c r="Y308" s="96" t="s">
        <v>110</v>
      </c>
      <c r="Z308" s="96" t="s">
        <v>797</v>
      </c>
      <c r="AA308" s="96" t="s">
        <v>952</v>
      </c>
      <c r="AB308" s="96" t="s">
        <v>953</v>
      </c>
      <c r="AC308" s="96" t="s">
        <v>954</v>
      </c>
      <c r="AD308" s="96" t="s">
        <v>955</v>
      </c>
      <c r="AE308" s="96" t="s">
        <v>956</v>
      </c>
      <c r="AF308" s="96" t="s">
        <v>957</v>
      </c>
      <c r="AG308" s="96" t="s">
        <v>958</v>
      </c>
      <c r="AH308" s="96">
        <v>2523</v>
      </c>
      <c r="AI308" s="96" t="s">
        <v>959</v>
      </c>
      <c r="AJ308" s="96" t="s">
        <v>960</v>
      </c>
      <c r="AK308" s="27" t="s">
        <v>110</v>
      </c>
    </row>
    <row r="309" spans="1:37">
      <c r="A309" s="70">
        <v>304</v>
      </c>
      <c r="B309" s="70">
        <f t="shared" si="12"/>
        <v>0</v>
      </c>
      <c r="C309" s="71"/>
      <c r="D309" s="59" t="s">
        <v>92</v>
      </c>
      <c r="E309" s="60">
        <v>13927</v>
      </c>
      <c r="F309" s="10" t="s">
        <v>961</v>
      </c>
      <c r="G309" s="60">
        <v>601</v>
      </c>
      <c r="H309" s="81">
        <v>2480</v>
      </c>
      <c r="I309" s="86">
        <v>2960</v>
      </c>
      <c r="J309" s="81">
        <v>1368</v>
      </c>
      <c r="K309" s="86">
        <v>2960</v>
      </c>
      <c r="L309" s="81">
        <v>190</v>
      </c>
      <c r="M309" s="86">
        <v>232</v>
      </c>
      <c r="N309" s="81">
        <v>372825</v>
      </c>
      <c r="O309" s="86">
        <v>329093</v>
      </c>
      <c r="P309" s="89">
        <f t="shared" si="13"/>
        <v>211</v>
      </c>
      <c r="Q309" s="89">
        <f t="shared" si="14"/>
        <v>350959</v>
      </c>
      <c r="R309" s="96" t="s">
        <v>94</v>
      </c>
      <c r="S309" s="96" t="s">
        <v>124</v>
      </c>
      <c r="T309" s="96" t="s">
        <v>94</v>
      </c>
      <c r="U309" s="96" t="s">
        <v>136</v>
      </c>
      <c r="V309" s="96" t="s">
        <v>766</v>
      </c>
      <c r="W309" s="96" t="s">
        <v>767</v>
      </c>
      <c r="X309" s="96" t="s">
        <v>98</v>
      </c>
      <c r="Y309" s="96" t="s">
        <v>110</v>
      </c>
      <c r="Z309" s="96" t="s">
        <v>797</v>
      </c>
      <c r="AA309" s="96" t="s">
        <v>962</v>
      </c>
      <c r="AB309" s="96" t="s">
        <v>963</v>
      </c>
      <c r="AC309" s="96" t="s">
        <v>964</v>
      </c>
      <c r="AD309" s="96" t="s">
        <v>965</v>
      </c>
      <c r="AE309" s="96" t="s">
        <v>966</v>
      </c>
      <c r="AF309" s="96" t="s">
        <v>967</v>
      </c>
      <c r="AG309" s="96" t="s">
        <v>110</v>
      </c>
      <c r="AH309" s="96">
        <v>2468</v>
      </c>
      <c r="AI309" s="96" t="s">
        <v>968</v>
      </c>
      <c r="AJ309" s="96" t="s">
        <v>969</v>
      </c>
      <c r="AK309" s="27" t="s">
        <v>110</v>
      </c>
    </row>
    <row r="310" spans="1:37">
      <c r="A310" s="70">
        <v>305</v>
      </c>
      <c r="B310" s="70">
        <f t="shared" si="12"/>
        <v>0</v>
      </c>
      <c r="C310" s="71"/>
      <c r="D310" s="59" t="s">
        <v>92</v>
      </c>
      <c r="E310" s="60">
        <v>14268</v>
      </c>
      <c r="F310" s="10" t="s">
        <v>970</v>
      </c>
      <c r="G310" s="60">
        <v>601</v>
      </c>
      <c r="H310" s="81">
        <v>2215</v>
      </c>
      <c r="I310" s="86">
        <v>2093</v>
      </c>
      <c r="J310" s="81">
        <v>1691</v>
      </c>
      <c r="K310" s="86">
        <v>2093</v>
      </c>
      <c r="L310" s="81">
        <v>190</v>
      </c>
      <c r="M310" s="86">
        <v>232</v>
      </c>
      <c r="N310" s="81">
        <v>372936</v>
      </c>
      <c r="O310" s="86">
        <v>329318</v>
      </c>
      <c r="P310" s="89">
        <f t="shared" si="13"/>
        <v>211</v>
      </c>
      <c r="Q310" s="89">
        <f t="shared" si="14"/>
        <v>351127</v>
      </c>
      <c r="R310" s="96" t="s">
        <v>94</v>
      </c>
      <c r="S310" s="96" t="s">
        <v>124</v>
      </c>
      <c r="T310" s="96" t="s">
        <v>94</v>
      </c>
      <c r="U310" s="96" t="s">
        <v>136</v>
      </c>
      <c r="V310" s="96" t="s">
        <v>766</v>
      </c>
      <c r="W310" s="96" t="s">
        <v>767</v>
      </c>
      <c r="X310" s="96" t="s">
        <v>98</v>
      </c>
      <c r="Y310" s="96" t="s">
        <v>110</v>
      </c>
      <c r="Z310" s="96" t="s">
        <v>110</v>
      </c>
      <c r="AA310" s="96" t="s">
        <v>971</v>
      </c>
      <c r="AB310" s="96" t="s">
        <v>972</v>
      </c>
      <c r="AC310" s="96" t="s">
        <v>973</v>
      </c>
      <c r="AD310" s="96" t="s">
        <v>974</v>
      </c>
      <c r="AE310" s="96" t="s">
        <v>975</v>
      </c>
      <c r="AF310" s="96" t="s">
        <v>976</v>
      </c>
      <c r="AG310" s="96" t="s">
        <v>977</v>
      </c>
      <c r="AH310" s="96">
        <v>2018</v>
      </c>
      <c r="AI310" s="96" t="s">
        <v>978</v>
      </c>
      <c r="AJ310" s="96" t="s">
        <v>979</v>
      </c>
      <c r="AK310" s="27" t="s">
        <v>110</v>
      </c>
    </row>
    <row r="311" spans="1:37">
      <c r="A311" s="70">
        <v>306</v>
      </c>
      <c r="B311" s="70">
        <f t="shared" si="12"/>
        <v>0</v>
      </c>
      <c r="C311" s="71"/>
      <c r="D311" s="59" t="s">
        <v>92</v>
      </c>
      <c r="E311" s="60">
        <v>14363</v>
      </c>
      <c r="F311" s="10" t="s">
        <v>942</v>
      </c>
      <c r="G311" s="60">
        <v>602</v>
      </c>
      <c r="H311" s="81">
        <v>1225</v>
      </c>
      <c r="I311" s="86">
        <v>40</v>
      </c>
      <c r="J311" s="81">
        <v>316</v>
      </c>
      <c r="K311" s="86">
        <v>40</v>
      </c>
      <c r="L311" s="81">
        <v>190</v>
      </c>
      <c r="M311" s="86">
        <v>231</v>
      </c>
      <c r="N311" s="81">
        <v>372848</v>
      </c>
      <c r="O311" s="86">
        <v>330480</v>
      </c>
      <c r="P311" s="89">
        <f t="shared" si="13"/>
        <v>210.5</v>
      </c>
      <c r="Q311" s="89">
        <f t="shared" si="14"/>
        <v>351664</v>
      </c>
      <c r="R311" s="96" t="s">
        <v>94</v>
      </c>
      <c r="S311" s="96" t="s">
        <v>255</v>
      </c>
      <c r="T311" s="96" t="s">
        <v>94</v>
      </c>
      <c r="U311" s="96" t="s">
        <v>136</v>
      </c>
      <c r="V311" s="96" t="s">
        <v>766</v>
      </c>
      <c r="W311" s="96" t="s">
        <v>767</v>
      </c>
      <c r="X311" s="96" t="s">
        <v>169</v>
      </c>
      <c r="Y311" s="96" t="s">
        <v>110</v>
      </c>
      <c r="Z311" s="96" t="s">
        <v>943</v>
      </c>
      <c r="AA311" s="96" t="s">
        <v>944</v>
      </c>
      <c r="AB311" s="96" t="s">
        <v>110</v>
      </c>
      <c r="AC311" s="96" t="s">
        <v>945</v>
      </c>
      <c r="AD311" s="96" t="s">
        <v>946</v>
      </c>
      <c r="AE311" s="96" t="s">
        <v>947</v>
      </c>
      <c r="AF311" s="96" t="s">
        <v>948</v>
      </c>
      <c r="AG311" s="96" t="s">
        <v>110</v>
      </c>
      <c r="AH311" s="96">
        <v>2089</v>
      </c>
      <c r="AI311" s="96" t="s">
        <v>949</v>
      </c>
      <c r="AJ311" s="96" t="s">
        <v>950</v>
      </c>
      <c r="AK311" s="27" t="s">
        <v>110</v>
      </c>
    </row>
    <row r="312" spans="1:37">
      <c r="A312" s="70">
        <v>307</v>
      </c>
      <c r="B312" s="70">
        <f t="shared" si="12"/>
        <v>0</v>
      </c>
      <c r="C312" s="71"/>
      <c r="D312" s="59" t="s">
        <v>92</v>
      </c>
      <c r="E312" s="60">
        <v>13716</v>
      </c>
      <c r="F312" s="10" t="s">
        <v>980</v>
      </c>
      <c r="G312" s="60">
        <v>604</v>
      </c>
      <c r="H312" s="81">
        <v>48</v>
      </c>
      <c r="I312" s="86">
        <v>100</v>
      </c>
      <c r="J312" s="81">
        <v>48</v>
      </c>
      <c r="K312" s="86">
        <v>100</v>
      </c>
      <c r="L312" s="81">
        <v>212</v>
      </c>
      <c r="M312" s="86">
        <v>203</v>
      </c>
      <c r="N312" s="81">
        <v>345497</v>
      </c>
      <c r="O312" s="86">
        <v>359512</v>
      </c>
      <c r="P312" s="89">
        <f t="shared" si="13"/>
        <v>207.5</v>
      </c>
      <c r="Q312" s="89">
        <f t="shared" si="14"/>
        <v>352504.5</v>
      </c>
      <c r="R312" s="96" t="s">
        <v>94</v>
      </c>
      <c r="S312" s="96" t="s">
        <v>124</v>
      </c>
      <c r="T312" s="96" t="s">
        <v>94</v>
      </c>
      <c r="U312" s="96" t="s">
        <v>136</v>
      </c>
      <c r="V312" s="96" t="s">
        <v>766</v>
      </c>
      <c r="W312" s="96" t="s">
        <v>767</v>
      </c>
      <c r="X312" s="96" t="s">
        <v>98</v>
      </c>
      <c r="Y312" s="96" t="s">
        <v>382</v>
      </c>
      <c r="Z312" s="96" t="s">
        <v>110</v>
      </c>
      <c r="AA312" s="96" t="s">
        <v>981</v>
      </c>
      <c r="AB312" s="96" t="s">
        <v>982</v>
      </c>
      <c r="AC312" s="96" t="s">
        <v>983</v>
      </c>
      <c r="AD312" s="96" t="s">
        <v>984</v>
      </c>
      <c r="AE312" s="96" t="s">
        <v>985</v>
      </c>
      <c r="AF312" s="96" t="s">
        <v>986</v>
      </c>
      <c r="AG312" s="96" t="s">
        <v>987</v>
      </c>
      <c r="AH312" s="96">
        <v>2075</v>
      </c>
      <c r="AI312" s="96" t="s">
        <v>988</v>
      </c>
      <c r="AJ312" s="96" t="s">
        <v>989</v>
      </c>
      <c r="AK312" s="27" t="s">
        <v>110</v>
      </c>
    </row>
    <row r="313" spans="1:37">
      <c r="A313" s="70">
        <v>308</v>
      </c>
      <c r="B313" s="70">
        <f t="shared" si="12"/>
        <v>0</v>
      </c>
      <c r="C313" s="71"/>
      <c r="D313" s="59" t="s">
        <v>92</v>
      </c>
      <c r="E313" s="60">
        <v>14268</v>
      </c>
      <c r="F313" s="10" t="s">
        <v>970</v>
      </c>
      <c r="G313" s="60">
        <v>602</v>
      </c>
      <c r="H313" s="81">
        <v>245</v>
      </c>
      <c r="I313" s="86">
        <v>85</v>
      </c>
      <c r="J313" s="81">
        <v>81</v>
      </c>
      <c r="K313" s="86">
        <v>85</v>
      </c>
      <c r="L313" s="81">
        <v>190</v>
      </c>
      <c r="M313" s="86">
        <v>230</v>
      </c>
      <c r="N313" s="81">
        <v>372725</v>
      </c>
      <c r="O313" s="86">
        <v>332333</v>
      </c>
      <c r="P313" s="89">
        <f t="shared" si="13"/>
        <v>210</v>
      </c>
      <c r="Q313" s="89">
        <f t="shared" si="14"/>
        <v>352529</v>
      </c>
      <c r="R313" s="96" t="s">
        <v>94</v>
      </c>
      <c r="S313" s="96" t="s">
        <v>124</v>
      </c>
      <c r="T313" s="96" t="s">
        <v>94</v>
      </c>
      <c r="U313" s="96" t="s">
        <v>136</v>
      </c>
      <c r="V313" s="96" t="s">
        <v>766</v>
      </c>
      <c r="W313" s="96" t="s">
        <v>767</v>
      </c>
      <c r="X313" s="96" t="s">
        <v>98</v>
      </c>
      <c r="Y313" s="96" t="s">
        <v>110</v>
      </c>
      <c r="Z313" s="96" t="s">
        <v>110</v>
      </c>
      <c r="AA313" s="96" t="s">
        <v>971</v>
      </c>
      <c r="AB313" s="96" t="s">
        <v>972</v>
      </c>
      <c r="AC313" s="96" t="s">
        <v>973</v>
      </c>
      <c r="AD313" s="96" t="s">
        <v>974</v>
      </c>
      <c r="AE313" s="96" t="s">
        <v>975</v>
      </c>
      <c r="AF313" s="96" t="s">
        <v>976</v>
      </c>
      <c r="AG313" s="96" t="s">
        <v>977</v>
      </c>
      <c r="AH313" s="96">
        <v>2018</v>
      </c>
      <c r="AI313" s="96" t="s">
        <v>978</v>
      </c>
      <c r="AJ313" s="96" t="s">
        <v>979</v>
      </c>
      <c r="AK313" s="27" t="s">
        <v>110</v>
      </c>
    </row>
    <row r="314" spans="1:37">
      <c r="A314" s="70">
        <v>309</v>
      </c>
      <c r="B314" s="70">
        <f t="shared" si="12"/>
        <v>0</v>
      </c>
      <c r="C314" s="71"/>
      <c r="D314" s="59" t="s">
        <v>92</v>
      </c>
      <c r="E314" s="60">
        <v>13716</v>
      </c>
      <c r="F314" s="10" t="s">
        <v>980</v>
      </c>
      <c r="G314" s="60">
        <v>601</v>
      </c>
      <c r="H314" s="81">
        <v>2674</v>
      </c>
      <c r="I314" s="86">
        <v>2920</v>
      </c>
      <c r="J314" s="81">
        <v>2287</v>
      </c>
      <c r="K314" s="86">
        <v>2920</v>
      </c>
      <c r="L314" s="81">
        <v>190</v>
      </c>
      <c r="M314" s="86">
        <v>230</v>
      </c>
      <c r="N314" s="81">
        <v>373102</v>
      </c>
      <c r="O314" s="86">
        <v>332379</v>
      </c>
      <c r="P314" s="89">
        <f t="shared" si="13"/>
        <v>210</v>
      </c>
      <c r="Q314" s="89">
        <f t="shared" si="14"/>
        <v>352740.5</v>
      </c>
      <c r="R314" s="96" t="s">
        <v>94</v>
      </c>
      <c r="S314" s="96" t="s">
        <v>124</v>
      </c>
      <c r="T314" s="96" t="s">
        <v>94</v>
      </c>
      <c r="U314" s="96" t="s">
        <v>136</v>
      </c>
      <c r="V314" s="96" t="s">
        <v>766</v>
      </c>
      <c r="W314" s="96" t="s">
        <v>767</v>
      </c>
      <c r="X314" s="96" t="s">
        <v>98</v>
      </c>
      <c r="Y314" s="96" t="s">
        <v>382</v>
      </c>
      <c r="Z314" s="96" t="s">
        <v>110</v>
      </c>
      <c r="AA314" s="96" t="s">
        <v>981</v>
      </c>
      <c r="AB314" s="96" t="s">
        <v>982</v>
      </c>
      <c r="AC314" s="96" t="s">
        <v>983</v>
      </c>
      <c r="AD314" s="96" t="s">
        <v>984</v>
      </c>
      <c r="AE314" s="96" t="s">
        <v>985</v>
      </c>
      <c r="AF314" s="96" t="s">
        <v>986</v>
      </c>
      <c r="AG314" s="96" t="s">
        <v>987</v>
      </c>
      <c r="AH314" s="96">
        <v>2075</v>
      </c>
      <c r="AI314" s="96" t="s">
        <v>988</v>
      </c>
      <c r="AJ314" s="96" t="s">
        <v>989</v>
      </c>
      <c r="AK314" s="27" t="s">
        <v>110</v>
      </c>
    </row>
    <row r="315" spans="1:37">
      <c r="A315" s="70">
        <v>310</v>
      </c>
      <c r="B315" s="70">
        <f t="shared" si="12"/>
        <v>0</v>
      </c>
      <c r="C315" s="71"/>
      <c r="D315" s="59" t="s">
        <v>92</v>
      </c>
      <c r="E315" s="60">
        <v>14511</v>
      </c>
      <c r="F315" s="10" t="s">
        <v>990</v>
      </c>
      <c r="G315" s="60">
        <v>601</v>
      </c>
      <c r="H315" s="81">
        <v>1880</v>
      </c>
      <c r="I315" s="86">
        <v>1475</v>
      </c>
      <c r="J315" s="81">
        <v>481</v>
      </c>
      <c r="K315" s="86">
        <v>1475</v>
      </c>
      <c r="L315" s="81">
        <v>190</v>
      </c>
      <c r="M315" s="86">
        <v>226</v>
      </c>
      <c r="N315" s="81">
        <v>373043</v>
      </c>
      <c r="O315" s="86">
        <v>336262</v>
      </c>
      <c r="P315" s="89">
        <f t="shared" si="13"/>
        <v>208</v>
      </c>
      <c r="Q315" s="89">
        <f t="shared" si="14"/>
        <v>354652.5</v>
      </c>
      <c r="R315" s="96" t="s">
        <v>94</v>
      </c>
      <c r="S315" s="96" t="s">
        <v>499</v>
      </c>
      <c r="T315" s="96" t="s">
        <v>94</v>
      </c>
      <c r="U315" s="96" t="s">
        <v>136</v>
      </c>
      <c r="V315" s="96" t="s">
        <v>766</v>
      </c>
      <c r="W315" s="96" t="s">
        <v>767</v>
      </c>
      <c r="X315" s="96" t="s">
        <v>500</v>
      </c>
      <c r="Y315" s="96" t="s">
        <v>225</v>
      </c>
      <c r="Z315" s="96" t="s">
        <v>797</v>
      </c>
      <c r="AA315" s="96" t="s">
        <v>991</v>
      </c>
      <c r="AB315" s="96" t="s">
        <v>110</v>
      </c>
      <c r="AC315" s="96" t="s">
        <v>992</v>
      </c>
      <c r="AD315" s="96" t="s">
        <v>993</v>
      </c>
      <c r="AE315" s="96" t="s">
        <v>994</v>
      </c>
      <c r="AF315" s="96" t="s">
        <v>995</v>
      </c>
      <c r="AG315" s="96" t="s">
        <v>110</v>
      </c>
      <c r="AH315" s="96">
        <v>2568</v>
      </c>
      <c r="AI315" s="96" t="s">
        <v>996</v>
      </c>
      <c r="AJ315" s="96" t="s">
        <v>997</v>
      </c>
      <c r="AK315" s="27" t="s">
        <v>110</v>
      </c>
    </row>
    <row r="316" spans="1:37">
      <c r="A316" s="70">
        <v>311</v>
      </c>
      <c r="B316" s="70">
        <f t="shared" si="12"/>
        <v>0</v>
      </c>
      <c r="C316" s="71"/>
      <c r="D316" s="59" t="s">
        <v>92</v>
      </c>
      <c r="E316" s="60">
        <v>13715</v>
      </c>
      <c r="F316" s="10" t="s">
        <v>834</v>
      </c>
      <c r="G316" s="60">
        <v>605</v>
      </c>
      <c r="H316" s="81">
        <v>32</v>
      </c>
      <c r="I316" s="86">
        <v>35</v>
      </c>
      <c r="J316" s="81">
        <v>32</v>
      </c>
      <c r="K316" s="86">
        <v>35</v>
      </c>
      <c r="L316" s="81">
        <v>208</v>
      </c>
      <c r="M316" s="86">
        <v>204</v>
      </c>
      <c r="N316" s="81">
        <v>351300</v>
      </c>
      <c r="O316" s="86">
        <v>358449</v>
      </c>
      <c r="P316" s="89">
        <f t="shared" si="13"/>
        <v>206</v>
      </c>
      <c r="Q316" s="89">
        <f t="shared" si="14"/>
        <v>354874.5</v>
      </c>
      <c r="R316" s="96" t="s">
        <v>94</v>
      </c>
      <c r="S316" s="96" t="s">
        <v>124</v>
      </c>
      <c r="T316" s="96" t="s">
        <v>94</v>
      </c>
      <c r="U316" s="96" t="s">
        <v>136</v>
      </c>
      <c r="V316" s="96" t="s">
        <v>766</v>
      </c>
      <c r="W316" s="96" t="s">
        <v>767</v>
      </c>
      <c r="X316" s="96" t="s">
        <v>98</v>
      </c>
      <c r="Y316" s="96" t="s">
        <v>382</v>
      </c>
      <c r="Z316" s="96" t="s">
        <v>797</v>
      </c>
      <c r="AA316" s="96" t="s">
        <v>835</v>
      </c>
      <c r="AB316" s="96" t="s">
        <v>836</v>
      </c>
      <c r="AC316" s="96" t="s">
        <v>837</v>
      </c>
      <c r="AD316" s="96" t="s">
        <v>838</v>
      </c>
      <c r="AE316" s="96" t="s">
        <v>839</v>
      </c>
      <c r="AF316" s="96" t="s">
        <v>840</v>
      </c>
      <c r="AG316" s="96" t="s">
        <v>110</v>
      </c>
      <c r="AH316" s="96">
        <v>1947</v>
      </c>
      <c r="AI316" s="96" t="s">
        <v>841</v>
      </c>
      <c r="AJ316" s="96" t="s">
        <v>842</v>
      </c>
      <c r="AK316" s="27" t="s">
        <v>110</v>
      </c>
    </row>
    <row r="317" spans="1:37">
      <c r="A317" s="70">
        <v>312</v>
      </c>
      <c r="B317" s="70">
        <f t="shared" si="12"/>
        <v>0</v>
      </c>
      <c r="C317" s="71"/>
      <c r="D317" s="59" t="s">
        <v>92</v>
      </c>
      <c r="E317" s="60">
        <v>13715</v>
      </c>
      <c r="F317" s="10" t="s">
        <v>834</v>
      </c>
      <c r="G317" s="60">
        <v>606</v>
      </c>
      <c r="H317" s="81">
        <v>20</v>
      </c>
      <c r="I317" s="86" t="s">
        <v>110</v>
      </c>
      <c r="J317" s="81">
        <v>20</v>
      </c>
      <c r="K317" s="86" t="s">
        <v>110</v>
      </c>
      <c r="L317" s="81">
        <v>204</v>
      </c>
      <c r="M317" s="86" t="s">
        <v>110</v>
      </c>
      <c r="N317" s="81">
        <v>356236</v>
      </c>
      <c r="O317" s="86" t="s">
        <v>110</v>
      </c>
      <c r="P317" s="89">
        <f t="shared" si="13"/>
        <v>204</v>
      </c>
      <c r="Q317" s="89">
        <f t="shared" si="14"/>
        <v>356236</v>
      </c>
      <c r="R317" s="96" t="s">
        <v>94</v>
      </c>
      <c r="S317" s="96" t="s">
        <v>124</v>
      </c>
      <c r="T317" s="96" t="s">
        <v>94</v>
      </c>
      <c r="U317" s="96" t="s">
        <v>136</v>
      </c>
      <c r="V317" s="96" t="s">
        <v>766</v>
      </c>
      <c r="W317" s="96" t="s">
        <v>767</v>
      </c>
      <c r="X317" s="96" t="s">
        <v>98</v>
      </c>
      <c r="Y317" s="96" t="s">
        <v>382</v>
      </c>
      <c r="Z317" s="96" t="s">
        <v>797</v>
      </c>
      <c r="AA317" s="96" t="s">
        <v>835</v>
      </c>
      <c r="AB317" s="96" t="s">
        <v>836</v>
      </c>
      <c r="AC317" s="96" t="s">
        <v>837</v>
      </c>
      <c r="AD317" s="96" t="s">
        <v>838</v>
      </c>
      <c r="AE317" s="96" t="s">
        <v>839</v>
      </c>
      <c r="AF317" s="96" t="s">
        <v>840</v>
      </c>
      <c r="AG317" s="96" t="s">
        <v>110</v>
      </c>
      <c r="AH317" s="96">
        <v>1947</v>
      </c>
      <c r="AI317" s="96" t="s">
        <v>841</v>
      </c>
      <c r="AJ317" s="96" t="s">
        <v>842</v>
      </c>
      <c r="AK317" s="27" t="s">
        <v>110</v>
      </c>
    </row>
    <row r="318" spans="1:37">
      <c r="A318" s="70">
        <v>313</v>
      </c>
      <c r="B318" s="70">
        <f t="shared" si="12"/>
        <v>0</v>
      </c>
      <c r="C318" s="71"/>
      <c r="D318" s="59" t="s">
        <v>92</v>
      </c>
      <c r="E318" s="60">
        <v>14265</v>
      </c>
      <c r="F318" s="10" t="s">
        <v>916</v>
      </c>
      <c r="G318" s="60">
        <v>602</v>
      </c>
      <c r="H318" s="81">
        <v>60</v>
      </c>
      <c r="I318" s="86" t="s">
        <v>110</v>
      </c>
      <c r="J318" s="81">
        <v>60</v>
      </c>
      <c r="K318" s="86" t="s">
        <v>110</v>
      </c>
      <c r="L318" s="81">
        <v>203</v>
      </c>
      <c r="M318" s="86" t="s">
        <v>110</v>
      </c>
      <c r="N318" s="81">
        <v>356852</v>
      </c>
      <c r="O318" s="86" t="s">
        <v>110</v>
      </c>
      <c r="P318" s="89">
        <f t="shared" si="13"/>
        <v>203</v>
      </c>
      <c r="Q318" s="89">
        <f t="shared" si="14"/>
        <v>356852</v>
      </c>
      <c r="R318" s="96" t="s">
        <v>94</v>
      </c>
      <c r="S318" s="96" t="s">
        <v>237</v>
      </c>
      <c r="T318" s="96" t="s">
        <v>94</v>
      </c>
      <c r="U318" s="96" t="s">
        <v>136</v>
      </c>
      <c r="V318" s="96" t="s">
        <v>766</v>
      </c>
      <c r="W318" s="96" t="s">
        <v>767</v>
      </c>
      <c r="X318" s="96" t="s">
        <v>147</v>
      </c>
      <c r="Y318" s="96" t="s">
        <v>110</v>
      </c>
      <c r="Z318" s="96" t="s">
        <v>797</v>
      </c>
      <c r="AA318" s="96" t="s">
        <v>917</v>
      </c>
      <c r="AB318" s="96" t="s">
        <v>110</v>
      </c>
      <c r="AC318" s="96" t="s">
        <v>918</v>
      </c>
      <c r="AD318" s="96" t="s">
        <v>919</v>
      </c>
      <c r="AE318" s="96" t="s">
        <v>920</v>
      </c>
      <c r="AF318" s="96" t="s">
        <v>921</v>
      </c>
      <c r="AG318" s="96" t="s">
        <v>110</v>
      </c>
      <c r="AH318" s="96">
        <v>2448</v>
      </c>
      <c r="AI318" s="96" t="s">
        <v>922</v>
      </c>
      <c r="AJ318" s="96" t="s">
        <v>923</v>
      </c>
      <c r="AK318" s="27" t="s">
        <v>110</v>
      </c>
    </row>
    <row r="319" spans="1:37">
      <c r="A319" s="70">
        <v>314</v>
      </c>
      <c r="B319" s="70">
        <f t="shared" si="12"/>
        <v>0</v>
      </c>
      <c r="C319" s="71"/>
      <c r="D319" s="59" t="s">
        <v>92</v>
      </c>
      <c r="E319" s="60">
        <v>14123</v>
      </c>
      <c r="F319" s="10" t="s">
        <v>881</v>
      </c>
      <c r="G319" s="60">
        <v>605</v>
      </c>
      <c r="H319" s="81">
        <v>32</v>
      </c>
      <c r="I319" s="86" t="s">
        <v>110</v>
      </c>
      <c r="J319" s="81">
        <v>11</v>
      </c>
      <c r="K319" s="86" t="s">
        <v>110</v>
      </c>
      <c r="L319" s="81">
        <v>203</v>
      </c>
      <c r="M319" s="86" t="s">
        <v>110</v>
      </c>
      <c r="N319" s="81">
        <v>357681</v>
      </c>
      <c r="O319" s="86" t="s">
        <v>110</v>
      </c>
      <c r="P319" s="89">
        <f t="shared" si="13"/>
        <v>203</v>
      </c>
      <c r="Q319" s="89">
        <f t="shared" si="14"/>
        <v>357681</v>
      </c>
      <c r="R319" s="96" t="s">
        <v>94</v>
      </c>
      <c r="S319" s="96" t="s">
        <v>124</v>
      </c>
      <c r="T319" s="96" t="s">
        <v>94</v>
      </c>
      <c r="U319" s="96" t="s">
        <v>136</v>
      </c>
      <c r="V319" s="96" t="s">
        <v>766</v>
      </c>
      <c r="W319" s="96" t="s">
        <v>767</v>
      </c>
      <c r="X319" s="96" t="s">
        <v>98</v>
      </c>
      <c r="Y319" s="96" t="s">
        <v>110</v>
      </c>
      <c r="Z319" s="96" t="s">
        <v>797</v>
      </c>
      <c r="AA319" s="96" t="s">
        <v>882</v>
      </c>
      <c r="AB319" s="96" t="s">
        <v>883</v>
      </c>
      <c r="AC319" s="96" t="s">
        <v>884</v>
      </c>
      <c r="AD319" s="96" t="s">
        <v>885</v>
      </c>
      <c r="AE319" s="96" t="s">
        <v>886</v>
      </c>
      <c r="AF319" s="96" t="s">
        <v>887</v>
      </c>
      <c r="AG319" s="96" t="s">
        <v>110</v>
      </c>
      <c r="AH319" s="96">
        <v>2540</v>
      </c>
      <c r="AI319" s="96" t="s">
        <v>888</v>
      </c>
      <c r="AJ319" s="96" t="s">
        <v>889</v>
      </c>
      <c r="AK319" s="27" t="s">
        <v>110</v>
      </c>
    </row>
    <row r="320" spans="1:37">
      <c r="A320" s="70">
        <v>315</v>
      </c>
      <c r="B320" s="70">
        <f t="shared" si="12"/>
        <v>0</v>
      </c>
      <c r="C320" s="71"/>
      <c r="D320" s="59" t="s">
        <v>92</v>
      </c>
      <c r="E320" s="60">
        <v>12749</v>
      </c>
      <c r="F320" s="10" t="s">
        <v>862</v>
      </c>
      <c r="G320" s="60">
        <v>602</v>
      </c>
      <c r="H320" s="81">
        <v>55</v>
      </c>
      <c r="I320" s="86" t="s">
        <v>110</v>
      </c>
      <c r="J320" s="81">
        <v>55</v>
      </c>
      <c r="K320" s="86" t="s">
        <v>110</v>
      </c>
      <c r="L320" s="81">
        <v>201</v>
      </c>
      <c r="M320" s="86" t="s">
        <v>110</v>
      </c>
      <c r="N320" s="81">
        <v>359573</v>
      </c>
      <c r="O320" s="86" t="s">
        <v>110</v>
      </c>
      <c r="P320" s="89">
        <f t="shared" si="13"/>
        <v>201</v>
      </c>
      <c r="Q320" s="89">
        <f t="shared" si="14"/>
        <v>359573</v>
      </c>
      <c r="R320" s="96" t="s">
        <v>94</v>
      </c>
      <c r="S320" s="96" t="s">
        <v>124</v>
      </c>
      <c r="T320" s="96" t="s">
        <v>94</v>
      </c>
      <c r="U320" s="96" t="s">
        <v>136</v>
      </c>
      <c r="V320" s="96" t="s">
        <v>766</v>
      </c>
      <c r="W320" s="96" t="s">
        <v>767</v>
      </c>
      <c r="X320" s="96" t="s">
        <v>98</v>
      </c>
      <c r="Y320" s="96" t="s">
        <v>110</v>
      </c>
      <c r="Z320" s="96" t="s">
        <v>797</v>
      </c>
      <c r="AA320" s="96" t="s">
        <v>863</v>
      </c>
      <c r="AB320" s="96" t="s">
        <v>864</v>
      </c>
      <c r="AC320" s="96" t="s">
        <v>865</v>
      </c>
      <c r="AD320" s="96" t="s">
        <v>866</v>
      </c>
      <c r="AE320" s="96" t="s">
        <v>867</v>
      </c>
      <c r="AF320" s="96" t="s">
        <v>868</v>
      </c>
      <c r="AG320" s="96" t="s">
        <v>110</v>
      </c>
      <c r="AH320" s="96">
        <v>1622</v>
      </c>
      <c r="AI320" s="96" t="s">
        <v>869</v>
      </c>
      <c r="AJ320" s="96" t="s">
        <v>870</v>
      </c>
      <c r="AK320" s="27" t="s">
        <v>110</v>
      </c>
    </row>
    <row r="321" spans="1:37">
      <c r="A321" s="70">
        <v>316</v>
      </c>
      <c r="B321" s="70">
        <f t="shared" si="12"/>
        <v>0</v>
      </c>
      <c r="C321" s="71"/>
      <c r="D321" s="59" t="s">
        <v>92</v>
      </c>
      <c r="E321" s="60">
        <v>14126</v>
      </c>
      <c r="F321" s="10" t="s">
        <v>998</v>
      </c>
      <c r="G321" s="60">
        <v>601</v>
      </c>
      <c r="H321" s="81">
        <v>920</v>
      </c>
      <c r="I321" s="86">
        <v>1690</v>
      </c>
      <c r="J321" s="81">
        <v>895</v>
      </c>
      <c r="K321" s="86">
        <v>1690</v>
      </c>
      <c r="L321" s="81">
        <v>190</v>
      </c>
      <c r="M321" s="86">
        <v>217</v>
      </c>
      <c r="N321" s="81">
        <v>372994</v>
      </c>
      <c r="O321" s="86">
        <v>346206</v>
      </c>
      <c r="P321" s="89">
        <f t="shared" si="13"/>
        <v>203.5</v>
      </c>
      <c r="Q321" s="89">
        <f t="shared" si="14"/>
        <v>359600</v>
      </c>
      <c r="R321" s="96" t="s">
        <v>94</v>
      </c>
      <c r="S321" s="96" t="s">
        <v>741</v>
      </c>
      <c r="T321" s="96" t="s">
        <v>94</v>
      </c>
      <c r="U321" s="96" t="s">
        <v>136</v>
      </c>
      <c r="V321" s="96" t="s">
        <v>766</v>
      </c>
      <c r="W321" s="96" t="s">
        <v>767</v>
      </c>
      <c r="X321" s="96" t="s">
        <v>147</v>
      </c>
      <c r="Y321" s="96" t="s">
        <v>110</v>
      </c>
      <c r="Z321" s="96" t="s">
        <v>797</v>
      </c>
      <c r="AA321" s="96" t="s">
        <v>999</v>
      </c>
      <c r="AB321" s="96" t="s">
        <v>110</v>
      </c>
      <c r="AC321" s="96" t="s">
        <v>1000</v>
      </c>
      <c r="AD321" s="96" t="s">
        <v>1001</v>
      </c>
      <c r="AE321" s="96" t="s">
        <v>1002</v>
      </c>
      <c r="AF321" s="96" t="s">
        <v>1003</v>
      </c>
      <c r="AG321" s="96" t="s">
        <v>110</v>
      </c>
      <c r="AH321" s="96">
        <v>1805</v>
      </c>
      <c r="AI321" s="96" t="s">
        <v>1004</v>
      </c>
      <c r="AJ321" s="96" t="s">
        <v>1005</v>
      </c>
      <c r="AK321" s="27" t="s">
        <v>110</v>
      </c>
    </row>
    <row r="322" spans="1:37">
      <c r="A322" s="70">
        <v>317</v>
      </c>
      <c r="B322" s="70">
        <f t="shared" si="12"/>
        <v>0</v>
      </c>
      <c r="C322" s="71"/>
      <c r="D322" s="59" t="s">
        <v>92</v>
      </c>
      <c r="E322" s="60">
        <v>14761</v>
      </c>
      <c r="F322" s="10" t="s">
        <v>908</v>
      </c>
      <c r="G322" s="60">
        <v>609</v>
      </c>
      <c r="H322" s="81">
        <v>75</v>
      </c>
      <c r="I322" s="86" t="s">
        <v>110</v>
      </c>
      <c r="J322" s="81">
        <v>22</v>
      </c>
      <c r="K322" s="86" t="s">
        <v>110</v>
      </c>
      <c r="L322" s="81">
        <v>200</v>
      </c>
      <c r="M322" s="86" t="s">
        <v>110</v>
      </c>
      <c r="N322" s="81">
        <v>360695</v>
      </c>
      <c r="O322" s="86" t="s">
        <v>110</v>
      </c>
      <c r="P322" s="89">
        <f t="shared" si="13"/>
        <v>200</v>
      </c>
      <c r="Q322" s="89">
        <f t="shared" si="14"/>
        <v>360695</v>
      </c>
      <c r="R322" s="96" t="s">
        <v>94</v>
      </c>
      <c r="S322" s="96" t="s">
        <v>145</v>
      </c>
      <c r="T322" s="96" t="s">
        <v>94</v>
      </c>
      <c r="U322" s="96" t="s">
        <v>136</v>
      </c>
      <c r="V322" s="96" t="s">
        <v>766</v>
      </c>
      <c r="W322" s="96" t="s">
        <v>767</v>
      </c>
      <c r="X322" s="96" t="s">
        <v>147</v>
      </c>
      <c r="Y322" s="96" t="s">
        <v>382</v>
      </c>
      <c r="Z322" s="96" t="s">
        <v>110</v>
      </c>
      <c r="AA322" s="96" t="s">
        <v>909</v>
      </c>
      <c r="AB322" s="96" t="s">
        <v>110</v>
      </c>
      <c r="AC322" s="96" t="s">
        <v>910</v>
      </c>
      <c r="AD322" s="96" t="s">
        <v>911</v>
      </c>
      <c r="AE322" s="96" t="s">
        <v>912</v>
      </c>
      <c r="AF322" s="96" t="s">
        <v>913</v>
      </c>
      <c r="AG322" s="96" t="s">
        <v>110</v>
      </c>
      <c r="AH322" s="96">
        <v>2690</v>
      </c>
      <c r="AI322" s="96" t="s">
        <v>914</v>
      </c>
      <c r="AJ322" s="96" t="s">
        <v>915</v>
      </c>
      <c r="AK322" s="27" t="s">
        <v>110</v>
      </c>
    </row>
    <row r="323" spans="1:37">
      <c r="A323" s="70">
        <v>318</v>
      </c>
      <c r="B323" s="70">
        <f t="shared" si="12"/>
        <v>0</v>
      </c>
      <c r="C323" s="71"/>
      <c r="D323" s="59" t="s">
        <v>92</v>
      </c>
      <c r="E323" s="60">
        <v>14268</v>
      </c>
      <c r="F323" s="10" t="s">
        <v>970</v>
      </c>
      <c r="G323" s="60">
        <v>603</v>
      </c>
      <c r="H323" s="81">
        <v>120</v>
      </c>
      <c r="I323" s="86" t="s">
        <v>110</v>
      </c>
      <c r="J323" s="81">
        <v>11</v>
      </c>
      <c r="K323" s="86" t="s">
        <v>110</v>
      </c>
      <c r="L323" s="81">
        <v>196</v>
      </c>
      <c r="M323" s="86" t="s">
        <v>110</v>
      </c>
      <c r="N323" s="81">
        <v>366335</v>
      </c>
      <c r="O323" s="86" t="s">
        <v>110</v>
      </c>
      <c r="P323" s="89">
        <f t="shared" si="13"/>
        <v>196</v>
      </c>
      <c r="Q323" s="89">
        <f t="shared" si="14"/>
        <v>366335</v>
      </c>
      <c r="R323" s="96" t="s">
        <v>94</v>
      </c>
      <c r="S323" s="96" t="s">
        <v>124</v>
      </c>
      <c r="T323" s="96" t="s">
        <v>94</v>
      </c>
      <c r="U323" s="96" t="s">
        <v>136</v>
      </c>
      <c r="V323" s="96" t="s">
        <v>766</v>
      </c>
      <c r="W323" s="96" t="s">
        <v>767</v>
      </c>
      <c r="X323" s="96" t="s">
        <v>98</v>
      </c>
      <c r="Y323" s="96" t="s">
        <v>110</v>
      </c>
      <c r="Z323" s="96" t="s">
        <v>110</v>
      </c>
      <c r="AA323" s="96" t="s">
        <v>971</v>
      </c>
      <c r="AB323" s="96" t="s">
        <v>972</v>
      </c>
      <c r="AC323" s="96" t="s">
        <v>973</v>
      </c>
      <c r="AD323" s="96" t="s">
        <v>974</v>
      </c>
      <c r="AE323" s="96" t="s">
        <v>975</v>
      </c>
      <c r="AF323" s="96" t="s">
        <v>976</v>
      </c>
      <c r="AG323" s="96" t="s">
        <v>977</v>
      </c>
      <c r="AH323" s="96">
        <v>2018</v>
      </c>
      <c r="AI323" s="96" t="s">
        <v>978</v>
      </c>
      <c r="AJ323" s="96" t="s">
        <v>979</v>
      </c>
      <c r="AK323" s="27" t="s">
        <v>110</v>
      </c>
    </row>
    <row r="324" spans="1:37">
      <c r="A324" s="70">
        <v>319</v>
      </c>
      <c r="B324" s="70">
        <f t="shared" si="12"/>
        <v>0</v>
      </c>
      <c r="C324" s="71"/>
      <c r="D324" s="59" t="s">
        <v>92</v>
      </c>
      <c r="E324" s="60">
        <v>12749</v>
      </c>
      <c r="F324" s="10" t="s">
        <v>862</v>
      </c>
      <c r="G324" s="60">
        <v>603</v>
      </c>
      <c r="H324" s="81">
        <v>365</v>
      </c>
      <c r="I324" s="86">
        <v>50</v>
      </c>
      <c r="J324" s="81">
        <v>128</v>
      </c>
      <c r="K324" s="86">
        <v>50</v>
      </c>
      <c r="L324" s="81">
        <v>190</v>
      </c>
      <c r="M324" s="86">
        <v>199</v>
      </c>
      <c r="N324" s="81">
        <v>372847</v>
      </c>
      <c r="O324" s="86">
        <v>362471</v>
      </c>
      <c r="P324" s="89">
        <f t="shared" si="13"/>
        <v>194.5</v>
      </c>
      <c r="Q324" s="89">
        <f t="shared" si="14"/>
        <v>367659</v>
      </c>
      <c r="R324" s="96" t="s">
        <v>94</v>
      </c>
      <c r="S324" s="96" t="s">
        <v>124</v>
      </c>
      <c r="T324" s="96" t="s">
        <v>94</v>
      </c>
      <c r="U324" s="96" t="s">
        <v>136</v>
      </c>
      <c r="V324" s="96" t="s">
        <v>766</v>
      </c>
      <c r="W324" s="96" t="s">
        <v>767</v>
      </c>
      <c r="X324" s="96" t="s">
        <v>98</v>
      </c>
      <c r="Y324" s="96" t="s">
        <v>110</v>
      </c>
      <c r="Z324" s="96" t="s">
        <v>797</v>
      </c>
      <c r="AA324" s="96" t="s">
        <v>863</v>
      </c>
      <c r="AB324" s="96" t="s">
        <v>864</v>
      </c>
      <c r="AC324" s="96" t="s">
        <v>865</v>
      </c>
      <c r="AD324" s="96" t="s">
        <v>866</v>
      </c>
      <c r="AE324" s="96" t="s">
        <v>867</v>
      </c>
      <c r="AF324" s="96" t="s">
        <v>868</v>
      </c>
      <c r="AG324" s="96" t="s">
        <v>110</v>
      </c>
      <c r="AH324" s="96">
        <v>1622</v>
      </c>
      <c r="AI324" s="96" t="s">
        <v>869</v>
      </c>
      <c r="AJ324" s="96" t="s">
        <v>870</v>
      </c>
      <c r="AK324" s="27" t="s">
        <v>110</v>
      </c>
    </row>
    <row r="325" spans="1:37">
      <c r="A325" s="70">
        <v>320</v>
      </c>
      <c r="B325" s="70">
        <f t="shared" si="12"/>
        <v>0</v>
      </c>
      <c r="C325" s="71"/>
      <c r="D325" s="59" t="s">
        <v>92</v>
      </c>
      <c r="E325" s="60">
        <v>14761</v>
      </c>
      <c r="F325" s="10" t="s">
        <v>908</v>
      </c>
      <c r="G325" s="60">
        <v>605</v>
      </c>
      <c r="H325" s="81">
        <v>30</v>
      </c>
      <c r="I325" s="86" t="s">
        <v>110</v>
      </c>
      <c r="J325" s="81">
        <v>25</v>
      </c>
      <c r="K325" s="86" t="s">
        <v>110</v>
      </c>
      <c r="L325" s="81">
        <v>194</v>
      </c>
      <c r="M325" s="86" t="s">
        <v>110</v>
      </c>
      <c r="N325" s="81">
        <v>367935</v>
      </c>
      <c r="O325" s="86" t="s">
        <v>110</v>
      </c>
      <c r="P325" s="89">
        <f t="shared" si="13"/>
        <v>194</v>
      </c>
      <c r="Q325" s="89">
        <f t="shared" si="14"/>
        <v>367935</v>
      </c>
      <c r="R325" s="96" t="s">
        <v>94</v>
      </c>
      <c r="S325" s="96" t="s">
        <v>145</v>
      </c>
      <c r="T325" s="96" t="s">
        <v>94</v>
      </c>
      <c r="U325" s="96" t="s">
        <v>136</v>
      </c>
      <c r="V325" s="96" t="s">
        <v>766</v>
      </c>
      <c r="W325" s="96" t="s">
        <v>767</v>
      </c>
      <c r="X325" s="96" t="s">
        <v>147</v>
      </c>
      <c r="Y325" s="96" t="s">
        <v>382</v>
      </c>
      <c r="Z325" s="96" t="s">
        <v>110</v>
      </c>
      <c r="AA325" s="96" t="s">
        <v>909</v>
      </c>
      <c r="AB325" s="96" t="s">
        <v>110</v>
      </c>
      <c r="AC325" s="96" t="s">
        <v>910</v>
      </c>
      <c r="AD325" s="96" t="s">
        <v>911</v>
      </c>
      <c r="AE325" s="96" t="s">
        <v>912</v>
      </c>
      <c r="AF325" s="96" t="s">
        <v>913</v>
      </c>
      <c r="AG325" s="96" t="s">
        <v>110</v>
      </c>
      <c r="AH325" s="96">
        <v>2690</v>
      </c>
      <c r="AI325" s="96" t="s">
        <v>914</v>
      </c>
      <c r="AJ325" s="96" t="s">
        <v>915</v>
      </c>
      <c r="AK325" s="27" t="s">
        <v>110</v>
      </c>
    </row>
    <row r="326" spans="1:37">
      <c r="A326" s="70">
        <v>321</v>
      </c>
      <c r="B326" s="70">
        <f t="shared" ref="B326:B389" si="15">C326</f>
        <v>0</v>
      </c>
      <c r="C326" s="71"/>
      <c r="D326" s="59" t="s">
        <v>92</v>
      </c>
      <c r="E326" s="60">
        <v>14268</v>
      </c>
      <c r="F326" s="10" t="s">
        <v>970</v>
      </c>
      <c r="G326" s="60">
        <v>604</v>
      </c>
      <c r="H326" s="81">
        <v>160</v>
      </c>
      <c r="I326" s="86" t="s">
        <v>110</v>
      </c>
      <c r="J326" s="81">
        <v>7</v>
      </c>
      <c r="K326" s="86" t="s">
        <v>110</v>
      </c>
      <c r="L326" s="81">
        <v>194</v>
      </c>
      <c r="M326" s="86" t="s">
        <v>110</v>
      </c>
      <c r="N326" s="81">
        <v>368105</v>
      </c>
      <c r="O326" s="86" t="s">
        <v>110</v>
      </c>
      <c r="P326" s="89">
        <f t="shared" si="13"/>
        <v>194</v>
      </c>
      <c r="Q326" s="89">
        <f t="shared" si="14"/>
        <v>368105</v>
      </c>
      <c r="R326" s="96" t="s">
        <v>94</v>
      </c>
      <c r="S326" s="96" t="s">
        <v>124</v>
      </c>
      <c r="T326" s="96" t="s">
        <v>94</v>
      </c>
      <c r="U326" s="96" t="s">
        <v>136</v>
      </c>
      <c r="V326" s="96" t="s">
        <v>766</v>
      </c>
      <c r="W326" s="96" t="s">
        <v>767</v>
      </c>
      <c r="X326" s="96" t="s">
        <v>98</v>
      </c>
      <c r="Y326" s="96" t="s">
        <v>110</v>
      </c>
      <c r="Z326" s="96" t="s">
        <v>110</v>
      </c>
      <c r="AA326" s="96" t="s">
        <v>971</v>
      </c>
      <c r="AB326" s="96" t="s">
        <v>972</v>
      </c>
      <c r="AC326" s="96" t="s">
        <v>973</v>
      </c>
      <c r="AD326" s="96" t="s">
        <v>974</v>
      </c>
      <c r="AE326" s="96" t="s">
        <v>975</v>
      </c>
      <c r="AF326" s="96" t="s">
        <v>976</v>
      </c>
      <c r="AG326" s="96" t="s">
        <v>977</v>
      </c>
      <c r="AH326" s="96">
        <v>2018</v>
      </c>
      <c r="AI326" s="96" t="s">
        <v>978</v>
      </c>
      <c r="AJ326" s="96" t="s">
        <v>979</v>
      </c>
      <c r="AK326" s="27" t="s">
        <v>110</v>
      </c>
    </row>
    <row r="327" spans="1:37">
      <c r="A327" s="70">
        <v>322</v>
      </c>
      <c r="B327" s="70">
        <f t="shared" si="15"/>
        <v>0</v>
      </c>
      <c r="C327" s="71"/>
      <c r="D327" s="59" t="s">
        <v>92</v>
      </c>
      <c r="E327" s="60">
        <v>14126</v>
      </c>
      <c r="F327" s="10" t="s">
        <v>998</v>
      </c>
      <c r="G327" s="60">
        <v>606</v>
      </c>
      <c r="H327" s="81">
        <v>80</v>
      </c>
      <c r="I327" s="86" t="s">
        <v>110</v>
      </c>
      <c r="J327" s="81">
        <v>6</v>
      </c>
      <c r="K327" s="86" t="s">
        <v>110</v>
      </c>
      <c r="L327" s="81">
        <v>193</v>
      </c>
      <c r="M327" s="86" t="s">
        <v>110</v>
      </c>
      <c r="N327" s="81">
        <v>368796</v>
      </c>
      <c r="O327" s="86" t="s">
        <v>110</v>
      </c>
      <c r="P327" s="89">
        <f t="shared" ref="P327:P390" si="16">IFERROR(AVERAGE(L327:M327),"/")</f>
        <v>193</v>
      </c>
      <c r="Q327" s="89">
        <f t="shared" ref="Q327:Q390" si="17">IFERROR(AVERAGE(N327:O327),"/")</f>
        <v>368796</v>
      </c>
      <c r="R327" s="96" t="s">
        <v>94</v>
      </c>
      <c r="S327" s="96" t="s">
        <v>741</v>
      </c>
      <c r="T327" s="96" t="s">
        <v>94</v>
      </c>
      <c r="U327" s="96" t="s">
        <v>136</v>
      </c>
      <c r="V327" s="96" t="s">
        <v>766</v>
      </c>
      <c r="W327" s="96" t="s">
        <v>767</v>
      </c>
      <c r="X327" s="96" t="s">
        <v>147</v>
      </c>
      <c r="Y327" s="96" t="s">
        <v>110</v>
      </c>
      <c r="Z327" s="96" t="s">
        <v>797</v>
      </c>
      <c r="AA327" s="96" t="s">
        <v>999</v>
      </c>
      <c r="AB327" s="96" t="s">
        <v>110</v>
      </c>
      <c r="AC327" s="96" t="s">
        <v>1000</v>
      </c>
      <c r="AD327" s="96" t="s">
        <v>1001</v>
      </c>
      <c r="AE327" s="96" t="s">
        <v>1002</v>
      </c>
      <c r="AF327" s="96" t="s">
        <v>1003</v>
      </c>
      <c r="AG327" s="96" t="s">
        <v>110</v>
      </c>
      <c r="AH327" s="96">
        <v>1805</v>
      </c>
      <c r="AI327" s="96" t="s">
        <v>1004</v>
      </c>
      <c r="AJ327" s="96" t="s">
        <v>1005</v>
      </c>
      <c r="AK327" s="27" t="s">
        <v>110</v>
      </c>
    </row>
    <row r="328" spans="1:37">
      <c r="A328" s="70">
        <v>323</v>
      </c>
      <c r="B328" s="70">
        <f t="shared" si="15"/>
        <v>0</v>
      </c>
      <c r="C328" s="71"/>
      <c r="D328" s="59" t="s">
        <v>92</v>
      </c>
      <c r="E328" s="60">
        <v>14511</v>
      </c>
      <c r="F328" s="10" t="s">
        <v>990</v>
      </c>
      <c r="G328" s="60">
        <v>604</v>
      </c>
      <c r="H328" s="81">
        <v>80</v>
      </c>
      <c r="I328" s="86" t="s">
        <v>110</v>
      </c>
      <c r="J328" s="81">
        <v>5</v>
      </c>
      <c r="K328" s="86" t="s">
        <v>110</v>
      </c>
      <c r="L328" s="81">
        <v>191</v>
      </c>
      <c r="M328" s="86" t="s">
        <v>110</v>
      </c>
      <c r="N328" s="81">
        <v>371408</v>
      </c>
      <c r="O328" s="86" t="s">
        <v>110</v>
      </c>
      <c r="P328" s="89">
        <f t="shared" si="16"/>
        <v>191</v>
      </c>
      <c r="Q328" s="89">
        <f t="shared" si="17"/>
        <v>371408</v>
      </c>
      <c r="R328" s="96" t="s">
        <v>94</v>
      </c>
      <c r="S328" s="96" t="s">
        <v>499</v>
      </c>
      <c r="T328" s="96" t="s">
        <v>94</v>
      </c>
      <c r="U328" s="96" t="s">
        <v>136</v>
      </c>
      <c r="V328" s="96" t="s">
        <v>766</v>
      </c>
      <c r="W328" s="96" t="s">
        <v>767</v>
      </c>
      <c r="X328" s="96" t="s">
        <v>500</v>
      </c>
      <c r="Y328" s="96" t="s">
        <v>225</v>
      </c>
      <c r="Z328" s="96" t="s">
        <v>797</v>
      </c>
      <c r="AA328" s="96" t="s">
        <v>991</v>
      </c>
      <c r="AB328" s="96" t="s">
        <v>110</v>
      </c>
      <c r="AC328" s="96" t="s">
        <v>992</v>
      </c>
      <c r="AD328" s="96" t="s">
        <v>993</v>
      </c>
      <c r="AE328" s="96" t="s">
        <v>994</v>
      </c>
      <c r="AF328" s="96" t="s">
        <v>995</v>
      </c>
      <c r="AG328" s="96" t="s">
        <v>110</v>
      </c>
      <c r="AH328" s="96">
        <v>2568</v>
      </c>
      <c r="AI328" s="96" t="s">
        <v>996</v>
      </c>
      <c r="AJ328" s="96" t="s">
        <v>997</v>
      </c>
      <c r="AK328" s="27" t="s">
        <v>110</v>
      </c>
    </row>
    <row r="329" spans="1:37">
      <c r="A329" s="70">
        <v>324</v>
      </c>
      <c r="B329" s="70">
        <f t="shared" si="15"/>
        <v>0</v>
      </c>
      <c r="C329" s="71"/>
      <c r="D329" s="59" t="s">
        <v>92</v>
      </c>
      <c r="E329" s="60">
        <v>14126</v>
      </c>
      <c r="F329" s="10" t="s">
        <v>998</v>
      </c>
      <c r="G329" s="60">
        <v>605</v>
      </c>
      <c r="H329" s="81">
        <v>85</v>
      </c>
      <c r="I329" s="86" t="s">
        <v>110</v>
      </c>
      <c r="J329" s="81">
        <v>10</v>
      </c>
      <c r="K329" s="86" t="s">
        <v>110</v>
      </c>
      <c r="L329" s="81">
        <v>191</v>
      </c>
      <c r="M329" s="86" t="s">
        <v>110</v>
      </c>
      <c r="N329" s="81">
        <v>371449</v>
      </c>
      <c r="O329" s="86" t="s">
        <v>110</v>
      </c>
      <c r="P329" s="89">
        <f t="shared" si="16"/>
        <v>191</v>
      </c>
      <c r="Q329" s="89">
        <f t="shared" si="17"/>
        <v>371449</v>
      </c>
      <c r="R329" s="96" t="s">
        <v>94</v>
      </c>
      <c r="S329" s="96" t="s">
        <v>741</v>
      </c>
      <c r="T329" s="96" t="s">
        <v>94</v>
      </c>
      <c r="U329" s="96" t="s">
        <v>136</v>
      </c>
      <c r="V329" s="96" t="s">
        <v>766</v>
      </c>
      <c r="W329" s="96" t="s">
        <v>767</v>
      </c>
      <c r="X329" s="96" t="s">
        <v>147</v>
      </c>
      <c r="Y329" s="96" t="s">
        <v>110</v>
      </c>
      <c r="Z329" s="96" t="s">
        <v>797</v>
      </c>
      <c r="AA329" s="96" t="s">
        <v>999</v>
      </c>
      <c r="AB329" s="96" t="s">
        <v>110</v>
      </c>
      <c r="AC329" s="96" t="s">
        <v>1000</v>
      </c>
      <c r="AD329" s="96" t="s">
        <v>1001</v>
      </c>
      <c r="AE329" s="96" t="s">
        <v>1002</v>
      </c>
      <c r="AF329" s="96" t="s">
        <v>1003</v>
      </c>
      <c r="AG329" s="96" t="s">
        <v>110</v>
      </c>
      <c r="AH329" s="96">
        <v>1805</v>
      </c>
      <c r="AI329" s="96" t="s">
        <v>1004</v>
      </c>
      <c r="AJ329" s="96" t="s">
        <v>1005</v>
      </c>
      <c r="AK329" s="27" t="s">
        <v>110</v>
      </c>
    </row>
    <row r="330" spans="1:37">
      <c r="A330" s="70">
        <v>325</v>
      </c>
      <c r="B330" s="70">
        <f t="shared" si="15"/>
        <v>0</v>
      </c>
      <c r="C330" s="71"/>
      <c r="D330" s="59" t="s">
        <v>92</v>
      </c>
      <c r="E330" s="60">
        <v>14761</v>
      </c>
      <c r="F330" s="10" t="s">
        <v>908</v>
      </c>
      <c r="G330" s="60">
        <v>608</v>
      </c>
      <c r="H330" s="81">
        <v>30</v>
      </c>
      <c r="I330" s="86" t="s">
        <v>110</v>
      </c>
      <c r="J330" s="81">
        <v>11</v>
      </c>
      <c r="K330" s="86" t="s">
        <v>110</v>
      </c>
      <c r="L330" s="81">
        <v>191</v>
      </c>
      <c r="M330" s="86" t="s">
        <v>110</v>
      </c>
      <c r="N330" s="81">
        <v>371476</v>
      </c>
      <c r="O330" s="86" t="s">
        <v>110</v>
      </c>
      <c r="P330" s="89">
        <f t="shared" si="16"/>
        <v>191</v>
      </c>
      <c r="Q330" s="89">
        <f t="shared" si="17"/>
        <v>371476</v>
      </c>
      <c r="R330" s="96" t="s">
        <v>94</v>
      </c>
      <c r="S330" s="96" t="s">
        <v>145</v>
      </c>
      <c r="T330" s="96" t="s">
        <v>94</v>
      </c>
      <c r="U330" s="96" t="s">
        <v>136</v>
      </c>
      <c r="V330" s="96" t="s">
        <v>766</v>
      </c>
      <c r="W330" s="96" t="s">
        <v>767</v>
      </c>
      <c r="X330" s="96" t="s">
        <v>147</v>
      </c>
      <c r="Y330" s="96" t="s">
        <v>382</v>
      </c>
      <c r="Z330" s="96" t="s">
        <v>110</v>
      </c>
      <c r="AA330" s="96" t="s">
        <v>909</v>
      </c>
      <c r="AB330" s="96" t="s">
        <v>110</v>
      </c>
      <c r="AC330" s="96" t="s">
        <v>910</v>
      </c>
      <c r="AD330" s="96" t="s">
        <v>911</v>
      </c>
      <c r="AE330" s="96" t="s">
        <v>912</v>
      </c>
      <c r="AF330" s="96" t="s">
        <v>913</v>
      </c>
      <c r="AG330" s="96" t="s">
        <v>110</v>
      </c>
      <c r="AH330" s="96">
        <v>2690</v>
      </c>
      <c r="AI330" s="96" t="s">
        <v>914</v>
      </c>
      <c r="AJ330" s="96" t="s">
        <v>915</v>
      </c>
      <c r="AK330" s="27" t="s">
        <v>110</v>
      </c>
    </row>
    <row r="331" spans="1:37">
      <c r="A331" s="70">
        <v>326</v>
      </c>
      <c r="B331" s="70">
        <f t="shared" si="15"/>
        <v>0</v>
      </c>
      <c r="C331" s="71"/>
      <c r="D331" s="59" t="s">
        <v>92</v>
      </c>
      <c r="E331" s="60">
        <v>14761</v>
      </c>
      <c r="F331" s="10" t="s">
        <v>908</v>
      </c>
      <c r="G331" s="60">
        <v>604</v>
      </c>
      <c r="H331" s="81">
        <v>90</v>
      </c>
      <c r="I331" s="86" t="s">
        <v>110</v>
      </c>
      <c r="J331" s="81">
        <v>50</v>
      </c>
      <c r="K331" s="86" t="s">
        <v>110</v>
      </c>
      <c r="L331" s="81">
        <v>191</v>
      </c>
      <c r="M331" s="86" t="s">
        <v>110</v>
      </c>
      <c r="N331" s="81">
        <v>371760</v>
      </c>
      <c r="O331" s="86" t="s">
        <v>110</v>
      </c>
      <c r="P331" s="89">
        <f t="shared" si="16"/>
        <v>191</v>
      </c>
      <c r="Q331" s="89">
        <f t="shared" si="17"/>
        <v>371760</v>
      </c>
      <c r="R331" s="96" t="s">
        <v>94</v>
      </c>
      <c r="S331" s="96" t="s">
        <v>145</v>
      </c>
      <c r="T331" s="96" t="s">
        <v>94</v>
      </c>
      <c r="U331" s="96" t="s">
        <v>136</v>
      </c>
      <c r="V331" s="96" t="s">
        <v>766</v>
      </c>
      <c r="W331" s="96" t="s">
        <v>767</v>
      </c>
      <c r="X331" s="96" t="s">
        <v>147</v>
      </c>
      <c r="Y331" s="96" t="s">
        <v>382</v>
      </c>
      <c r="Z331" s="96" t="s">
        <v>110</v>
      </c>
      <c r="AA331" s="96" t="s">
        <v>909</v>
      </c>
      <c r="AB331" s="96" t="s">
        <v>110</v>
      </c>
      <c r="AC331" s="96" t="s">
        <v>910</v>
      </c>
      <c r="AD331" s="96" t="s">
        <v>911</v>
      </c>
      <c r="AE331" s="96" t="s">
        <v>912</v>
      </c>
      <c r="AF331" s="96" t="s">
        <v>913</v>
      </c>
      <c r="AG331" s="96" t="s">
        <v>110</v>
      </c>
      <c r="AH331" s="96">
        <v>2690</v>
      </c>
      <c r="AI331" s="96" t="s">
        <v>914</v>
      </c>
      <c r="AJ331" s="96" t="s">
        <v>915</v>
      </c>
      <c r="AK331" s="27" t="s">
        <v>110</v>
      </c>
    </row>
    <row r="332" spans="1:37">
      <c r="A332" s="70">
        <v>327</v>
      </c>
      <c r="B332" s="70">
        <f t="shared" si="15"/>
        <v>0</v>
      </c>
      <c r="C332" s="71"/>
      <c r="D332" s="59" t="s">
        <v>92</v>
      </c>
      <c r="E332" s="60">
        <v>14363</v>
      </c>
      <c r="F332" s="10" t="s">
        <v>942</v>
      </c>
      <c r="G332" s="60">
        <v>604</v>
      </c>
      <c r="H332" s="81">
        <v>20</v>
      </c>
      <c r="I332" s="86" t="s">
        <v>110</v>
      </c>
      <c r="J332" s="81">
        <v>19</v>
      </c>
      <c r="K332" s="86" t="s">
        <v>110</v>
      </c>
      <c r="L332" s="81">
        <v>191</v>
      </c>
      <c r="M332" s="86" t="s">
        <v>110</v>
      </c>
      <c r="N332" s="81">
        <v>371766</v>
      </c>
      <c r="O332" s="86" t="s">
        <v>110</v>
      </c>
      <c r="P332" s="89">
        <f t="shared" si="16"/>
        <v>191</v>
      </c>
      <c r="Q332" s="89">
        <f t="shared" si="17"/>
        <v>371766</v>
      </c>
      <c r="R332" s="96" t="s">
        <v>94</v>
      </c>
      <c r="S332" s="96" t="s">
        <v>255</v>
      </c>
      <c r="T332" s="96" t="s">
        <v>94</v>
      </c>
      <c r="U332" s="96" t="s">
        <v>136</v>
      </c>
      <c r="V332" s="96" t="s">
        <v>766</v>
      </c>
      <c r="W332" s="96" t="s">
        <v>767</v>
      </c>
      <c r="X332" s="96" t="s">
        <v>169</v>
      </c>
      <c r="Y332" s="96" t="s">
        <v>110</v>
      </c>
      <c r="Z332" s="96" t="s">
        <v>943</v>
      </c>
      <c r="AA332" s="96" t="s">
        <v>944</v>
      </c>
      <c r="AB332" s="96" t="s">
        <v>110</v>
      </c>
      <c r="AC332" s="96" t="s">
        <v>945</v>
      </c>
      <c r="AD332" s="96" t="s">
        <v>946</v>
      </c>
      <c r="AE332" s="96" t="s">
        <v>947</v>
      </c>
      <c r="AF332" s="96" t="s">
        <v>948</v>
      </c>
      <c r="AG332" s="96" t="s">
        <v>110</v>
      </c>
      <c r="AH332" s="96">
        <v>2089</v>
      </c>
      <c r="AI332" s="96" t="s">
        <v>949</v>
      </c>
      <c r="AJ332" s="96" t="s">
        <v>950</v>
      </c>
      <c r="AK332" s="27" t="s">
        <v>110</v>
      </c>
    </row>
    <row r="333" spans="1:37">
      <c r="A333" s="70">
        <v>328</v>
      </c>
      <c r="B333" s="70">
        <f t="shared" si="15"/>
        <v>0</v>
      </c>
      <c r="C333" s="71"/>
      <c r="D333" s="59" t="s">
        <v>92</v>
      </c>
      <c r="E333" s="60">
        <v>13927</v>
      </c>
      <c r="F333" s="10" t="s">
        <v>961</v>
      </c>
      <c r="G333" s="60">
        <v>603</v>
      </c>
      <c r="H333" s="81">
        <v>60</v>
      </c>
      <c r="I333" s="86" t="s">
        <v>110</v>
      </c>
      <c r="J333" s="81">
        <v>6</v>
      </c>
      <c r="K333" s="86" t="s">
        <v>110</v>
      </c>
      <c r="L333" s="81">
        <v>191</v>
      </c>
      <c r="M333" s="86" t="s">
        <v>110</v>
      </c>
      <c r="N333" s="81">
        <v>371788</v>
      </c>
      <c r="O333" s="86" t="s">
        <v>110</v>
      </c>
      <c r="P333" s="89">
        <f t="shared" si="16"/>
        <v>191</v>
      </c>
      <c r="Q333" s="89">
        <f t="shared" si="17"/>
        <v>371788</v>
      </c>
      <c r="R333" s="96" t="s">
        <v>94</v>
      </c>
      <c r="S333" s="96" t="s">
        <v>124</v>
      </c>
      <c r="T333" s="96" t="s">
        <v>94</v>
      </c>
      <c r="U333" s="96" t="s">
        <v>136</v>
      </c>
      <c r="V333" s="96" t="s">
        <v>766</v>
      </c>
      <c r="W333" s="96" t="s">
        <v>767</v>
      </c>
      <c r="X333" s="96" t="s">
        <v>98</v>
      </c>
      <c r="Y333" s="96" t="s">
        <v>110</v>
      </c>
      <c r="Z333" s="96" t="s">
        <v>797</v>
      </c>
      <c r="AA333" s="96" t="s">
        <v>962</v>
      </c>
      <c r="AB333" s="96" t="s">
        <v>963</v>
      </c>
      <c r="AC333" s="96" t="s">
        <v>964</v>
      </c>
      <c r="AD333" s="96" t="s">
        <v>965</v>
      </c>
      <c r="AE333" s="96" t="s">
        <v>966</v>
      </c>
      <c r="AF333" s="96" t="s">
        <v>967</v>
      </c>
      <c r="AG333" s="96" t="s">
        <v>110</v>
      </c>
      <c r="AH333" s="96">
        <v>2468</v>
      </c>
      <c r="AI333" s="96" t="s">
        <v>968</v>
      </c>
      <c r="AJ333" s="96" t="s">
        <v>969</v>
      </c>
      <c r="AK333" s="27" t="s">
        <v>110</v>
      </c>
    </row>
    <row r="334" spans="1:37">
      <c r="A334" s="70">
        <v>329</v>
      </c>
      <c r="B334" s="70">
        <f t="shared" si="15"/>
        <v>0</v>
      </c>
      <c r="C334" s="71"/>
      <c r="D334" s="59" t="s">
        <v>92</v>
      </c>
      <c r="E334" s="60">
        <v>14761</v>
      </c>
      <c r="F334" s="10" t="s">
        <v>908</v>
      </c>
      <c r="G334" s="60">
        <v>602</v>
      </c>
      <c r="H334" s="81">
        <v>280</v>
      </c>
      <c r="I334" s="86" t="s">
        <v>110</v>
      </c>
      <c r="J334" s="81">
        <v>149</v>
      </c>
      <c r="K334" s="86" t="s">
        <v>110</v>
      </c>
      <c r="L334" s="81">
        <v>190</v>
      </c>
      <c r="M334" s="86" t="s">
        <v>110</v>
      </c>
      <c r="N334" s="81">
        <v>372029</v>
      </c>
      <c r="O334" s="86" t="s">
        <v>110</v>
      </c>
      <c r="P334" s="89">
        <f t="shared" si="16"/>
        <v>190</v>
      </c>
      <c r="Q334" s="89">
        <f t="shared" si="17"/>
        <v>372029</v>
      </c>
      <c r="R334" s="96" t="s">
        <v>94</v>
      </c>
      <c r="S334" s="96" t="s">
        <v>145</v>
      </c>
      <c r="T334" s="96" t="s">
        <v>94</v>
      </c>
      <c r="U334" s="96" t="s">
        <v>136</v>
      </c>
      <c r="V334" s="96" t="s">
        <v>766</v>
      </c>
      <c r="W334" s="96" t="s">
        <v>767</v>
      </c>
      <c r="X334" s="96" t="s">
        <v>147</v>
      </c>
      <c r="Y334" s="96" t="s">
        <v>382</v>
      </c>
      <c r="Z334" s="96" t="s">
        <v>110</v>
      </c>
      <c r="AA334" s="96" t="s">
        <v>909</v>
      </c>
      <c r="AB334" s="96" t="s">
        <v>110</v>
      </c>
      <c r="AC334" s="96" t="s">
        <v>910</v>
      </c>
      <c r="AD334" s="96" t="s">
        <v>911</v>
      </c>
      <c r="AE334" s="96" t="s">
        <v>912</v>
      </c>
      <c r="AF334" s="96" t="s">
        <v>913</v>
      </c>
      <c r="AG334" s="96" t="s">
        <v>110</v>
      </c>
      <c r="AH334" s="96">
        <v>2690</v>
      </c>
      <c r="AI334" s="96" t="s">
        <v>914</v>
      </c>
      <c r="AJ334" s="96" t="s">
        <v>915</v>
      </c>
      <c r="AK334" s="27" t="s">
        <v>110</v>
      </c>
    </row>
    <row r="335" spans="1:37">
      <c r="A335" s="70">
        <v>330</v>
      </c>
      <c r="B335" s="70">
        <f t="shared" si="15"/>
        <v>0</v>
      </c>
      <c r="C335" s="71"/>
      <c r="D335" s="59" t="s">
        <v>92</v>
      </c>
      <c r="E335" s="60">
        <v>14363</v>
      </c>
      <c r="F335" s="10" t="s">
        <v>942</v>
      </c>
      <c r="G335" s="60">
        <v>603</v>
      </c>
      <c r="H335" s="81">
        <v>1145</v>
      </c>
      <c r="I335" s="86" t="s">
        <v>110</v>
      </c>
      <c r="J335" s="81">
        <v>311</v>
      </c>
      <c r="K335" s="86" t="s">
        <v>110</v>
      </c>
      <c r="L335" s="81">
        <v>190</v>
      </c>
      <c r="M335" s="86" t="s">
        <v>110</v>
      </c>
      <c r="N335" s="81">
        <v>372672</v>
      </c>
      <c r="O335" s="86" t="s">
        <v>110</v>
      </c>
      <c r="P335" s="89">
        <f t="shared" si="16"/>
        <v>190</v>
      </c>
      <c r="Q335" s="89">
        <f t="shared" si="17"/>
        <v>372672</v>
      </c>
      <c r="R335" s="96" t="s">
        <v>94</v>
      </c>
      <c r="S335" s="96" t="s">
        <v>255</v>
      </c>
      <c r="T335" s="96" t="s">
        <v>94</v>
      </c>
      <c r="U335" s="96" t="s">
        <v>136</v>
      </c>
      <c r="V335" s="96" t="s">
        <v>766</v>
      </c>
      <c r="W335" s="96" t="s">
        <v>767</v>
      </c>
      <c r="X335" s="96" t="s">
        <v>169</v>
      </c>
      <c r="Y335" s="96" t="s">
        <v>110</v>
      </c>
      <c r="Z335" s="96" t="s">
        <v>943</v>
      </c>
      <c r="AA335" s="96" t="s">
        <v>944</v>
      </c>
      <c r="AB335" s="96" t="s">
        <v>110</v>
      </c>
      <c r="AC335" s="96" t="s">
        <v>945</v>
      </c>
      <c r="AD335" s="96" t="s">
        <v>946</v>
      </c>
      <c r="AE335" s="96" t="s">
        <v>947</v>
      </c>
      <c r="AF335" s="96" t="s">
        <v>948</v>
      </c>
      <c r="AG335" s="96" t="s">
        <v>110</v>
      </c>
      <c r="AH335" s="96">
        <v>2089</v>
      </c>
      <c r="AI335" s="96" t="s">
        <v>949</v>
      </c>
      <c r="AJ335" s="96" t="s">
        <v>950</v>
      </c>
      <c r="AK335" s="27" t="s">
        <v>110</v>
      </c>
    </row>
    <row r="336" spans="1:37">
      <c r="A336" s="70">
        <v>331</v>
      </c>
      <c r="B336" s="70">
        <f t="shared" si="15"/>
        <v>0</v>
      </c>
      <c r="C336" s="71"/>
      <c r="D336" s="59" t="s">
        <v>92</v>
      </c>
      <c r="E336" s="60">
        <v>13927</v>
      </c>
      <c r="F336" s="10" t="s">
        <v>961</v>
      </c>
      <c r="G336" s="60">
        <v>602</v>
      </c>
      <c r="H336" s="81">
        <v>1020</v>
      </c>
      <c r="I336" s="86" t="s">
        <v>110</v>
      </c>
      <c r="J336" s="81">
        <v>380</v>
      </c>
      <c r="K336" s="86" t="s">
        <v>110</v>
      </c>
      <c r="L336" s="81">
        <v>190</v>
      </c>
      <c r="M336" s="86" t="s">
        <v>110</v>
      </c>
      <c r="N336" s="81">
        <v>372722</v>
      </c>
      <c r="O336" s="86" t="s">
        <v>110</v>
      </c>
      <c r="P336" s="89">
        <f t="shared" si="16"/>
        <v>190</v>
      </c>
      <c r="Q336" s="89">
        <f t="shared" si="17"/>
        <v>372722</v>
      </c>
      <c r="R336" s="96" t="s">
        <v>94</v>
      </c>
      <c r="S336" s="96" t="s">
        <v>124</v>
      </c>
      <c r="T336" s="96" t="s">
        <v>94</v>
      </c>
      <c r="U336" s="96" t="s">
        <v>136</v>
      </c>
      <c r="V336" s="96" t="s">
        <v>766</v>
      </c>
      <c r="W336" s="96" t="s">
        <v>767</v>
      </c>
      <c r="X336" s="96" t="s">
        <v>98</v>
      </c>
      <c r="Y336" s="96" t="s">
        <v>110</v>
      </c>
      <c r="Z336" s="96" t="s">
        <v>797</v>
      </c>
      <c r="AA336" s="96" t="s">
        <v>962</v>
      </c>
      <c r="AB336" s="96" t="s">
        <v>963</v>
      </c>
      <c r="AC336" s="96" t="s">
        <v>964</v>
      </c>
      <c r="AD336" s="96" t="s">
        <v>965</v>
      </c>
      <c r="AE336" s="96" t="s">
        <v>966</v>
      </c>
      <c r="AF336" s="96" t="s">
        <v>967</v>
      </c>
      <c r="AG336" s="96" t="s">
        <v>110</v>
      </c>
      <c r="AH336" s="96">
        <v>2468</v>
      </c>
      <c r="AI336" s="96" t="s">
        <v>968</v>
      </c>
      <c r="AJ336" s="96" t="s">
        <v>969</v>
      </c>
      <c r="AK336" s="27" t="s">
        <v>110</v>
      </c>
    </row>
    <row r="337" spans="1:37">
      <c r="A337" s="70">
        <v>332</v>
      </c>
      <c r="B337" s="70">
        <f t="shared" si="15"/>
        <v>0</v>
      </c>
      <c r="C337" s="71"/>
      <c r="D337" s="59" t="s">
        <v>92</v>
      </c>
      <c r="E337" s="60">
        <v>14265</v>
      </c>
      <c r="F337" s="10" t="s">
        <v>916</v>
      </c>
      <c r="G337" s="60">
        <v>603</v>
      </c>
      <c r="H337" s="81">
        <v>1050</v>
      </c>
      <c r="I337" s="86" t="s">
        <v>110</v>
      </c>
      <c r="J337" s="81">
        <v>296</v>
      </c>
      <c r="K337" s="86" t="s">
        <v>110</v>
      </c>
      <c r="L337" s="81">
        <v>190</v>
      </c>
      <c r="M337" s="86" t="s">
        <v>110</v>
      </c>
      <c r="N337" s="81">
        <v>372737</v>
      </c>
      <c r="O337" s="86" t="s">
        <v>110</v>
      </c>
      <c r="P337" s="89">
        <f t="shared" si="16"/>
        <v>190</v>
      </c>
      <c r="Q337" s="89">
        <f t="shared" si="17"/>
        <v>372737</v>
      </c>
      <c r="R337" s="96" t="s">
        <v>94</v>
      </c>
      <c r="S337" s="96" t="s">
        <v>237</v>
      </c>
      <c r="T337" s="96" t="s">
        <v>94</v>
      </c>
      <c r="U337" s="96" t="s">
        <v>136</v>
      </c>
      <c r="V337" s="96" t="s">
        <v>766</v>
      </c>
      <c r="W337" s="96" t="s">
        <v>767</v>
      </c>
      <c r="X337" s="96" t="s">
        <v>147</v>
      </c>
      <c r="Y337" s="96" t="s">
        <v>110</v>
      </c>
      <c r="Z337" s="96" t="s">
        <v>797</v>
      </c>
      <c r="AA337" s="96" t="s">
        <v>917</v>
      </c>
      <c r="AB337" s="96" t="s">
        <v>110</v>
      </c>
      <c r="AC337" s="96" t="s">
        <v>918</v>
      </c>
      <c r="AD337" s="96" t="s">
        <v>919</v>
      </c>
      <c r="AE337" s="96" t="s">
        <v>920</v>
      </c>
      <c r="AF337" s="96" t="s">
        <v>921</v>
      </c>
      <c r="AG337" s="96" t="s">
        <v>110</v>
      </c>
      <c r="AH337" s="96">
        <v>2448</v>
      </c>
      <c r="AI337" s="96" t="s">
        <v>922</v>
      </c>
      <c r="AJ337" s="96" t="s">
        <v>923</v>
      </c>
      <c r="AK337" s="27" t="s">
        <v>110</v>
      </c>
    </row>
    <row r="338" spans="1:37">
      <c r="A338" s="70">
        <v>333</v>
      </c>
      <c r="B338" s="70">
        <f t="shared" si="15"/>
        <v>0</v>
      </c>
      <c r="C338" s="71"/>
      <c r="D338" s="59" t="s">
        <v>92</v>
      </c>
      <c r="E338" s="60">
        <v>14123</v>
      </c>
      <c r="F338" s="10" t="s">
        <v>881</v>
      </c>
      <c r="G338" s="60">
        <v>604</v>
      </c>
      <c r="H338" s="81">
        <v>24</v>
      </c>
      <c r="I338" s="86" t="s">
        <v>110</v>
      </c>
      <c r="J338" s="81">
        <v>10</v>
      </c>
      <c r="K338" s="86" t="s">
        <v>110</v>
      </c>
      <c r="L338" s="81">
        <v>190</v>
      </c>
      <c r="M338" s="86" t="s">
        <v>110</v>
      </c>
      <c r="N338" s="81">
        <v>372743</v>
      </c>
      <c r="O338" s="86" t="s">
        <v>110</v>
      </c>
      <c r="P338" s="89">
        <f t="shared" si="16"/>
        <v>190</v>
      </c>
      <c r="Q338" s="89">
        <f t="shared" si="17"/>
        <v>372743</v>
      </c>
      <c r="R338" s="96" t="s">
        <v>94</v>
      </c>
      <c r="S338" s="96" t="s">
        <v>124</v>
      </c>
      <c r="T338" s="96" t="s">
        <v>94</v>
      </c>
      <c r="U338" s="96" t="s">
        <v>136</v>
      </c>
      <c r="V338" s="96" t="s">
        <v>766</v>
      </c>
      <c r="W338" s="96" t="s">
        <v>767</v>
      </c>
      <c r="X338" s="96" t="s">
        <v>98</v>
      </c>
      <c r="Y338" s="96" t="s">
        <v>110</v>
      </c>
      <c r="Z338" s="96" t="s">
        <v>797</v>
      </c>
      <c r="AA338" s="96" t="s">
        <v>882</v>
      </c>
      <c r="AB338" s="96" t="s">
        <v>883</v>
      </c>
      <c r="AC338" s="96" t="s">
        <v>884</v>
      </c>
      <c r="AD338" s="96" t="s">
        <v>885</v>
      </c>
      <c r="AE338" s="96" t="s">
        <v>886</v>
      </c>
      <c r="AF338" s="96" t="s">
        <v>887</v>
      </c>
      <c r="AG338" s="96" t="s">
        <v>110</v>
      </c>
      <c r="AH338" s="96">
        <v>2540</v>
      </c>
      <c r="AI338" s="96" t="s">
        <v>888</v>
      </c>
      <c r="AJ338" s="96" t="s">
        <v>889</v>
      </c>
      <c r="AK338" s="27" t="s">
        <v>110</v>
      </c>
    </row>
    <row r="339" spans="1:37">
      <c r="A339" s="70">
        <v>334</v>
      </c>
      <c r="B339" s="70">
        <f t="shared" si="15"/>
        <v>0</v>
      </c>
      <c r="C339" s="71"/>
      <c r="D339" s="59" t="s">
        <v>92</v>
      </c>
      <c r="E339" s="60">
        <v>14266</v>
      </c>
      <c r="F339" s="10" t="s">
        <v>890</v>
      </c>
      <c r="G339" s="60">
        <v>604</v>
      </c>
      <c r="H339" s="81">
        <v>4354</v>
      </c>
      <c r="I339" s="86" t="s">
        <v>110</v>
      </c>
      <c r="J339" s="81">
        <v>793</v>
      </c>
      <c r="K339" s="86" t="s">
        <v>110</v>
      </c>
      <c r="L339" s="81">
        <v>190</v>
      </c>
      <c r="M339" s="86" t="s">
        <v>110</v>
      </c>
      <c r="N339" s="81">
        <v>372999</v>
      </c>
      <c r="O339" s="86" t="s">
        <v>110</v>
      </c>
      <c r="P339" s="89">
        <f t="shared" si="16"/>
        <v>190</v>
      </c>
      <c r="Q339" s="89">
        <f t="shared" si="17"/>
        <v>372999</v>
      </c>
      <c r="R339" s="96" t="s">
        <v>94</v>
      </c>
      <c r="S339" s="96" t="s">
        <v>124</v>
      </c>
      <c r="T339" s="96" t="s">
        <v>94</v>
      </c>
      <c r="U339" s="96" t="s">
        <v>136</v>
      </c>
      <c r="V339" s="96" t="s">
        <v>766</v>
      </c>
      <c r="W339" s="96" t="s">
        <v>767</v>
      </c>
      <c r="X339" s="96" t="s">
        <v>98</v>
      </c>
      <c r="Y339" s="96" t="s">
        <v>110</v>
      </c>
      <c r="Z339" s="96" t="s">
        <v>110</v>
      </c>
      <c r="AA339" s="96" t="s">
        <v>891</v>
      </c>
      <c r="AB339" s="96" t="s">
        <v>892</v>
      </c>
      <c r="AC339" s="96" t="s">
        <v>893</v>
      </c>
      <c r="AD339" s="96" t="s">
        <v>894</v>
      </c>
      <c r="AE339" s="96" t="s">
        <v>895</v>
      </c>
      <c r="AF339" s="96" t="s">
        <v>896</v>
      </c>
      <c r="AG339" s="96" t="s">
        <v>110</v>
      </c>
      <c r="AH339" s="96">
        <v>2458</v>
      </c>
      <c r="AI339" s="96" t="s">
        <v>897</v>
      </c>
      <c r="AJ339" s="96" t="s">
        <v>898</v>
      </c>
      <c r="AK339" s="27" t="s">
        <v>110</v>
      </c>
    </row>
    <row r="340" spans="1:37">
      <c r="A340" s="70">
        <v>335</v>
      </c>
      <c r="B340" s="70">
        <f t="shared" si="15"/>
        <v>0</v>
      </c>
      <c r="C340" s="71"/>
      <c r="D340" s="59" t="s">
        <v>92</v>
      </c>
      <c r="E340" s="60">
        <v>14362</v>
      </c>
      <c r="F340" s="10" t="s">
        <v>1006</v>
      </c>
      <c r="G340" s="60">
        <v>604</v>
      </c>
      <c r="H340" s="81">
        <v>1140</v>
      </c>
      <c r="I340" s="86" t="s">
        <v>110</v>
      </c>
      <c r="J340" s="81">
        <v>177</v>
      </c>
      <c r="K340" s="86" t="s">
        <v>110</v>
      </c>
      <c r="L340" s="81">
        <v>190</v>
      </c>
      <c r="M340" s="86" t="s">
        <v>110</v>
      </c>
      <c r="N340" s="81">
        <v>373005</v>
      </c>
      <c r="O340" s="86" t="s">
        <v>110</v>
      </c>
      <c r="P340" s="89">
        <f t="shared" si="16"/>
        <v>190</v>
      </c>
      <c r="Q340" s="89">
        <f t="shared" si="17"/>
        <v>373005</v>
      </c>
      <c r="R340" s="96" t="s">
        <v>94</v>
      </c>
      <c r="S340" s="96" t="s">
        <v>124</v>
      </c>
      <c r="T340" s="96" t="s">
        <v>94</v>
      </c>
      <c r="U340" s="96" t="s">
        <v>136</v>
      </c>
      <c r="V340" s="96" t="s">
        <v>766</v>
      </c>
      <c r="W340" s="96" t="s">
        <v>767</v>
      </c>
      <c r="X340" s="96" t="s">
        <v>98</v>
      </c>
      <c r="Y340" s="96" t="s">
        <v>110</v>
      </c>
      <c r="Z340" s="96" t="s">
        <v>797</v>
      </c>
      <c r="AA340" s="96" t="s">
        <v>1007</v>
      </c>
      <c r="AB340" s="96" t="s">
        <v>110</v>
      </c>
      <c r="AC340" s="96" t="s">
        <v>1008</v>
      </c>
      <c r="AD340" s="96" t="s">
        <v>1009</v>
      </c>
      <c r="AE340" s="96" t="s">
        <v>1010</v>
      </c>
      <c r="AF340" s="96" t="s">
        <v>1011</v>
      </c>
      <c r="AG340" s="96" t="s">
        <v>1012</v>
      </c>
      <c r="AH340" s="96">
        <v>2379</v>
      </c>
      <c r="AI340" s="96" t="s">
        <v>1013</v>
      </c>
      <c r="AJ340" s="96" t="s">
        <v>1014</v>
      </c>
      <c r="AK340" s="27" t="s">
        <v>110</v>
      </c>
    </row>
    <row r="341" spans="1:37">
      <c r="A341" s="70">
        <v>336</v>
      </c>
      <c r="B341" s="70">
        <f t="shared" si="15"/>
        <v>0</v>
      </c>
      <c r="C341" s="71"/>
      <c r="D341" s="59" t="s">
        <v>92</v>
      </c>
      <c r="E341" s="60">
        <v>14362</v>
      </c>
      <c r="F341" s="10" t="s">
        <v>1006</v>
      </c>
      <c r="G341" s="60">
        <v>603</v>
      </c>
      <c r="H341" s="81">
        <v>1910</v>
      </c>
      <c r="I341" s="86" t="s">
        <v>110</v>
      </c>
      <c r="J341" s="81">
        <v>504</v>
      </c>
      <c r="K341" s="86" t="s">
        <v>110</v>
      </c>
      <c r="L341" s="81">
        <v>190</v>
      </c>
      <c r="M341" s="86" t="s">
        <v>110</v>
      </c>
      <c r="N341" s="81">
        <v>373013</v>
      </c>
      <c r="O341" s="86" t="s">
        <v>110</v>
      </c>
      <c r="P341" s="89">
        <f t="shared" si="16"/>
        <v>190</v>
      </c>
      <c r="Q341" s="89">
        <f t="shared" si="17"/>
        <v>373013</v>
      </c>
      <c r="R341" s="96" t="s">
        <v>94</v>
      </c>
      <c r="S341" s="96" t="s">
        <v>124</v>
      </c>
      <c r="T341" s="96" t="s">
        <v>94</v>
      </c>
      <c r="U341" s="96" t="s">
        <v>136</v>
      </c>
      <c r="V341" s="96" t="s">
        <v>766</v>
      </c>
      <c r="W341" s="96" t="s">
        <v>767</v>
      </c>
      <c r="X341" s="96" t="s">
        <v>98</v>
      </c>
      <c r="Y341" s="96" t="s">
        <v>110</v>
      </c>
      <c r="Z341" s="96" t="s">
        <v>797</v>
      </c>
      <c r="AA341" s="96" t="s">
        <v>1007</v>
      </c>
      <c r="AB341" s="96" t="s">
        <v>110</v>
      </c>
      <c r="AC341" s="96" t="s">
        <v>1008</v>
      </c>
      <c r="AD341" s="96" t="s">
        <v>1009</v>
      </c>
      <c r="AE341" s="96" t="s">
        <v>1010</v>
      </c>
      <c r="AF341" s="96" t="s">
        <v>1011</v>
      </c>
      <c r="AG341" s="96" t="s">
        <v>1012</v>
      </c>
      <c r="AH341" s="96">
        <v>2379</v>
      </c>
      <c r="AI341" s="96" t="s">
        <v>1013</v>
      </c>
      <c r="AJ341" s="96" t="s">
        <v>1014</v>
      </c>
      <c r="AK341" s="27" t="s">
        <v>110</v>
      </c>
    </row>
    <row r="342" spans="1:37">
      <c r="A342" s="70">
        <v>337</v>
      </c>
      <c r="B342" s="70">
        <f t="shared" si="15"/>
        <v>0</v>
      </c>
      <c r="C342" s="71"/>
      <c r="D342" s="59" t="s">
        <v>92</v>
      </c>
      <c r="E342" s="60">
        <v>14362</v>
      </c>
      <c r="F342" s="10" t="s">
        <v>1006</v>
      </c>
      <c r="G342" s="60">
        <v>605</v>
      </c>
      <c r="H342" s="81">
        <v>160</v>
      </c>
      <c r="I342" s="86" t="s">
        <v>110</v>
      </c>
      <c r="J342" s="81">
        <v>157</v>
      </c>
      <c r="K342" s="86" t="s">
        <v>110</v>
      </c>
      <c r="L342" s="81">
        <v>190</v>
      </c>
      <c r="M342" s="86" t="s">
        <v>110</v>
      </c>
      <c r="N342" s="81">
        <v>373019</v>
      </c>
      <c r="O342" s="86" t="s">
        <v>110</v>
      </c>
      <c r="P342" s="89">
        <f t="shared" si="16"/>
        <v>190</v>
      </c>
      <c r="Q342" s="89">
        <f t="shared" si="17"/>
        <v>373019</v>
      </c>
      <c r="R342" s="96" t="s">
        <v>94</v>
      </c>
      <c r="S342" s="96" t="s">
        <v>124</v>
      </c>
      <c r="T342" s="96" t="s">
        <v>94</v>
      </c>
      <c r="U342" s="96" t="s">
        <v>136</v>
      </c>
      <c r="V342" s="96" t="s">
        <v>766</v>
      </c>
      <c r="W342" s="96" t="s">
        <v>767</v>
      </c>
      <c r="X342" s="96" t="s">
        <v>98</v>
      </c>
      <c r="Y342" s="96" t="s">
        <v>110</v>
      </c>
      <c r="Z342" s="96" t="s">
        <v>797</v>
      </c>
      <c r="AA342" s="96" t="s">
        <v>1007</v>
      </c>
      <c r="AB342" s="96" t="s">
        <v>110</v>
      </c>
      <c r="AC342" s="96" t="s">
        <v>1008</v>
      </c>
      <c r="AD342" s="96" t="s">
        <v>1009</v>
      </c>
      <c r="AE342" s="96" t="s">
        <v>1010</v>
      </c>
      <c r="AF342" s="96" t="s">
        <v>1011</v>
      </c>
      <c r="AG342" s="96" t="s">
        <v>1012</v>
      </c>
      <c r="AH342" s="96">
        <v>2379</v>
      </c>
      <c r="AI342" s="96" t="s">
        <v>1013</v>
      </c>
      <c r="AJ342" s="96" t="s">
        <v>1014</v>
      </c>
      <c r="AK342" s="27" t="s">
        <v>110</v>
      </c>
    </row>
    <row r="343" spans="1:37">
      <c r="A343" s="70">
        <v>338</v>
      </c>
      <c r="B343" s="70">
        <f t="shared" si="15"/>
        <v>0</v>
      </c>
      <c r="C343" s="71"/>
      <c r="D343" s="59" t="s">
        <v>92</v>
      </c>
      <c r="E343" s="60">
        <v>13716</v>
      </c>
      <c r="F343" s="10" t="s">
        <v>980</v>
      </c>
      <c r="G343" s="60">
        <v>606</v>
      </c>
      <c r="H343" s="81">
        <v>610</v>
      </c>
      <c r="I343" s="86" t="s">
        <v>110</v>
      </c>
      <c r="J343" s="81">
        <v>451</v>
      </c>
      <c r="K343" s="86" t="s">
        <v>110</v>
      </c>
      <c r="L343" s="81">
        <v>190</v>
      </c>
      <c r="M343" s="86" t="s">
        <v>110</v>
      </c>
      <c r="N343" s="81">
        <v>373061</v>
      </c>
      <c r="O343" s="86" t="s">
        <v>110</v>
      </c>
      <c r="P343" s="89">
        <f t="shared" si="16"/>
        <v>190</v>
      </c>
      <c r="Q343" s="89">
        <f t="shared" si="17"/>
        <v>373061</v>
      </c>
      <c r="R343" s="96" t="s">
        <v>94</v>
      </c>
      <c r="S343" s="96" t="s">
        <v>124</v>
      </c>
      <c r="T343" s="96" t="s">
        <v>94</v>
      </c>
      <c r="U343" s="96" t="s">
        <v>136</v>
      </c>
      <c r="V343" s="96" t="s">
        <v>766</v>
      </c>
      <c r="W343" s="96" t="s">
        <v>767</v>
      </c>
      <c r="X343" s="96" t="s">
        <v>98</v>
      </c>
      <c r="Y343" s="96" t="s">
        <v>382</v>
      </c>
      <c r="Z343" s="96" t="s">
        <v>110</v>
      </c>
      <c r="AA343" s="96" t="s">
        <v>981</v>
      </c>
      <c r="AB343" s="96" t="s">
        <v>982</v>
      </c>
      <c r="AC343" s="96" t="s">
        <v>983</v>
      </c>
      <c r="AD343" s="96" t="s">
        <v>984</v>
      </c>
      <c r="AE343" s="96" t="s">
        <v>985</v>
      </c>
      <c r="AF343" s="96" t="s">
        <v>986</v>
      </c>
      <c r="AG343" s="96" t="s">
        <v>987</v>
      </c>
      <c r="AH343" s="96">
        <v>2075</v>
      </c>
      <c r="AI343" s="96" t="s">
        <v>988</v>
      </c>
      <c r="AJ343" s="96" t="s">
        <v>989</v>
      </c>
      <c r="AK343" s="27" t="s">
        <v>110</v>
      </c>
    </row>
    <row r="344" spans="1:37">
      <c r="A344" s="70">
        <v>339</v>
      </c>
      <c r="B344" s="70">
        <f t="shared" si="15"/>
        <v>0</v>
      </c>
      <c r="C344" s="71"/>
      <c r="D344" s="59" t="s">
        <v>92</v>
      </c>
      <c r="E344" s="60">
        <v>14572</v>
      </c>
      <c r="F344" s="10" t="s">
        <v>1015</v>
      </c>
      <c r="G344" s="60">
        <v>601</v>
      </c>
      <c r="H344" s="81">
        <v>3008</v>
      </c>
      <c r="I344" s="86" t="s">
        <v>110</v>
      </c>
      <c r="J344" s="81">
        <v>858</v>
      </c>
      <c r="K344" s="86" t="s">
        <v>110</v>
      </c>
      <c r="L344" s="81">
        <v>190</v>
      </c>
      <c r="M344" s="86" t="s">
        <v>110</v>
      </c>
      <c r="N344" s="81">
        <v>373094</v>
      </c>
      <c r="O344" s="86" t="s">
        <v>110</v>
      </c>
      <c r="P344" s="89">
        <f t="shared" si="16"/>
        <v>190</v>
      </c>
      <c r="Q344" s="89">
        <f t="shared" si="17"/>
        <v>373094</v>
      </c>
      <c r="R344" s="96" t="s">
        <v>94</v>
      </c>
      <c r="S344" s="96" t="s">
        <v>255</v>
      </c>
      <c r="T344" s="96" t="s">
        <v>94</v>
      </c>
      <c r="U344" s="96" t="s">
        <v>136</v>
      </c>
      <c r="V344" s="96" t="s">
        <v>766</v>
      </c>
      <c r="W344" s="96" t="s">
        <v>767</v>
      </c>
      <c r="X344" s="96" t="s">
        <v>169</v>
      </c>
      <c r="Y344" s="96" t="s">
        <v>110</v>
      </c>
      <c r="Z344" s="96" t="s">
        <v>110</v>
      </c>
      <c r="AA344" s="96" t="s">
        <v>1016</v>
      </c>
      <c r="AB344" s="96" t="s">
        <v>110</v>
      </c>
      <c r="AC344" s="96" t="s">
        <v>1017</v>
      </c>
      <c r="AD344" s="96" t="s">
        <v>1018</v>
      </c>
      <c r="AE344" s="96" t="s">
        <v>1019</v>
      </c>
      <c r="AF344" s="96" t="s">
        <v>1020</v>
      </c>
      <c r="AG344" s="96" t="s">
        <v>110</v>
      </c>
      <c r="AH344" s="96">
        <v>2634</v>
      </c>
      <c r="AI344" s="96" t="s">
        <v>1021</v>
      </c>
      <c r="AJ344" s="96" t="s">
        <v>1022</v>
      </c>
      <c r="AK344" s="27" t="s">
        <v>110</v>
      </c>
    </row>
    <row r="345" spans="1:37">
      <c r="A345" s="70">
        <v>340</v>
      </c>
      <c r="B345" s="70">
        <f t="shared" si="15"/>
        <v>0</v>
      </c>
      <c r="C345" s="71"/>
      <c r="D345" s="59" t="s">
        <v>92</v>
      </c>
      <c r="E345" s="60">
        <v>14126</v>
      </c>
      <c r="F345" s="10" t="s">
        <v>998</v>
      </c>
      <c r="G345" s="60">
        <v>607</v>
      </c>
      <c r="H345" s="81">
        <v>60</v>
      </c>
      <c r="I345" s="86" t="s">
        <v>110</v>
      </c>
      <c r="J345" s="81">
        <v>0</v>
      </c>
      <c r="K345" s="86" t="s">
        <v>110</v>
      </c>
      <c r="L345" s="81" t="s">
        <v>1023</v>
      </c>
      <c r="M345" s="86" t="s">
        <v>110</v>
      </c>
      <c r="N345" s="81" t="s">
        <v>1023</v>
      </c>
      <c r="O345" s="86" t="s">
        <v>110</v>
      </c>
      <c r="P345" s="89" t="str">
        <f t="shared" si="16"/>
        <v>/</v>
      </c>
      <c r="Q345" s="89" t="str">
        <f t="shared" si="17"/>
        <v>/</v>
      </c>
      <c r="R345" s="96" t="s">
        <v>94</v>
      </c>
      <c r="S345" s="96" t="s">
        <v>741</v>
      </c>
      <c r="T345" s="96" t="s">
        <v>94</v>
      </c>
      <c r="U345" s="96" t="s">
        <v>136</v>
      </c>
      <c r="V345" s="96" t="s">
        <v>766</v>
      </c>
      <c r="W345" s="96" t="s">
        <v>767</v>
      </c>
      <c r="X345" s="96" t="s">
        <v>147</v>
      </c>
      <c r="Y345" s="96" t="s">
        <v>110</v>
      </c>
      <c r="Z345" s="96" t="s">
        <v>797</v>
      </c>
      <c r="AA345" s="96" t="s">
        <v>999</v>
      </c>
      <c r="AB345" s="96" t="s">
        <v>110</v>
      </c>
      <c r="AC345" s="96" t="s">
        <v>1000</v>
      </c>
      <c r="AD345" s="96" t="s">
        <v>1001</v>
      </c>
      <c r="AE345" s="96" t="s">
        <v>1002</v>
      </c>
      <c r="AF345" s="96" t="s">
        <v>1003</v>
      </c>
      <c r="AG345" s="96" t="s">
        <v>110</v>
      </c>
      <c r="AH345" s="96">
        <v>1805</v>
      </c>
      <c r="AI345" s="96" t="s">
        <v>1004</v>
      </c>
      <c r="AJ345" s="96" t="s">
        <v>1005</v>
      </c>
      <c r="AK345" s="27" t="s">
        <v>110</v>
      </c>
    </row>
    <row r="346" spans="1:37">
      <c r="A346" s="70">
        <v>341</v>
      </c>
      <c r="B346" s="70">
        <f t="shared" si="15"/>
        <v>0</v>
      </c>
      <c r="C346" s="71"/>
      <c r="D346" s="59" t="s">
        <v>1024</v>
      </c>
      <c r="E346" s="60">
        <v>11113</v>
      </c>
      <c r="F346" s="10" t="s">
        <v>93</v>
      </c>
      <c r="G346" s="60">
        <v>801</v>
      </c>
      <c r="H346" s="81">
        <v>337</v>
      </c>
      <c r="I346" s="86">
        <v>353</v>
      </c>
      <c r="J346" s="81">
        <v>337</v>
      </c>
      <c r="K346" s="86">
        <v>353</v>
      </c>
      <c r="L346" s="81">
        <v>384</v>
      </c>
      <c r="M346" s="86">
        <v>384</v>
      </c>
      <c r="N346" s="81">
        <v>555</v>
      </c>
      <c r="O346" s="86">
        <v>649</v>
      </c>
      <c r="P346" s="89">
        <f t="shared" si="16"/>
        <v>384</v>
      </c>
      <c r="Q346" s="89">
        <f t="shared" si="17"/>
        <v>602</v>
      </c>
      <c r="R346" s="96" t="s">
        <v>94</v>
      </c>
      <c r="S346" s="96" t="s">
        <v>95</v>
      </c>
      <c r="T346" s="96" t="s">
        <v>94</v>
      </c>
      <c r="U346" s="96" t="s">
        <v>96</v>
      </c>
      <c r="V346" s="96" t="s">
        <v>94</v>
      </c>
      <c r="W346" s="96" t="s">
        <v>97</v>
      </c>
      <c r="X346" s="96" t="s">
        <v>98</v>
      </c>
      <c r="Y346" s="96" t="s">
        <v>99</v>
      </c>
      <c r="Z346" s="96" t="s">
        <v>100</v>
      </c>
      <c r="AA346" s="96" t="s">
        <v>101</v>
      </c>
      <c r="AB346" s="96" t="s">
        <v>102</v>
      </c>
      <c r="AC346" s="96" t="s">
        <v>103</v>
      </c>
      <c r="AD346" s="96" t="s">
        <v>104</v>
      </c>
      <c r="AE346" s="96" t="s">
        <v>105</v>
      </c>
      <c r="AF346" s="96" t="s">
        <v>106</v>
      </c>
      <c r="AG346" s="96" t="s">
        <v>107</v>
      </c>
      <c r="AH346" s="96">
        <v>158</v>
      </c>
      <c r="AI346" s="96" t="s">
        <v>108</v>
      </c>
      <c r="AJ346" s="96" t="s">
        <v>109</v>
      </c>
      <c r="AK346" s="27" t="s">
        <v>110</v>
      </c>
    </row>
    <row r="347" spans="1:37">
      <c r="A347" s="70">
        <v>342</v>
      </c>
      <c r="B347" s="70">
        <f t="shared" si="15"/>
        <v>0</v>
      </c>
      <c r="C347" s="71"/>
      <c r="D347" s="59" t="s">
        <v>1024</v>
      </c>
      <c r="E347" s="60">
        <v>11113</v>
      </c>
      <c r="F347" s="10" t="s">
        <v>93</v>
      </c>
      <c r="G347" s="60">
        <v>802</v>
      </c>
      <c r="H347" s="81">
        <v>393</v>
      </c>
      <c r="I347" s="86">
        <v>414</v>
      </c>
      <c r="J347" s="81">
        <v>393</v>
      </c>
      <c r="K347" s="86">
        <v>414</v>
      </c>
      <c r="L347" s="81">
        <v>368</v>
      </c>
      <c r="M347" s="86">
        <v>365</v>
      </c>
      <c r="N347" s="81">
        <v>1916</v>
      </c>
      <c r="O347" s="86">
        <v>2234</v>
      </c>
      <c r="P347" s="89">
        <f t="shared" si="16"/>
        <v>366.5</v>
      </c>
      <c r="Q347" s="89">
        <f t="shared" si="17"/>
        <v>2075</v>
      </c>
      <c r="R347" s="96" t="s">
        <v>94</v>
      </c>
      <c r="S347" s="96" t="s">
        <v>95</v>
      </c>
      <c r="T347" s="96" t="s">
        <v>94</v>
      </c>
      <c r="U347" s="96" t="s">
        <v>96</v>
      </c>
      <c r="V347" s="96" t="s">
        <v>94</v>
      </c>
      <c r="W347" s="96" t="s">
        <v>97</v>
      </c>
      <c r="X347" s="96" t="s">
        <v>98</v>
      </c>
      <c r="Y347" s="96" t="s">
        <v>99</v>
      </c>
      <c r="Z347" s="96" t="s">
        <v>100</v>
      </c>
      <c r="AA347" s="96" t="s">
        <v>101</v>
      </c>
      <c r="AB347" s="96" t="s">
        <v>102</v>
      </c>
      <c r="AC347" s="96" t="s">
        <v>103</v>
      </c>
      <c r="AD347" s="96" t="s">
        <v>104</v>
      </c>
      <c r="AE347" s="96" t="s">
        <v>105</v>
      </c>
      <c r="AF347" s="96" t="s">
        <v>106</v>
      </c>
      <c r="AG347" s="96" t="s">
        <v>107</v>
      </c>
      <c r="AH347" s="96">
        <v>158</v>
      </c>
      <c r="AI347" s="96" t="s">
        <v>108</v>
      </c>
      <c r="AJ347" s="96" t="s">
        <v>109</v>
      </c>
      <c r="AK347" s="27" t="s">
        <v>110</v>
      </c>
    </row>
    <row r="348" spans="1:37">
      <c r="A348" s="70">
        <v>343</v>
      </c>
      <c r="B348" s="70">
        <f t="shared" si="15"/>
        <v>0</v>
      </c>
      <c r="C348" s="71"/>
      <c r="D348" s="59" t="s">
        <v>1024</v>
      </c>
      <c r="E348" s="60">
        <v>12957</v>
      </c>
      <c r="F348" s="10" t="s">
        <v>111</v>
      </c>
      <c r="G348" s="60">
        <v>802</v>
      </c>
      <c r="H348" s="81">
        <v>125</v>
      </c>
      <c r="I348" s="86">
        <v>119</v>
      </c>
      <c r="J348" s="81">
        <v>125</v>
      </c>
      <c r="K348" s="86">
        <v>119</v>
      </c>
      <c r="L348" s="81">
        <v>365</v>
      </c>
      <c r="M348" s="86">
        <v>366</v>
      </c>
      <c r="N348" s="81">
        <v>2298</v>
      </c>
      <c r="O348" s="86">
        <v>2227</v>
      </c>
      <c r="P348" s="89">
        <f t="shared" si="16"/>
        <v>365.5</v>
      </c>
      <c r="Q348" s="89">
        <f t="shared" si="17"/>
        <v>2262.5</v>
      </c>
      <c r="R348" s="96" t="s">
        <v>94</v>
      </c>
      <c r="S348" s="96" t="s">
        <v>95</v>
      </c>
      <c r="T348" s="96" t="s">
        <v>94</v>
      </c>
      <c r="U348" s="96" t="s">
        <v>96</v>
      </c>
      <c r="V348" s="96" t="s">
        <v>94</v>
      </c>
      <c r="W348" s="96" t="s">
        <v>97</v>
      </c>
      <c r="X348" s="96" t="s">
        <v>98</v>
      </c>
      <c r="Y348" s="96" t="s">
        <v>112</v>
      </c>
      <c r="Z348" s="96" t="s">
        <v>113</v>
      </c>
      <c r="AA348" s="96" t="s">
        <v>114</v>
      </c>
      <c r="AB348" s="96" t="s">
        <v>115</v>
      </c>
      <c r="AC348" s="96" t="s">
        <v>116</v>
      </c>
      <c r="AD348" s="96" t="s">
        <v>117</v>
      </c>
      <c r="AE348" s="96" t="s">
        <v>118</v>
      </c>
      <c r="AF348" s="96" t="s">
        <v>119</v>
      </c>
      <c r="AG348" s="96" t="s">
        <v>120</v>
      </c>
      <c r="AH348" s="96">
        <v>184</v>
      </c>
      <c r="AI348" s="96" t="s">
        <v>121</v>
      </c>
      <c r="AJ348" s="96" t="s">
        <v>122</v>
      </c>
      <c r="AK348" s="27" t="s">
        <v>110</v>
      </c>
    </row>
    <row r="349" spans="1:37">
      <c r="A349" s="70">
        <v>344</v>
      </c>
      <c r="B349" s="70">
        <f t="shared" si="15"/>
        <v>0</v>
      </c>
      <c r="C349" s="71"/>
      <c r="D349" s="59" t="s">
        <v>1024</v>
      </c>
      <c r="E349" s="60">
        <v>11113</v>
      </c>
      <c r="F349" s="10" t="s">
        <v>93</v>
      </c>
      <c r="G349" s="60">
        <v>804</v>
      </c>
      <c r="H349" s="81">
        <v>272</v>
      </c>
      <c r="I349" s="86">
        <v>283</v>
      </c>
      <c r="J349" s="81">
        <v>272</v>
      </c>
      <c r="K349" s="86">
        <v>283</v>
      </c>
      <c r="L349" s="81">
        <v>361</v>
      </c>
      <c r="M349" s="86">
        <v>370</v>
      </c>
      <c r="N349" s="81">
        <v>2919</v>
      </c>
      <c r="O349" s="86">
        <v>1759</v>
      </c>
      <c r="P349" s="89">
        <f t="shared" si="16"/>
        <v>365.5</v>
      </c>
      <c r="Q349" s="89">
        <f t="shared" si="17"/>
        <v>2339</v>
      </c>
      <c r="R349" s="96" t="s">
        <v>94</v>
      </c>
      <c r="S349" s="96" t="s">
        <v>95</v>
      </c>
      <c r="T349" s="96" t="s">
        <v>94</v>
      </c>
      <c r="U349" s="96" t="s">
        <v>96</v>
      </c>
      <c r="V349" s="96" t="s">
        <v>94</v>
      </c>
      <c r="W349" s="96" t="s">
        <v>97</v>
      </c>
      <c r="X349" s="96" t="s">
        <v>98</v>
      </c>
      <c r="Y349" s="96" t="s">
        <v>99</v>
      </c>
      <c r="Z349" s="96" t="s">
        <v>100</v>
      </c>
      <c r="AA349" s="96" t="s">
        <v>101</v>
      </c>
      <c r="AB349" s="96" t="s">
        <v>102</v>
      </c>
      <c r="AC349" s="96" t="s">
        <v>103</v>
      </c>
      <c r="AD349" s="96" t="s">
        <v>104</v>
      </c>
      <c r="AE349" s="96" t="s">
        <v>105</v>
      </c>
      <c r="AF349" s="96" t="s">
        <v>106</v>
      </c>
      <c r="AG349" s="96" t="s">
        <v>107</v>
      </c>
      <c r="AH349" s="96">
        <v>158</v>
      </c>
      <c r="AI349" s="96" t="s">
        <v>108</v>
      </c>
      <c r="AJ349" s="96" t="s">
        <v>109</v>
      </c>
      <c r="AK349" s="27" t="s">
        <v>110</v>
      </c>
    </row>
    <row r="350" spans="1:37">
      <c r="A350" s="70">
        <v>345</v>
      </c>
      <c r="B350" s="70">
        <f t="shared" si="15"/>
        <v>0</v>
      </c>
      <c r="C350" s="71"/>
      <c r="D350" s="59" t="s">
        <v>1024</v>
      </c>
      <c r="E350" s="60">
        <v>12957</v>
      </c>
      <c r="F350" s="10" t="s">
        <v>111</v>
      </c>
      <c r="G350" s="60">
        <v>801</v>
      </c>
      <c r="H350" s="81">
        <v>152</v>
      </c>
      <c r="I350" s="86">
        <v>20</v>
      </c>
      <c r="J350" s="81">
        <v>152</v>
      </c>
      <c r="K350" s="86">
        <v>20</v>
      </c>
      <c r="L350" s="81">
        <v>370</v>
      </c>
      <c r="M350" s="86">
        <v>355</v>
      </c>
      <c r="N350" s="81">
        <v>1718</v>
      </c>
      <c r="O350" s="86">
        <v>3673</v>
      </c>
      <c r="P350" s="89">
        <f t="shared" si="16"/>
        <v>362.5</v>
      </c>
      <c r="Q350" s="89">
        <f t="shared" si="17"/>
        <v>2695.5</v>
      </c>
      <c r="R350" s="96" t="s">
        <v>94</v>
      </c>
      <c r="S350" s="96" t="s">
        <v>95</v>
      </c>
      <c r="T350" s="96" t="s">
        <v>94</v>
      </c>
      <c r="U350" s="96" t="s">
        <v>96</v>
      </c>
      <c r="V350" s="96" t="s">
        <v>94</v>
      </c>
      <c r="W350" s="96" t="s">
        <v>97</v>
      </c>
      <c r="X350" s="96" t="s">
        <v>98</v>
      </c>
      <c r="Y350" s="96" t="s">
        <v>112</v>
      </c>
      <c r="Z350" s="96" t="s">
        <v>113</v>
      </c>
      <c r="AA350" s="96" t="s">
        <v>114</v>
      </c>
      <c r="AB350" s="96" t="s">
        <v>115</v>
      </c>
      <c r="AC350" s="96" t="s">
        <v>116</v>
      </c>
      <c r="AD350" s="96" t="s">
        <v>117</v>
      </c>
      <c r="AE350" s="96" t="s">
        <v>118</v>
      </c>
      <c r="AF350" s="96" t="s">
        <v>119</v>
      </c>
      <c r="AG350" s="96" t="s">
        <v>120</v>
      </c>
      <c r="AH350" s="96">
        <v>184</v>
      </c>
      <c r="AI350" s="96" t="s">
        <v>121</v>
      </c>
      <c r="AJ350" s="96" t="s">
        <v>122</v>
      </c>
      <c r="AK350" s="27" t="s">
        <v>110</v>
      </c>
    </row>
    <row r="351" spans="1:37">
      <c r="A351" s="70">
        <v>346</v>
      </c>
      <c r="B351" s="70">
        <f t="shared" si="15"/>
        <v>0</v>
      </c>
      <c r="C351" s="71"/>
      <c r="D351" s="59" t="s">
        <v>1024</v>
      </c>
      <c r="E351" s="60">
        <v>12957</v>
      </c>
      <c r="F351" s="10" t="s">
        <v>111</v>
      </c>
      <c r="G351" s="60">
        <v>806</v>
      </c>
      <c r="H351" s="81">
        <v>16</v>
      </c>
      <c r="I351" s="86" t="s">
        <v>110</v>
      </c>
      <c r="J351" s="81">
        <v>16</v>
      </c>
      <c r="K351" s="86" t="s">
        <v>110</v>
      </c>
      <c r="L351" s="81">
        <v>362</v>
      </c>
      <c r="M351" s="86" t="s">
        <v>110</v>
      </c>
      <c r="N351" s="81">
        <v>2798</v>
      </c>
      <c r="O351" s="86" t="s">
        <v>110</v>
      </c>
      <c r="P351" s="89">
        <f t="shared" si="16"/>
        <v>362</v>
      </c>
      <c r="Q351" s="89">
        <f t="shared" si="17"/>
        <v>2798</v>
      </c>
      <c r="R351" s="96" t="s">
        <v>94</v>
      </c>
      <c r="S351" s="96" t="s">
        <v>95</v>
      </c>
      <c r="T351" s="96" t="s">
        <v>94</v>
      </c>
      <c r="U351" s="96" t="s">
        <v>96</v>
      </c>
      <c r="V351" s="96" t="s">
        <v>94</v>
      </c>
      <c r="W351" s="96" t="s">
        <v>97</v>
      </c>
      <c r="X351" s="96" t="s">
        <v>98</v>
      </c>
      <c r="Y351" s="96" t="s">
        <v>112</v>
      </c>
      <c r="Z351" s="96" t="s">
        <v>113</v>
      </c>
      <c r="AA351" s="96" t="s">
        <v>114</v>
      </c>
      <c r="AB351" s="96" t="s">
        <v>115</v>
      </c>
      <c r="AC351" s="96" t="s">
        <v>116</v>
      </c>
      <c r="AD351" s="96" t="s">
        <v>117</v>
      </c>
      <c r="AE351" s="96" t="s">
        <v>118</v>
      </c>
      <c r="AF351" s="96" t="s">
        <v>119</v>
      </c>
      <c r="AG351" s="96" t="s">
        <v>120</v>
      </c>
      <c r="AH351" s="96">
        <v>184</v>
      </c>
      <c r="AI351" s="96" t="s">
        <v>121</v>
      </c>
      <c r="AJ351" s="96" t="s">
        <v>122</v>
      </c>
      <c r="AK351" s="27" t="s">
        <v>110</v>
      </c>
    </row>
    <row r="352" spans="1:37">
      <c r="A352" s="70">
        <v>347</v>
      </c>
      <c r="B352" s="70">
        <f t="shared" si="15"/>
        <v>0</v>
      </c>
      <c r="C352" s="71"/>
      <c r="D352" s="59" t="s">
        <v>1024</v>
      </c>
      <c r="E352" s="60">
        <v>11113</v>
      </c>
      <c r="F352" s="10" t="s">
        <v>93</v>
      </c>
      <c r="G352" s="60">
        <v>809</v>
      </c>
      <c r="H352" s="81">
        <v>172</v>
      </c>
      <c r="I352" s="86">
        <v>169</v>
      </c>
      <c r="J352" s="81">
        <v>172</v>
      </c>
      <c r="K352" s="86">
        <v>169</v>
      </c>
      <c r="L352" s="81">
        <v>360</v>
      </c>
      <c r="M352" s="86">
        <v>362</v>
      </c>
      <c r="N352" s="81">
        <v>3014</v>
      </c>
      <c r="O352" s="86">
        <v>2690</v>
      </c>
      <c r="P352" s="89">
        <f t="shared" si="16"/>
        <v>361</v>
      </c>
      <c r="Q352" s="89">
        <f t="shared" si="17"/>
        <v>2852</v>
      </c>
      <c r="R352" s="96" t="s">
        <v>94</v>
      </c>
      <c r="S352" s="96" t="s">
        <v>95</v>
      </c>
      <c r="T352" s="96" t="s">
        <v>94</v>
      </c>
      <c r="U352" s="96" t="s">
        <v>96</v>
      </c>
      <c r="V352" s="96" t="s">
        <v>94</v>
      </c>
      <c r="W352" s="96" t="s">
        <v>97</v>
      </c>
      <c r="X352" s="96" t="s">
        <v>98</v>
      </c>
      <c r="Y352" s="96" t="s">
        <v>99</v>
      </c>
      <c r="Z352" s="96" t="s">
        <v>100</v>
      </c>
      <c r="AA352" s="96" t="s">
        <v>101</v>
      </c>
      <c r="AB352" s="96" t="s">
        <v>102</v>
      </c>
      <c r="AC352" s="96" t="s">
        <v>103</v>
      </c>
      <c r="AD352" s="96" t="s">
        <v>104</v>
      </c>
      <c r="AE352" s="96" t="s">
        <v>105</v>
      </c>
      <c r="AF352" s="96" t="s">
        <v>106</v>
      </c>
      <c r="AG352" s="96" t="s">
        <v>107</v>
      </c>
      <c r="AH352" s="96">
        <v>158</v>
      </c>
      <c r="AI352" s="96" t="s">
        <v>108</v>
      </c>
      <c r="AJ352" s="96" t="s">
        <v>109</v>
      </c>
      <c r="AK352" s="27" t="s">
        <v>110</v>
      </c>
    </row>
    <row r="353" spans="1:37">
      <c r="A353" s="70">
        <v>348</v>
      </c>
      <c r="B353" s="70">
        <f t="shared" si="15"/>
        <v>0</v>
      </c>
      <c r="C353" s="71"/>
      <c r="D353" s="59" t="s">
        <v>1024</v>
      </c>
      <c r="E353" s="60">
        <v>12957</v>
      </c>
      <c r="F353" s="10" t="s">
        <v>111</v>
      </c>
      <c r="G353" s="60">
        <v>808</v>
      </c>
      <c r="H353" s="81">
        <v>30</v>
      </c>
      <c r="I353" s="86">
        <v>18</v>
      </c>
      <c r="J353" s="81">
        <v>30</v>
      </c>
      <c r="K353" s="86">
        <v>18</v>
      </c>
      <c r="L353" s="81">
        <v>362</v>
      </c>
      <c r="M353" s="86">
        <v>359</v>
      </c>
      <c r="N353" s="81">
        <v>2715</v>
      </c>
      <c r="O353" s="86">
        <v>3122</v>
      </c>
      <c r="P353" s="89">
        <f t="shared" si="16"/>
        <v>360.5</v>
      </c>
      <c r="Q353" s="89">
        <f t="shared" si="17"/>
        <v>2918.5</v>
      </c>
      <c r="R353" s="96" t="s">
        <v>94</v>
      </c>
      <c r="S353" s="96" t="s">
        <v>95</v>
      </c>
      <c r="T353" s="96" t="s">
        <v>94</v>
      </c>
      <c r="U353" s="96" t="s">
        <v>96</v>
      </c>
      <c r="V353" s="96" t="s">
        <v>94</v>
      </c>
      <c r="W353" s="96" t="s">
        <v>97</v>
      </c>
      <c r="X353" s="96" t="s">
        <v>98</v>
      </c>
      <c r="Y353" s="96" t="s">
        <v>112</v>
      </c>
      <c r="Z353" s="96" t="s">
        <v>113</v>
      </c>
      <c r="AA353" s="96" t="s">
        <v>114</v>
      </c>
      <c r="AB353" s="96" t="s">
        <v>115</v>
      </c>
      <c r="AC353" s="96" t="s">
        <v>116</v>
      </c>
      <c r="AD353" s="96" t="s">
        <v>117</v>
      </c>
      <c r="AE353" s="96" t="s">
        <v>118</v>
      </c>
      <c r="AF353" s="96" t="s">
        <v>119</v>
      </c>
      <c r="AG353" s="96" t="s">
        <v>120</v>
      </c>
      <c r="AH353" s="96">
        <v>184</v>
      </c>
      <c r="AI353" s="96" t="s">
        <v>121</v>
      </c>
      <c r="AJ353" s="96" t="s">
        <v>122</v>
      </c>
      <c r="AK353" s="27" t="s">
        <v>110</v>
      </c>
    </row>
    <row r="354" spans="1:37">
      <c r="A354" s="70">
        <v>349</v>
      </c>
      <c r="B354" s="70">
        <f t="shared" si="15"/>
        <v>0</v>
      </c>
      <c r="C354" s="71"/>
      <c r="D354" s="59" t="s">
        <v>1024</v>
      </c>
      <c r="E354" s="60">
        <v>11113</v>
      </c>
      <c r="F354" s="10" t="s">
        <v>93</v>
      </c>
      <c r="G354" s="60">
        <v>806</v>
      </c>
      <c r="H354" s="81">
        <v>124</v>
      </c>
      <c r="I354" s="86">
        <v>154</v>
      </c>
      <c r="J354" s="81">
        <v>124</v>
      </c>
      <c r="K354" s="86">
        <v>154</v>
      </c>
      <c r="L354" s="81">
        <v>358</v>
      </c>
      <c r="M354" s="86">
        <v>360</v>
      </c>
      <c r="N354" s="81">
        <v>3334</v>
      </c>
      <c r="O354" s="86">
        <v>2934</v>
      </c>
      <c r="P354" s="89">
        <f t="shared" si="16"/>
        <v>359</v>
      </c>
      <c r="Q354" s="89">
        <f t="shared" si="17"/>
        <v>3134</v>
      </c>
      <c r="R354" s="96" t="s">
        <v>94</v>
      </c>
      <c r="S354" s="96" t="s">
        <v>95</v>
      </c>
      <c r="T354" s="96" t="s">
        <v>94</v>
      </c>
      <c r="U354" s="96" t="s">
        <v>96</v>
      </c>
      <c r="V354" s="96" t="s">
        <v>94</v>
      </c>
      <c r="W354" s="96" t="s">
        <v>97</v>
      </c>
      <c r="X354" s="96" t="s">
        <v>98</v>
      </c>
      <c r="Y354" s="96" t="s">
        <v>99</v>
      </c>
      <c r="Z354" s="96" t="s">
        <v>100</v>
      </c>
      <c r="AA354" s="96" t="s">
        <v>101</v>
      </c>
      <c r="AB354" s="96" t="s">
        <v>102</v>
      </c>
      <c r="AC354" s="96" t="s">
        <v>103</v>
      </c>
      <c r="AD354" s="96" t="s">
        <v>104</v>
      </c>
      <c r="AE354" s="96" t="s">
        <v>105</v>
      </c>
      <c r="AF354" s="96" t="s">
        <v>106</v>
      </c>
      <c r="AG354" s="96" t="s">
        <v>107</v>
      </c>
      <c r="AH354" s="96">
        <v>158</v>
      </c>
      <c r="AI354" s="96" t="s">
        <v>108</v>
      </c>
      <c r="AJ354" s="96" t="s">
        <v>109</v>
      </c>
      <c r="AK354" s="27" t="s">
        <v>110</v>
      </c>
    </row>
    <row r="355" spans="1:37">
      <c r="A355" s="70">
        <v>350</v>
      </c>
      <c r="B355" s="70">
        <f t="shared" si="15"/>
        <v>0</v>
      </c>
      <c r="C355" s="71"/>
      <c r="D355" s="59" t="s">
        <v>1024</v>
      </c>
      <c r="E355" s="60">
        <v>11113</v>
      </c>
      <c r="F355" s="10" t="s">
        <v>93</v>
      </c>
      <c r="G355" s="60">
        <v>803</v>
      </c>
      <c r="H355" s="81">
        <v>516</v>
      </c>
      <c r="I355" s="86">
        <v>541</v>
      </c>
      <c r="J355" s="81">
        <v>516</v>
      </c>
      <c r="K355" s="86">
        <v>541</v>
      </c>
      <c r="L355" s="81">
        <v>354</v>
      </c>
      <c r="M355" s="86">
        <v>363</v>
      </c>
      <c r="N355" s="81">
        <v>3965</v>
      </c>
      <c r="O355" s="86">
        <v>2527</v>
      </c>
      <c r="P355" s="89">
        <f t="shared" si="16"/>
        <v>358.5</v>
      </c>
      <c r="Q355" s="89">
        <f t="shared" si="17"/>
        <v>3246</v>
      </c>
      <c r="R355" s="96" t="s">
        <v>94</v>
      </c>
      <c r="S355" s="96" t="s">
        <v>95</v>
      </c>
      <c r="T355" s="96" t="s">
        <v>94</v>
      </c>
      <c r="U355" s="96" t="s">
        <v>96</v>
      </c>
      <c r="V355" s="96" t="s">
        <v>94</v>
      </c>
      <c r="W355" s="96" t="s">
        <v>97</v>
      </c>
      <c r="X355" s="96" t="s">
        <v>98</v>
      </c>
      <c r="Y355" s="96" t="s">
        <v>99</v>
      </c>
      <c r="Z355" s="96" t="s">
        <v>100</v>
      </c>
      <c r="AA355" s="96" t="s">
        <v>101</v>
      </c>
      <c r="AB355" s="96" t="s">
        <v>102</v>
      </c>
      <c r="AC355" s="96" t="s">
        <v>103</v>
      </c>
      <c r="AD355" s="96" t="s">
        <v>104</v>
      </c>
      <c r="AE355" s="96" t="s">
        <v>105</v>
      </c>
      <c r="AF355" s="96" t="s">
        <v>106</v>
      </c>
      <c r="AG355" s="96" t="s">
        <v>107</v>
      </c>
      <c r="AH355" s="96">
        <v>158</v>
      </c>
      <c r="AI355" s="96" t="s">
        <v>108</v>
      </c>
      <c r="AJ355" s="96" t="s">
        <v>109</v>
      </c>
      <c r="AK355" s="27" t="s">
        <v>110</v>
      </c>
    </row>
    <row r="356" spans="1:37">
      <c r="A356" s="70">
        <v>351</v>
      </c>
      <c r="B356" s="70">
        <f t="shared" si="15"/>
        <v>0</v>
      </c>
      <c r="C356" s="71"/>
      <c r="D356" s="59" t="s">
        <v>1024</v>
      </c>
      <c r="E356" s="60">
        <v>11113</v>
      </c>
      <c r="F356" s="10" t="s">
        <v>93</v>
      </c>
      <c r="G356" s="60">
        <v>808</v>
      </c>
      <c r="H356" s="81">
        <v>58</v>
      </c>
      <c r="I356" s="86">
        <v>64</v>
      </c>
      <c r="J356" s="81">
        <v>58</v>
      </c>
      <c r="K356" s="86">
        <v>64</v>
      </c>
      <c r="L356" s="81">
        <v>358</v>
      </c>
      <c r="M356" s="86">
        <v>356</v>
      </c>
      <c r="N356" s="81">
        <v>3367</v>
      </c>
      <c r="O356" s="86">
        <v>3416</v>
      </c>
      <c r="P356" s="89">
        <f t="shared" si="16"/>
        <v>357</v>
      </c>
      <c r="Q356" s="89">
        <f t="shared" si="17"/>
        <v>3391.5</v>
      </c>
      <c r="R356" s="96" t="s">
        <v>94</v>
      </c>
      <c r="S356" s="96" t="s">
        <v>95</v>
      </c>
      <c r="T356" s="96" t="s">
        <v>94</v>
      </c>
      <c r="U356" s="96" t="s">
        <v>96</v>
      </c>
      <c r="V356" s="96" t="s">
        <v>94</v>
      </c>
      <c r="W356" s="96" t="s">
        <v>97</v>
      </c>
      <c r="X356" s="96" t="s">
        <v>98</v>
      </c>
      <c r="Y356" s="96" t="s">
        <v>99</v>
      </c>
      <c r="Z356" s="96" t="s">
        <v>100</v>
      </c>
      <c r="AA356" s="96" t="s">
        <v>101</v>
      </c>
      <c r="AB356" s="96" t="s">
        <v>102</v>
      </c>
      <c r="AC356" s="96" t="s">
        <v>103</v>
      </c>
      <c r="AD356" s="96" t="s">
        <v>104</v>
      </c>
      <c r="AE356" s="96" t="s">
        <v>105</v>
      </c>
      <c r="AF356" s="96" t="s">
        <v>106</v>
      </c>
      <c r="AG356" s="96" t="s">
        <v>107</v>
      </c>
      <c r="AH356" s="96">
        <v>158</v>
      </c>
      <c r="AI356" s="96" t="s">
        <v>108</v>
      </c>
      <c r="AJ356" s="96" t="s">
        <v>109</v>
      </c>
      <c r="AK356" s="27" t="s">
        <v>110</v>
      </c>
    </row>
    <row r="357" spans="1:37">
      <c r="A357" s="70">
        <v>352</v>
      </c>
      <c r="B357" s="70">
        <f t="shared" si="15"/>
        <v>0</v>
      </c>
      <c r="C357" s="71"/>
      <c r="D357" s="59" t="s">
        <v>1024</v>
      </c>
      <c r="E357" s="60">
        <v>12957</v>
      </c>
      <c r="F357" s="10" t="s">
        <v>111</v>
      </c>
      <c r="G357" s="60">
        <v>803</v>
      </c>
      <c r="H357" s="81">
        <v>297</v>
      </c>
      <c r="I357" s="86">
        <v>296</v>
      </c>
      <c r="J357" s="81">
        <v>297</v>
      </c>
      <c r="K357" s="86">
        <v>296</v>
      </c>
      <c r="L357" s="81">
        <v>359</v>
      </c>
      <c r="M357" s="86">
        <v>354</v>
      </c>
      <c r="N357" s="81">
        <v>3189</v>
      </c>
      <c r="O357" s="86">
        <v>3819</v>
      </c>
      <c r="P357" s="89">
        <f t="shared" si="16"/>
        <v>356.5</v>
      </c>
      <c r="Q357" s="89">
        <f t="shared" si="17"/>
        <v>3504</v>
      </c>
      <c r="R357" s="96" t="s">
        <v>94</v>
      </c>
      <c r="S357" s="96" t="s">
        <v>95</v>
      </c>
      <c r="T357" s="96" t="s">
        <v>94</v>
      </c>
      <c r="U357" s="96" t="s">
        <v>96</v>
      </c>
      <c r="V357" s="96" t="s">
        <v>94</v>
      </c>
      <c r="W357" s="96" t="s">
        <v>97</v>
      </c>
      <c r="X357" s="96" t="s">
        <v>98</v>
      </c>
      <c r="Y357" s="96" t="s">
        <v>112</v>
      </c>
      <c r="Z357" s="96" t="s">
        <v>113</v>
      </c>
      <c r="AA357" s="96" t="s">
        <v>114</v>
      </c>
      <c r="AB357" s="96" t="s">
        <v>115</v>
      </c>
      <c r="AC357" s="96" t="s">
        <v>116</v>
      </c>
      <c r="AD357" s="96" t="s">
        <v>117</v>
      </c>
      <c r="AE357" s="96" t="s">
        <v>118</v>
      </c>
      <c r="AF357" s="96" t="s">
        <v>119</v>
      </c>
      <c r="AG357" s="96" t="s">
        <v>120</v>
      </c>
      <c r="AH357" s="96">
        <v>184</v>
      </c>
      <c r="AI357" s="96" t="s">
        <v>121</v>
      </c>
      <c r="AJ357" s="96" t="s">
        <v>122</v>
      </c>
      <c r="AK357" s="27" t="s">
        <v>110</v>
      </c>
    </row>
    <row r="358" spans="1:37">
      <c r="A358" s="70">
        <v>353</v>
      </c>
      <c r="B358" s="70">
        <f t="shared" si="15"/>
        <v>0</v>
      </c>
      <c r="C358" s="71"/>
      <c r="D358" s="59" t="s">
        <v>1024</v>
      </c>
      <c r="E358" s="60">
        <v>11113</v>
      </c>
      <c r="F358" s="10" t="s">
        <v>93</v>
      </c>
      <c r="G358" s="60">
        <v>805</v>
      </c>
      <c r="H358" s="81">
        <v>56</v>
      </c>
      <c r="I358" s="86">
        <v>57</v>
      </c>
      <c r="J358" s="81">
        <v>56</v>
      </c>
      <c r="K358" s="86">
        <v>57</v>
      </c>
      <c r="L358" s="81">
        <v>355</v>
      </c>
      <c r="M358" s="86">
        <v>358</v>
      </c>
      <c r="N358" s="81">
        <v>3933</v>
      </c>
      <c r="O358" s="86">
        <v>3210</v>
      </c>
      <c r="P358" s="89">
        <f t="shared" si="16"/>
        <v>356.5</v>
      </c>
      <c r="Q358" s="89">
        <f t="shared" si="17"/>
        <v>3571.5</v>
      </c>
      <c r="R358" s="96" t="s">
        <v>94</v>
      </c>
      <c r="S358" s="96" t="s">
        <v>95</v>
      </c>
      <c r="T358" s="96" t="s">
        <v>94</v>
      </c>
      <c r="U358" s="96" t="s">
        <v>96</v>
      </c>
      <c r="V358" s="96" t="s">
        <v>94</v>
      </c>
      <c r="W358" s="96" t="s">
        <v>97</v>
      </c>
      <c r="X358" s="96" t="s">
        <v>98</v>
      </c>
      <c r="Y358" s="96" t="s">
        <v>99</v>
      </c>
      <c r="Z358" s="96" t="s">
        <v>100</v>
      </c>
      <c r="AA358" s="96" t="s">
        <v>101</v>
      </c>
      <c r="AB358" s="96" t="s">
        <v>102</v>
      </c>
      <c r="AC358" s="96" t="s">
        <v>103</v>
      </c>
      <c r="AD358" s="96" t="s">
        <v>104</v>
      </c>
      <c r="AE358" s="96" t="s">
        <v>105</v>
      </c>
      <c r="AF358" s="96" t="s">
        <v>106</v>
      </c>
      <c r="AG358" s="96" t="s">
        <v>107</v>
      </c>
      <c r="AH358" s="96">
        <v>158</v>
      </c>
      <c r="AI358" s="96" t="s">
        <v>108</v>
      </c>
      <c r="AJ358" s="96" t="s">
        <v>109</v>
      </c>
      <c r="AK358" s="27" t="s">
        <v>110</v>
      </c>
    </row>
    <row r="359" spans="1:37">
      <c r="A359" s="70">
        <v>354</v>
      </c>
      <c r="B359" s="70">
        <f t="shared" si="15"/>
        <v>0</v>
      </c>
      <c r="C359" s="71"/>
      <c r="D359" s="59" t="s">
        <v>1024</v>
      </c>
      <c r="E359" s="60">
        <v>12957</v>
      </c>
      <c r="F359" s="10" t="s">
        <v>111</v>
      </c>
      <c r="G359" s="60">
        <v>805</v>
      </c>
      <c r="H359" s="81">
        <v>15</v>
      </c>
      <c r="I359" s="86">
        <v>38</v>
      </c>
      <c r="J359" s="81">
        <v>15</v>
      </c>
      <c r="K359" s="86">
        <v>38</v>
      </c>
      <c r="L359" s="81">
        <v>354</v>
      </c>
      <c r="M359" s="86">
        <v>357</v>
      </c>
      <c r="N359" s="81">
        <v>4018</v>
      </c>
      <c r="O359" s="86">
        <v>3377</v>
      </c>
      <c r="P359" s="89">
        <f t="shared" si="16"/>
        <v>355.5</v>
      </c>
      <c r="Q359" s="89">
        <f t="shared" si="17"/>
        <v>3697.5</v>
      </c>
      <c r="R359" s="96" t="s">
        <v>94</v>
      </c>
      <c r="S359" s="96" t="s">
        <v>95</v>
      </c>
      <c r="T359" s="96" t="s">
        <v>94</v>
      </c>
      <c r="U359" s="96" t="s">
        <v>96</v>
      </c>
      <c r="V359" s="96" t="s">
        <v>94</v>
      </c>
      <c r="W359" s="96" t="s">
        <v>97</v>
      </c>
      <c r="X359" s="96" t="s">
        <v>98</v>
      </c>
      <c r="Y359" s="96" t="s">
        <v>112</v>
      </c>
      <c r="Z359" s="96" t="s">
        <v>113</v>
      </c>
      <c r="AA359" s="96" t="s">
        <v>114</v>
      </c>
      <c r="AB359" s="96" t="s">
        <v>115</v>
      </c>
      <c r="AC359" s="96" t="s">
        <v>116</v>
      </c>
      <c r="AD359" s="96" t="s">
        <v>117</v>
      </c>
      <c r="AE359" s="96" t="s">
        <v>118</v>
      </c>
      <c r="AF359" s="96" t="s">
        <v>119</v>
      </c>
      <c r="AG359" s="96" t="s">
        <v>120</v>
      </c>
      <c r="AH359" s="96">
        <v>184</v>
      </c>
      <c r="AI359" s="96" t="s">
        <v>121</v>
      </c>
      <c r="AJ359" s="96" t="s">
        <v>122</v>
      </c>
      <c r="AK359" s="27" t="s">
        <v>110</v>
      </c>
    </row>
    <row r="360" spans="1:37">
      <c r="A360" s="70">
        <v>355</v>
      </c>
      <c r="B360" s="70">
        <f t="shared" si="15"/>
        <v>0</v>
      </c>
      <c r="C360" s="71"/>
      <c r="D360" s="59" t="s">
        <v>1024</v>
      </c>
      <c r="E360" s="60">
        <v>12957</v>
      </c>
      <c r="F360" s="10" t="s">
        <v>111</v>
      </c>
      <c r="G360" s="60">
        <v>804</v>
      </c>
      <c r="H360" s="81">
        <v>300</v>
      </c>
      <c r="I360" s="86">
        <v>556</v>
      </c>
      <c r="J360" s="81">
        <v>300</v>
      </c>
      <c r="K360" s="86">
        <v>556</v>
      </c>
      <c r="L360" s="81">
        <v>355</v>
      </c>
      <c r="M360" s="86">
        <v>355</v>
      </c>
      <c r="N360" s="81">
        <v>3874</v>
      </c>
      <c r="O360" s="86">
        <v>3565</v>
      </c>
      <c r="P360" s="89">
        <f t="shared" si="16"/>
        <v>355</v>
      </c>
      <c r="Q360" s="89">
        <f t="shared" si="17"/>
        <v>3719.5</v>
      </c>
      <c r="R360" s="96" t="s">
        <v>94</v>
      </c>
      <c r="S360" s="96" t="s">
        <v>95</v>
      </c>
      <c r="T360" s="96" t="s">
        <v>94</v>
      </c>
      <c r="U360" s="96" t="s">
        <v>96</v>
      </c>
      <c r="V360" s="96" t="s">
        <v>94</v>
      </c>
      <c r="W360" s="96" t="s">
        <v>97</v>
      </c>
      <c r="X360" s="96" t="s">
        <v>98</v>
      </c>
      <c r="Y360" s="96" t="s">
        <v>112</v>
      </c>
      <c r="Z360" s="96" t="s">
        <v>113</v>
      </c>
      <c r="AA360" s="96" t="s">
        <v>114</v>
      </c>
      <c r="AB360" s="96" t="s">
        <v>115</v>
      </c>
      <c r="AC360" s="96" t="s">
        <v>116</v>
      </c>
      <c r="AD360" s="96" t="s">
        <v>117</v>
      </c>
      <c r="AE360" s="96" t="s">
        <v>118</v>
      </c>
      <c r="AF360" s="96" t="s">
        <v>119</v>
      </c>
      <c r="AG360" s="96" t="s">
        <v>120</v>
      </c>
      <c r="AH360" s="96">
        <v>184</v>
      </c>
      <c r="AI360" s="96" t="s">
        <v>121</v>
      </c>
      <c r="AJ360" s="96" t="s">
        <v>122</v>
      </c>
      <c r="AK360" s="27" t="s">
        <v>110</v>
      </c>
    </row>
    <row r="361" spans="1:37">
      <c r="A361" s="70">
        <v>356</v>
      </c>
      <c r="B361" s="70">
        <f t="shared" si="15"/>
        <v>0</v>
      </c>
      <c r="C361" s="71"/>
      <c r="D361" s="59" t="s">
        <v>1024</v>
      </c>
      <c r="E361" s="60">
        <v>11113</v>
      </c>
      <c r="F361" s="10" t="s">
        <v>93</v>
      </c>
      <c r="G361" s="60">
        <v>807</v>
      </c>
      <c r="H361" s="81">
        <v>24</v>
      </c>
      <c r="I361" s="86">
        <v>25</v>
      </c>
      <c r="J361" s="81">
        <v>24</v>
      </c>
      <c r="K361" s="86">
        <v>25</v>
      </c>
      <c r="L361" s="81">
        <v>353</v>
      </c>
      <c r="M361" s="86">
        <v>355</v>
      </c>
      <c r="N361" s="81">
        <v>4117</v>
      </c>
      <c r="O361" s="86">
        <v>3566</v>
      </c>
      <c r="P361" s="89">
        <f t="shared" si="16"/>
        <v>354</v>
      </c>
      <c r="Q361" s="89">
        <f t="shared" si="17"/>
        <v>3841.5</v>
      </c>
      <c r="R361" s="96" t="s">
        <v>94</v>
      </c>
      <c r="S361" s="96" t="s">
        <v>95</v>
      </c>
      <c r="T361" s="96" t="s">
        <v>94</v>
      </c>
      <c r="U361" s="96" t="s">
        <v>96</v>
      </c>
      <c r="V361" s="96" t="s">
        <v>94</v>
      </c>
      <c r="W361" s="96" t="s">
        <v>97</v>
      </c>
      <c r="X361" s="96" t="s">
        <v>98</v>
      </c>
      <c r="Y361" s="96" t="s">
        <v>99</v>
      </c>
      <c r="Z361" s="96" t="s">
        <v>100</v>
      </c>
      <c r="AA361" s="96" t="s">
        <v>101</v>
      </c>
      <c r="AB361" s="96" t="s">
        <v>102</v>
      </c>
      <c r="AC361" s="96" t="s">
        <v>103</v>
      </c>
      <c r="AD361" s="96" t="s">
        <v>104</v>
      </c>
      <c r="AE361" s="96" t="s">
        <v>105</v>
      </c>
      <c r="AF361" s="96" t="s">
        <v>106</v>
      </c>
      <c r="AG361" s="96" t="s">
        <v>107</v>
      </c>
      <c r="AH361" s="96">
        <v>158</v>
      </c>
      <c r="AI361" s="96" t="s">
        <v>108</v>
      </c>
      <c r="AJ361" s="96" t="s">
        <v>109</v>
      </c>
      <c r="AK361" s="27" t="s">
        <v>110</v>
      </c>
    </row>
    <row r="362" spans="1:37">
      <c r="A362" s="70">
        <v>357</v>
      </c>
      <c r="B362" s="70">
        <f t="shared" si="15"/>
        <v>0</v>
      </c>
      <c r="C362" s="71"/>
      <c r="D362" s="59" t="s">
        <v>1024</v>
      </c>
      <c r="E362" s="60">
        <v>12957</v>
      </c>
      <c r="F362" s="10" t="s">
        <v>111</v>
      </c>
      <c r="G362" s="60">
        <v>807</v>
      </c>
      <c r="H362" s="81">
        <v>47</v>
      </c>
      <c r="I362" s="86" t="s">
        <v>110</v>
      </c>
      <c r="J362" s="81">
        <v>47</v>
      </c>
      <c r="K362" s="86" t="s">
        <v>110</v>
      </c>
      <c r="L362" s="81">
        <v>355</v>
      </c>
      <c r="M362" s="86" t="s">
        <v>110</v>
      </c>
      <c r="N362" s="81">
        <v>3916</v>
      </c>
      <c r="O362" s="86" t="s">
        <v>110</v>
      </c>
      <c r="P362" s="89">
        <f t="shared" si="16"/>
        <v>355</v>
      </c>
      <c r="Q362" s="89">
        <f t="shared" si="17"/>
        <v>3916</v>
      </c>
      <c r="R362" s="96" t="s">
        <v>94</v>
      </c>
      <c r="S362" s="96" t="s">
        <v>95</v>
      </c>
      <c r="T362" s="96" t="s">
        <v>94</v>
      </c>
      <c r="U362" s="96" t="s">
        <v>96</v>
      </c>
      <c r="V362" s="96" t="s">
        <v>94</v>
      </c>
      <c r="W362" s="96" t="s">
        <v>97</v>
      </c>
      <c r="X362" s="96" t="s">
        <v>98</v>
      </c>
      <c r="Y362" s="96" t="s">
        <v>112</v>
      </c>
      <c r="Z362" s="96" t="s">
        <v>113</v>
      </c>
      <c r="AA362" s="96" t="s">
        <v>114</v>
      </c>
      <c r="AB362" s="96" t="s">
        <v>115</v>
      </c>
      <c r="AC362" s="96" t="s">
        <v>116</v>
      </c>
      <c r="AD362" s="96" t="s">
        <v>117</v>
      </c>
      <c r="AE362" s="96" t="s">
        <v>118</v>
      </c>
      <c r="AF362" s="96" t="s">
        <v>119</v>
      </c>
      <c r="AG362" s="96" t="s">
        <v>120</v>
      </c>
      <c r="AH362" s="96">
        <v>184</v>
      </c>
      <c r="AI362" s="96" t="s">
        <v>121</v>
      </c>
      <c r="AJ362" s="96" t="s">
        <v>122</v>
      </c>
      <c r="AK362" s="27" t="s">
        <v>110</v>
      </c>
    </row>
    <row r="363" spans="1:37">
      <c r="A363" s="70">
        <v>358</v>
      </c>
      <c r="B363" s="70">
        <f t="shared" si="15"/>
        <v>0</v>
      </c>
      <c r="C363" s="71"/>
      <c r="D363" s="59" t="s">
        <v>1024</v>
      </c>
      <c r="E363" s="60">
        <v>12046</v>
      </c>
      <c r="F363" s="10" t="s">
        <v>156</v>
      </c>
      <c r="G363" s="60">
        <v>807</v>
      </c>
      <c r="H363" s="81">
        <v>94</v>
      </c>
      <c r="I363" s="86">
        <v>34</v>
      </c>
      <c r="J363" s="81">
        <v>94</v>
      </c>
      <c r="K363" s="86">
        <v>34</v>
      </c>
      <c r="L363" s="81">
        <v>352</v>
      </c>
      <c r="M363" s="86">
        <v>353</v>
      </c>
      <c r="N363" s="81">
        <v>4433</v>
      </c>
      <c r="O363" s="86">
        <v>3927</v>
      </c>
      <c r="P363" s="89">
        <f t="shared" si="16"/>
        <v>352.5</v>
      </c>
      <c r="Q363" s="89">
        <f t="shared" si="17"/>
        <v>4180</v>
      </c>
      <c r="R363" s="96" t="s">
        <v>94</v>
      </c>
      <c r="S363" s="96" t="s">
        <v>124</v>
      </c>
      <c r="T363" s="96" t="s">
        <v>94</v>
      </c>
      <c r="U363" s="96" t="s">
        <v>96</v>
      </c>
      <c r="V363" s="96" t="s">
        <v>94</v>
      </c>
      <c r="W363" s="96" t="s">
        <v>97</v>
      </c>
      <c r="X363" s="96" t="s">
        <v>98</v>
      </c>
      <c r="Y363" s="96" t="s">
        <v>157</v>
      </c>
      <c r="Z363" s="96" t="s">
        <v>126</v>
      </c>
      <c r="AA363" s="96" t="s">
        <v>158</v>
      </c>
      <c r="AB363" s="96" t="s">
        <v>159</v>
      </c>
      <c r="AC363" s="96" t="s">
        <v>160</v>
      </c>
      <c r="AD363" s="96" t="s">
        <v>161</v>
      </c>
      <c r="AE363" s="96" t="s">
        <v>162</v>
      </c>
      <c r="AF363" s="96" t="s">
        <v>163</v>
      </c>
      <c r="AG363" s="96" t="s">
        <v>164</v>
      </c>
      <c r="AH363" s="96">
        <v>426</v>
      </c>
      <c r="AI363" s="96" t="s">
        <v>165</v>
      </c>
      <c r="AJ363" s="96" t="s">
        <v>166</v>
      </c>
      <c r="AK363" s="27" t="s">
        <v>110</v>
      </c>
    </row>
    <row r="364" spans="1:37">
      <c r="A364" s="70">
        <v>359</v>
      </c>
      <c r="B364" s="70">
        <f t="shared" si="15"/>
        <v>0</v>
      </c>
      <c r="C364" s="71"/>
      <c r="D364" s="59" t="s">
        <v>1024</v>
      </c>
      <c r="E364" s="60">
        <v>10833</v>
      </c>
      <c r="F364" s="10" t="s">
        <v>123</v>
      </c>
      <c r="G364" s="60">
        <v>807</v>
      </c>
      <c r="H364" s="81">
        <v>125</v>
      </c>
      <c r="I364" s="86">
        <v>120</v>
      </c>
      <c r="J364" s="81">
        <v>125</v>
      </c>
      <c r="K364" s="86">
        <v>120</v>
      </c>
      <c r="L364" s="81">
        <v>350</v>
      </c>
      <c r="M364" s="86">
        <v>351</v>
      </c>
      <c r="N364" s="81">
        <v>4686</v>
      </c>
      <c r="O364" s="86">
        <v>4204</v>
      </c>
      <c r="P364" s="89">
        <f t="shared" si="16"/>
        <v>350.5</v>
      </c>
      <c r="Q364" s="89">
        <f t="shared" si="17"/>
        <v>4445</v>
      </c>
      <c r="R364" s="96" t="s">
        <v>94</v>
      </c>
      <c r="S364" s="96" t="s">
        <v>124</v>
      </c>
      <c r="T364" s="96" t="s">
        <v>94</v>
      </c>
      <c r="U364" s="96" t="s">
        <v>96</v>
      </c>
      <c r="V364" s="96" t="s">
        <v>94</v>
      </c>
      <c r="W364" s="96" t="s">
        <v>97</v>
      </c>
      <c r="X364" s="96" t="s">
        <v>98</v>
      </c>
      <c r="Y364" s="96" t="s">
        <v>125</v>
      </c>
      <c r="Z364" s="96" t="s">
        <v>126</v>
      </c>
      <c r="AA364" s="96" t="s">
        <v>127</v>
      </c>
      <c r="AB364" s="96" t="s">
        <v>128</v>
      </c>
      <c r="AC364" s="96" t="s">
        <v>129</v>
      </c>
      <c r="AD364" s="96" t="s">
        <v>130</v>
      </c>
      <c r="AE364" s="96" t="s">
        <v>131</v>
      </c>
      <c r="AF364" s="96" t="s">
        <v>132</v>
      </c>
      <c r="AG364" s="96" t="s">
        <v>110</v>
      </c>
      <c r="AH364" s="96">
        <v>369</v>
      </c>
      <c r="AI364" s="96" t="s">
        <v>133</v>
      </c>
      <c r="AJ364" s="96" t="s">
        <v>134</v>
      </c>
      <c r="AK364" s="27" t="s">
        <v>110</v>
      </c>
    </row>
    <row r="365" spans="1:37">
      <c r="A365" s="70">
        <v>360</v>
      </c>
      <c r="B365" s="70">
        <f t="shared" si="15"/>
        <v>0</v>
      </c>
      <c r="C365" s="71"/>
      <c r="D365" s="59" t="s">
        <v>1024</v>
      </c>
      <c r="E365" s="60">
        <v>14845</v>
      </c>
      <c r="F365" s="10" t="s">
        <v>135</v>
      </c>
      <c r="G365" s="60">
        <v>801</v>
      </c>
      <c r="H365" s="81">
        <v>75</v>
      </c>
      <c r="I365" s="86" t="s">
        <v>110</v>
      </c>
      <c r="J365" s="81">
        <v>75</v>
      </c>
      <c r="K365" s="86" t="s">
        <v>110</v>
      </c>
      <c r="L365" s="81">
        <v>350</v>
      </c>
      <c r="M365" s="86" t="s">
        <v>110</v>
      </c>
      <c r="N365" s="81">
        <v>4670</v>
      </c>
      <c r="O365" s="86" t="s">
        <v>110</v>
      </c>
      <c r="P365" s="89">
        <f t="shared" si="16"/>
        <v>350</v>
      </c>
      <c r="Q365" s="89">
        <f t="shared" si="17"/>
        <v>4670</v>
      </c>
      <c r="R365" s="96" t="s">
        <v>94</v>
      </c>
      <c r="S365" s="96" t="s">
        <v>95</v>
      </c>
      <c r="T365" s="96" t="s">
        <v>94</v>
      </c>
      <c r="U365" s="96" t="s">
        <v>136</v>
      </c>
      <c r="V365" s="96" t="s">
        <v>94</v>
      </c>
      <c r="W365" s="96" t="s">
        <v>97</v>
      </c>
      <c r="X365" s="96" t="s">
        <v>98</v>
      </c>
      <c r="Y365" s="96" t="s">
        <v>110</v>
      </c>
      <c r="Z365" s="96" t="s">
        <v>110</v>
      </c>
      <c r="AA365" s="96" t="s">
        <v>137</v>
      </c>
      <c r="AB365" s="96" t="s">
        <v>110</v>
      </c>
      <c r="AC365" s="96" t="s">
        <v>138</v>
      </c>
      <c r="AD365" s="96" t="s">
        <v>139</v>
      </c>
      <c r="AE365" s="96" t="s">
        <v>140</v>
      </c>
      <c r="AF365" s="96" t="s">
        <v>141</v>
      </c>
      <c r="AG365" s="96" t="s">
        <v>110</v>
      </c>
      <c r="AH365" s="96">
        <v>2768</v>
      </c>
      <c r="AI365" s="96" t="s">
        <v>142</v>
      </c>
      <c r="AJ365" s="96" t="s">
        <v>143</v>
      </c>
      <c r="AK365" s="27" t="s">
        <v>110</v>
      </c>
    </row>
    <row r="366" spans="1:37">
      <c r="A366" s="70">
        <v>361</v>
      </c>
      <c r="B366" s="70">
        <f t="shared" si="15"/>
        <v>0</v>
      </c>
      <c r="C366" s="71"/>
      <c r="D366" s="59" t="s">
        <v>1024</v>
      </c>
      <c r="E366" s="60">
        <v>11113</v>
      </c>
      <c r="F366" s="10" t="s">
        <v>93</v>
      </c>
      <c r="G366" s="60">
        <v>810</v>
      </c>
      <c r="H366" s="81">
        <v>5</v>
      </c>
      <c r="I366" s="86">
        <v>4</v>
      </c>
      <c r="J366" s="81">
        <v>5</v>
      </c>
      <c r="K366" s="86">
        <v>4</v>
      </c>
      <c r="L366" s="81">
        <v>352</v>
      </c>
      <c r="M366" s="86">
        <v>341</v>
      </c>
      <c r="N366" s="81">
        <v>4468</v>
      </c>
      <c r="O366" s="86">
        <v>5809</v>
      </c>
      <c r="P366" s="89">
        <f t="shared" si="16"/>
        <v>346.5</v>
      </c>
      <c r="Q366" s="89">
        <f t="shared" si="17"/>
        <v>5138.5</v>
      </c>
      <c r="R366" s="96" t="s">
        <v>94</v>
      </c>
      <c r="S366" s="96" t="s">
        <v>95</v>
      </c>
      <c r="T366" s="96" t="s">
        <v>94</v>
      </c>
      <c r="U366" s="96" t="s">
        <v>96</v>
      </c>
      <c r="V366" s="96" t="s">
        <v>94</v>
      </c>
      <c r="W366" s="96" t="s">
        <v>97</v>
      </c>
      <c r="X366" s="96" t="s">
        <v>98</v>
      </c>
      <c r="Y366" s="96" t="s">
        <v>99</v>
      </c>
      <c r="Z366" s="96" t="s">
        <v>100</v>
      </c>
      <c r="AA366" s="96" t="s">
        <v>101</v>
      </c>
      <c r="AB366" s="96" t="s">
        <v>102</v>
      </c>
      <c r="AC366" s="96" t="s">
        <v>103</v>
      </c>
      <c r="AD366" s="96" t="s">
        <v>104</v>
      </c>
      <c r="AE366" s="96" t="s">
        <v>105</v>
      </c>
      <c r="AF366" s="96" t="s">
        <v>106</v>
      </c>
      <c r="AG366" s="96" t="s">
        <v>107</v>
      </c>
      <c r="AH366" s="96">
        <v>158</v>
      </c>
      <c r="AI366" s="96" t="s">
        <v>108</v>
      </c>
      <c r="AJ366" s="96" t="s">
        <v>109</v>
      </c>
      <c r="AK366" s="27" t="s">
        <v>110</v>
      </c>
    </row>
    <row r="367" spans="1:37">
      <c r="A367" s="70">
        <v>362</v>
      </c>
      <c r="B367" s="70">
        <f t="shared" si="15"/>
        <v>0</v>
      </c>
      <c r="C367" s="71"/>
      <c r="D367" s="59" t="s">
        <v>1024</v>
      </c>
      <c r="E367" s="60">
        <v>10831</v>
      </c>
      <c r="F367" s="10" t="s">
        <v>167</v>
      </c>
      <c r="G367" s="60">
        <v>803</v>
      </c>
      <c r="H367" s="81">
        <v>114</v>
      </c>
      <c r="I367" s="86">
        <v>101</v>
      </c>
      <c r="J367" s="81">
        <v>114</v>
      </c>
      <c r="K367" s="86">
        <v>101</v>
      </c>
      <c r="L367" s="81">
        <v>348</v>
      </c>
      <c r="M367" s="86">
        <v>345</v>
      </c>
      <c r="N367" s="81">
        <v>5156</v>
      </c>
      <c r="O367" s="86">
        <v>5232</v>
      </c>
      <c r="P367" s="89">
        <f t="shared" si="16"/>
        <v>346.5</v>
      </c>
      <c r="Q367" s="89">
        <f t="shared" si="17"/>
        <v>5194</v>
      </c>
      <c r="R367" s="96" t="s">
        <v>94</v>
      </c>
      <c r="S367" s="96" t="s">
        <v>168</v>
      </c>
      <c r="T367" s="96" t="s">
        <v>94</v>
      </c>
      <c r="U367" s="96" t="s">
        <v>96</v>
      </c>
      <c r="V367" s="96" t="s">
        <v>94</v>
      </c>
      <c r="W367" s="96" t="s">
        <v>97</v>
      </c>
      <c r="X367" s="96" t="s">
        <v>169</v>
      </c>
      <c r="Y367" s="96" t="s">
        <v>112</v>
      </c>
      <c r="Z367" s="96" t="s">
        <v>113</v>
      </c>
      <c r="AA367" s="96" t="s">
        <v>170</v>
      </c>
      <c r="AB367" s="96" t="s">
        <v>171</v>
      </c>
      <c r="AC367" s="96" t="s">
        <v>172</v>
      </c>
      <c r="AD367" s="96" t="s">
        <v>173</v>
      </c>
      <c r="AE367" s="96" t="s">
        <v>174</v>
      </c>
      <c r="AF367" s="96" t="s">
        <v>175</v>
      </c>
      <c r="AG367" s="96" t="s">
        <v>176</v>
      </c>
      <c r="AH367" s="96">
        <v>372</v>
      </c>
      <c r="AI367" s="96" t="s">
        <v>177</v>
      </c>
      <c r="AJ367" s="96" t="s">
        <v>178</v>
      </c>
      <c r="AK367" s="27" t="s">
        <v>110</v>
      </c>
    </row>
    <row r="368" spans="1:37">
      <c r="A368" s="70">
        <v>363</v>
      </c>
      <c r="B368" s="70">
        <f t="shared" si="15"/>
        <v>0</v>
      </c>
      <c r="C368" s="71"/>
      <c r="D368" s="59" t="s">
        <v>1024</v>
      </c>
      <c r="E368" s="60">
        <v>12046</v>
      </c>
      <c r="F368" s="10" t="s">
        <v>156</v>
      </c>
      <c r="G368" s="60">
        <v>808</v>
      </c>
      <c r="H368" s="81">
        <v>126</v>
      </c>
      <c r="I368" s="86">
        <v>35</v>
      </c>
      <c r="J368" s="81">
        <v>126</v>
      </c>
      <c r="K368" s="86">
        <v>35</v>
      </c>
      <c r="L368" s="81">
        <v>346</v>
      </c>
      <c r="M368" s="86">
        <v>346</v>
      </c>
      <c r="N368" s="81">
        <v>5560</v>
      </c>
      <c r="O368" s="86">
        <v>5022</v>
      </c>
      <c r="P368" s="89">
        <f t="shared" si="16"/>
        <v>346</v>
      </c>
      <c r="Q368" s="89">
        <f t="shared" si="17"/>
        <v>5291</v>
      </c>
      <c r="R368" s="96" t="s">
        <v>94</v>
      </c>
      <c r="S368" s="96" t="s">
        <v>124</v>
      </c>
      <c r="T368" s="96" t="s">
        <v>94</v>
      </c>
      <c r="U368" s="96" t="s">
        <v>96</v>
      </c>
      <c r="V368" s="96" t="s">
        <v>94</v>
      </c>
      <c r="W368" s="96" t="s">
        <v>97</v>
      </c>
      <c r="X368" s="96" t="s">
        <v>98</v>
      </c>
      <c r="Y368" s="96" t="s">
        <v>157</v>
      </c>
      <c r="Z368" s="96" t="s">
        <v>126</v>
      </c>
      <c r="AA368" s="96" t="s">
        <v>158</v>
      </c>
      <c r="AB368" s="96" t="s">
        <v>159</v>
      </c>
      <c r="AC368" s="96" t="s">
        <v>160</v>
      </c>
      <c r="AD368" s="96" t="s">
        <v>161</v>
      </c>
      <c r="AE368" s="96" t="s">
        <v>162</v>
      </c>
      <c r="AF368" s="96" t="s">
        <v>163</v>
      </c>
      <c r="AG368" s="96" t="s">
        <v>164</v>
      </c>
      <c r="AH368" s="96">
        <v>426</v>
      </c>
      <c r="AI368" s="96" t="s">
        <v>165</v>
      </c>
      <c r="AJ368" s="96" t="s">
        <v>166</v>
      </c>
      <c r="AK368" s="27" t="s">
        <v>110</v>
      </c>
    </row>
    <row r="369" spans="1:37">
      <c r="A369" s="70">
        <v>364</v>
      </c>
      <c r="B369" s="70">
        <f t="shared" si="15"/>
        <v>0</v>
      </c>
      <c r="C369" s="71"/>
      <c r="D369" s="59" t="s">
        <v>1024</v>
      </c>
      <c r="E369" s="60">
        <v>10831</v>
      </c>
      <c r="F369" s="10" t="s">
        <v>167</v>
      </c>
      <c r="G369" s="60">
        <v>805</v>
      </c>
      <c r="H369" s="81">
        <v>431</v>
      </c>
      <c r="I369" s="86">
        <v>427</v>
      </c>
      <c r="J369" s="81">
        <v>431</v>
      </c>
      <c r="K369" s="86">
        <v>427</v>
      </c>
      <c r="L369" s="81">
        <v>348</v>
      </c>
      <c r="M369" s="86">
        <v>342</v>
      </c>
      <c r="N369" s="81">
        <v>5104</v>
      </c>
      <c r="O369" s="86">
        <v>5691</v>
      </c>
      <c r="P369" s="89">
        <f t="shared" si="16"/>
        <v>345</v>
      </c>
      <c r="Q369" s="89">
        <f t="shared" si="17"/>
        <v>5397.5</v>
      </c>
      <c r="R369" s="96" t="s">
        <v>94</v>
      </c>
      <c r="S369" s="96" t="s">
        <v>168</v>
      </c>
      <c r="T369" s="96" t="s">
        <v>94</v>
      </c>
      <c r="U369" s="96" t="s">
        <v>96</v>
      </c>
      <c r="V369" s="96" t="s">
        <v>94</v>
      </c>
      <c r="W369" s="96" t="s">
        <v>97</v>
      </c>
      <c r="X369" s="96" t="s">
        <v>169</v>
      </c>
      <c r="Y369" s="96" t="s">
        <v>112</v>
      </c>
      <c r="Z369" s="96" t="s">
        <v>113</v>
      </c>
      <c r="AA369" s="96" t="s">
        <v>170</v>
      </c>
      <c r="AB369" s="96" t="s">
        <v>171</v>
      </c>
      <c r="AC369" s="96" t="s">
        <v>172</v>
      </c>
      <c r="AD369" s="96" t="s">
        <v>173</v>
      </c>
      <c r="AE369" s="96" t="s">
        <v>174</v>
      </c>
      <c r="AF369" s="96" t="s">
        <v>175</v>
      </c>
      <c r="AG369" s="96" t="s">
        <v>176</v>
      </c>
      <c r="AH369" s="96">
        <v>372</v>
      </c>
      <c r="AI369" s="96" t="s">
        <v>177</v>
      </c>
      <c r="AJ369" s="96" t="s">
        <v>178</v>
      </c>
      <c r="AK369" s="27" t="s">
        <v>110</v>
      </c>
    </row>
    <row r="370" spans="1:37">
      <c r="A370" s="70">
        <v>365</v>
      </c>
      <c r="B370" s="70">
        <f t="shared" si="15"/>
        <v>0</v>
      </c>
      <c r="C370" s="71"/>
      <c r="D370" s="59" t="s">
        <v>1024</v>
      </c>
      <c r="E370" s="60">
        <v>12046</v>
      </c>
      <c r="F370" s="10" t="s">
        <v>156</v>
      </c>
      <c r="G370" s="60">
        <v>801</v>
      </c>
      <c r="H370" s="81">
        <v>111</v>
      </c>
      <c r="I370" s="86">
        <v>25</v>
      </c>
      <c r="J370" s="81">
        <v>111</v>
      </c>
      <c r="K370" s="86">
        <v>25</v>
      </c>
      <c r="L370" s="81">
        <v>345</v>
      </c>
      <c r="M370" s="86">
        <v>346</v>
      </c>
      <c r="N370" s="81">
        <v>5813</v>
      </c>
      <c r="O370" s="86">
        <v>5003</v>
      </c>
      <c r="P370" s="89">
        <f t="shared" si="16"/>
        <v>345.5</v>
      </c>
      <c r="Q370" s="89">
        <f t="shared" si="17"/>
        <v>5408</v>
      </c>
      <c r="R370" s="96" t="s">
        <v>94</v>
      </c>
      <c r="S370" s="96" t="s">
        <v>124</v>
      </c>
      <c r="T370" s="96" t="s">
        <v>94</v>
      </c>
      <c r="U370" s="96" t="s">
        <v>96</v>
      </c>
      <c r="V370" s="96" t="s">
        <v>94</v>
      </c>
      <c r="W370" s="96" t="s">
        <v>97</v>
      </c>
      <c r="X370" s="96" t="s">
        <v>98</v>
      </c>
      <c r="Y370" s="96" t="s">
        <v>157</v>
      </c>
      <c r="Z370" s="96" t="s">
        <v>126</v>
      </c>
      <c r="AA370" s="96" t="s">
        <v>158</v>
      </c>
      <c r="AB370" s="96" t="s">
        <v>159</v>
      </c>
      <c r="AC370" s="96" t="s">
        <v>160</v>
      </c>
      <c r="AD370" s="96" t="s">
        <v>161</v>
      </c>
      <c r="AE370" s="96" t="s">
        <v>162</v>
      </c>
      <c r="AF370" s="96" t="s">
        <v>163</v>
      </c>
      <c r="AG370" s="96" t="s">
        <v>164</v>
      </c>
      <c r="AH370" s="96">
        <v>426</v>
      </c>
      <c r="AI370" s="96" t="s">
        <v>165</v>
      </c>
      <c r="AJ370" s="96" t="s">
        <v>166</v>
      </c>
      <c r="AK370" s="27" t="s">
        <v>110</v>
      </c>
    </row>
    <row r="371" spans="1:37">
      <c r="A371" s="70">
        <v>366</v>
      </c>
      <c r="B371" s="70">
        <f t="shared" si="15"/>
        <v>0</v>
      </c>
      <c r="C371" s="71"/>
      <c r="D371" s="59" t="s">
        <v>1024</v>
      </c>
      <c r="E371" s="60">
        <v>10831</v>
      </c>
      <c r="F371" s="10" t="s">
        <v>167</v>
      </c>
      <c r="G371" s="60">
        <v>802</v>
      </c>
      <c r="H371" s="81">
        <v>36</v>
      </c>
      <c r="I371" s="86">
        <v>40</v>
      </c>
      <c r="J371" s="81">
        <v>36</v>
      </c>
      <c r="K371" s="86">
        <v>40</v>
      </c>
      <c r="L371" s="81">
        <v>348</v>
      </c>
      <c r="M371" s="86">
        <v>338</v>
      </c>
      <c r="N371" s="81">
        <v>5068</v>
      </c>
      <c r="O371" s="86">
        <v>6426</v>
      </c>
      <c r="P371" s="89">
        <f t="shared" si="16"/>
        <v>343</v>
      </c>
      <c r="Q371" s="89">
        <f t="shared" si="17"/>
        <v>5747</v>
      </c>
      <c r="R371" s="96" t="s">
        <v>94</v>
      </c>
      <c r="S371" s="96" t="s">
        <v>168</v>
      </c>
      <c r="T371" s="96" t="s">
        <v>94</v>
      </c>
      <c r="U371" s="96" t="s">
        <v>96</v>
      </c>
      <c r="V371" s="96" t="s">
        <v>94</v>
      </c>
      <c r="W371" s="96" t="s">
        <v>97</v>
      </c>
      <c r="X371" s="96" t="s">
        <v>169</v>
      </c>
      <c r="Y371" s="96" t="s">
        <v>112</v>
      </c>
      <c r="Z371" s="96" t="s">
        <v>113</v>
      </c>
      <c r="AA371" s="96" t="s">
        <v>170</v>
      </c>
      <c r="AB371" s="96" t="s">
        <v>171</v>
      </c>
      <c r="AC371" s="96" t="s">
        <v>172</v>
      </c>
      <c r="AD371" s="96" t="s">
        <v>173</v>
      </c>
      <c r="AE371" s="96" t="s">
        <v>174</v>
      </c>
      <c r="AF371" s="96" t="s">
        <v>175</v>
      </c>
      <c r="AG371" s="96" t="s">
        <v>176</v>
      </c>
      <c r="AH371" s="96">
        <v>372</v>
      </c>
      <c r="AI371" s="96" t="s">
        <v>177</v>
      </c>
      <c r="AJ371" s="96" t="s">
        <v>178</v>
      </c>
      <c r="AK371" s="27" t="s">
        <v>110</v>
      </c>
    </row>
    <row r="372" spans="1:37">
      <c r="A372" s="70">
        <v>367</v>
      </c>
      <c r="B372" s="70">
        <f t="shared" si="15"/>
        <v>0</v>
      </c>
      <c r="C372" s="71"/>
      <c r="D372" s="59" t="s">
        <v>1024</v>
      </c>
      <c r="E372" s="60">
        <v>10833</v>
      </c>
      <c r="F372" s="10" t="s">
        <v>123</v>
      </c>
      <c r="G372" s="60">
        <v>808</v>
      </c>
      <c r="H372" s="81">
        <v>110</v>
      </c>
      <c r="I372" s="86">
        <v>120</v>
      </c>
      <c r="J372" s="81">
        <v>110</v>
      </c>
      <c r="K372" s="86">
        <v>120</v>
      </c>
      <c r="L372" s="81">
        <v>344</v>
      </c>
      <c r="M372" s="86">
        <v>340</v>
      </c>
      <c r="N372" s="81">
        <v>5972</v>
      </c>
      <c r="O372" s="86">
        <v>6031</v>
      </c>
      <c r="P372" s="89">
        <f t="shared" si="16"/>
        <v>342</v>
      </c>
      <c r="Q372" s="89">
        <f t="shared" si="17"/>
        <v>6001.5</v>
      </c>
      <c r="R372" s="96" t="s">
        <v>94</v>
      </c>
      <c r="S372" s="96" t="s">
        <v>124</v>
      </c>
      <c r="T372" s="96" t="s">
        <v>94</v>
      </c>
      <c r="U372" s="96" t="s">
        <v>96</v>
      </c>
      <c r="V372" s="96" t="s">
        <v>94</v>
      </c>
      <c r="W372" s="96" t="s">
        <v>97</v>
      </c>
      <c r="X372" s="96" t="s">
        <v>98</v>
      </c>
      <c r="Y372" s="96" t="s">
        <v>125</v>
      </c>
      <c r="Z372" s="96" t="s">
        <v>126</v>
      </c>
      <c r="AA372" s="96" t="s">
        <v>127</v>
      </c>
      <c r="AB372" s="96" t="s">
        <v>128</v>
      </c>
      <c r="AC372" s="96" t="s">
        <v>129</v>
      </c>
      <c r="AD372" s="96" t="s">
        <v>130</v>
      </c>
      <c r="AE372" s="96" t="s">
        <v>131</v>
      </c>
      <c r="AF372" s="96" t="s">
        <v>132</v>
      </c>
      <c r="AG372" s="96" t="s">
        <v>110</v>
      </c>
      <c r="AH372" s="96">
        <v>369</v>
      </c>
      <c r="AI372" s="96" t="s">
        <v>133</v>
      </c>
      <c r="AJ372" s="96" t="s">
        <v>134</v>
      </c>
      <c r="AK372" s="27" t="s">
        <v>110</v>
      </c>
    </row>
    <row r="373" spans="1:37">
      <c r="A373" s="70">
        <v>368</v>
      </c>
      <c r="B373" s="70">
        <f t="shared" si="15"/>
        <v>0</v>
      </c>
      <c r="C373" s="71"/>
      <c r="D373" s="59" t="s">
        <v>1024</v>
      </c>
      <c r="E373" s="60">
        <v>12046</v>
      </c>
      <c r="F373" s="10" t="s">
        <v>156</v>
      </c>
      <c r="G373" s="60">
        <v>815</v>
      </c>
      <c r="H373" s="81">
        <v>18</v>
      </c>
      <c r="I373" s="86" t="s">
        <v>110</v>
      </c>
      <c r="J373" s="81">
        <v>18</v>
      </c>
      <c r="K373" s="86" t="s">
        <v>110</v>
      </c>
      <c r="L373" s="81">
        <v>344</v>
      </c>
      <c r="M373" s="86" t="s">
        <v>110</v>
      </c>
      <c r="N373" s="81">
        <v>6091</v>
      </c>
      <c r="O373" s="86" t="s">
        <v>110</v>
      </c>
      <c r="P373" s="89">
        <f t="shared" si="16"/>
        <v>344</v>
      </c>
      <c r="Q373" s="89">
        <f t="shared" si="17"/>
        <v>6091</v>
      </c>
      <c r="R373" s="96" t="s">
        <v>94</v>
      </c>
      <c r="S373" s="96" t="s">
        <v>124</v>
      </c>
      <c r="T373" s="96" t="s">
        <v>94</v>
      </c>
      <c r="U373" s="96" t="s">
        <v>96</v>
      </c>
      <c r="V373" s="96" t="s">
        <v>94</v>
      </c>
      <c r="W373" s="96" t="s">
        <v>97</v>
      </c>
      <c r="X373" s="96" t="s">
        <v>98</v>
      </c>
      <c r="Y373" s="96" t="s">
        <v>157</v>
      </c>
      <c r="Z373" s="96" t="s">
        <v>126</v>
      </c>
      <c r="AA373" s="96" t="s">
        <v>158</v>
      </c>
      <c r="AB373" s="96" t="s">
        <v>159</v>
      </c>
      <c r="AC373" s="96" t="s">
        <v>160</v>
      </c>
      <c r="AD373" s="96" t="s">
        <v>161</v>
      </c>
      <c r="AE373" s="96" t="s">
        <v>162</v>
      </c>
      <c r="AF373" s="96" t="s">
        <v>163</v>
      </c>
      <c r="AG373" s="96" t="s">
        <v>164</v>
      </c>
      <c r="AH373" s="96">
        <v>426</v>
      </c>
      <c r="AI373" s="96" t="s">
        <v>165</v>
      </c>
      <c r="AJ373" s="96" t="s">
        <v>166</v>
      </c>
      <c r="AK373" s="27" t="s">
        <v>110</v>
      </c>
    </row>
    <row r="374" spans="1:37">
      <c r="A374" s="70">
        <v>369</v>
      </c>
      <c r="B374" s="70">
        <f t="shared" si="15"/>
        <v>0</v>
      </c>
      <c r="C374" s="71"/>
      <c r="D374" s="59" t="s">
        <v>1024</v>
      </c>
      <c r="E374" s="60">
        <v>12046</v>
      </c>
      <c r="F374" s="10" t="s">
        <v>156</v>
      </c>
      <c r="G374" s="60">
        <v>803</v>
      </c>
      <c r="H374" s="81">
        <v>126</v>
      </c>
      <c r="I374" s="86">
        <v>15</v>
      </c>
      <c r="J374" s="81">
        <v>126</v>
      </c>
      <c r="K374" s="86">
        <v>15</v>
      </c>
      <c r="L374" s="81">
        <v>340</v>
      </c>
      <c r="M374" s="86">
        <v>344</v>
      </c>
      <c r="N374" s="81">
        <v>6937</v>
      </c>
      <c r="O374" s="86">
        <v>5275</v>
      </c>
      <c r="P374" s="89">
        <f t="shared" si="16"/>
        <v>342</v>
      </c>
      <c r="Q374" s="89">
        <f t="shared" si="17"/>
        <v>6106</v>
      </c>
      <c r="R374" s="96" t="s">
        <v>94</v>
      </c>
      <c r="S374" s="96" t="s">
        <v>124</v>
      </c>
      <c r="T374" s="96" t="s">
        <v>94</v>
      </c>
      <c r="U374" s="96" t="s">
        <v>96</v>
      </c>
      <c r="V374" s="96" t="s">
        <v>94</v>
      </c>
      <c r="W374" s="96" t="s">
        <v>97</v>
      </c>
      <c r="X374" s="96" t="s">
        <v>98</v>
      </c>
      <c r="Y374" s="96" t="s">
        <v>157</v>
      </c>
      <c r="Z374" s="96" t="s">
        <v>126</v>
      </c>
      <c r="AA374" s="96" t="s">
        <v>158</v>
      </c>
      <c r="AB374" s="96" t="s">
        <v>159</v>
      </c>
      <c r="AC374" s="96" t="s">
        <v>160</v>
      </c>
      <c r="AD374" s="96" t="s">
        <v>161</v>
      </c>
      <c r="AE374" s="96" t="s">
        <v>162</v>
      </c>
      <c r="AF374" s="96" t="s">
        <v>163</v>
      </c>
      <c r="AG374" s="96" t="s">
        <v>164</v>
      </c>
      <c r="AH374" s="96">
        <v>426</v>
      </c>
      <c r="AI374" s="96" t="s">
        <v>165</v>
      </c>
      <c r="AJ374" s="96" t="s">
        <v>166</v>
      </c>
      <c r="AK374" s="27" t="s">
        <v>110</v>
      </c>
    </row>
    <row r="375" spans="1:37">
      <c r="A375" s="70">
        <v>370</v>
      </c>
      <c r="B375" s="70">
        <f t="shared" si="15"/>
        <v>0</v>
      </c>
      <c r="C375" s="71"/>
      <c r="D375" s="59" t="s">
        <v>1024</v>
      </c>
      <c r="E375" s="60">
        <v>14845</v>
      </c>
      <c r="F375" s="10" t="s">
        <v>135</v>
      </c>
      <c r="G375" s="60">
        <v>803</v>
      </c>
      <c r="H375" s="81">
        <v>75</v>
      </c>
      <c r="I375" s="86" t="s">
        <v>110</v>
      </c>
      <c r="J375" s="81">
        <v>75</v>
      </c>
      <c r="K375" s="86" t="s">
        <v>110</v>
      </c>
      <c r="L375" s="81">
        <v>343</v>
      </c>
      <c r="M375" s="86" t="s">
        <v>110</v>
      </c>
      <c r="N375" s="81">
        <v>6212</v>
      </c>
      <c r="O375" s="86" t="s">
        <v>110</v>
      </c>
      <c r="P375" s="89">
        <f t="shared" si="16"/>
        <v>343</v>
      </c>
      <c r="Q375" s="89">
        <f t="shared" si="17"/>
        <v>6212</v>
      </c>
      <c r="R375" s="96" t="s">
        <v>94</v>
      </c>
      <c r="S375" s="96" t="s">
        <v>95</v>
      </c>
      <c r="T375" s="96" t="s">
        <v>94</v>
      </c>
      <c r="U375" s="96" t="s">
        <v>136</v>
      </c>
      <c r="V375" s="96" t="s">
        <v>94</v>
      </c>
      <c r="W375" s="96" t="s">
        <v>97</v>
      </c>
      <c r="X375" s="96" t="s">
        <v>98</v>
      </c>
      <c r="Y375" s="96" t="s">
        <v>110</v>
      </c>
      <c r="Z375" s="96" t="s">
        <v>110</v>
      </c>
      <c r="AA375" s="96" t="s">
        <v>137</v>
      </c>
      <c r="AB375" s="96" t="s">
        <v>110</v>
      </c>
      <c r="AC375" s="96" t="s">
        <v>138</v>
      </c>
      <c r="AD375" s="96" t="s">
        <v>139</v>
      </c>
      <c r="AE375" s="96" t="s">
        <v>140</v>
      </c>
      <c r="AF375" s="96" t="s">
        <v>141</v>
      </c>
      <c r="AG375" s="96" t="s">
        <v>110</v>
      </c>
      <c r="AH375" s="96">
        <v>2768</v>
      </c>
      <c r="AI375" s="96" t="s">
        <v>142</v>
      </c>
      <c r="AJ375" s="96" t="s">
        <v>143</v>
      </c>
      <c r="AK375" s="27" t="s">
        <v>110</v>
      </c>
    </row>
    <row r="376" spans="1:37">
      <c r="A376" s="70">
        <v>371</v>
      </c>
      <c r="B376" s="70">
        <f t="shared" si="15"/>
        <v>0</v>
      </c>
      <c r="C376" s="71"/>
      <c r="D376" s="59" t="s">
        <v>1024</v>
      </c>
      <c r="E376" s="60">
        <v>14845</v>
      </c>
      <c r="F376" s="10" t="s">
        <v>135</v>
      </c>
      <c r="G376" s="60">
        <v>802</v>
      </c>
      <c r="H376" s="81">
        <v>75</v>
      </c>
      <c r="I376" s="86" t="s">
        <v>110</v>
      </c>
      <c r="J376" s="81">
        <v>75</v>
      </c>
      <c r="K376" s="86" t="s">
        <v>110</v>
      </c>
      <c r="L376" s="81">
        <v>343</v>
      </c>
      <c r="M376" s="86" t="s">
        <v>110</v>
      </c>
      <c r="N376" s="81">
        <v>6252</v>
      </c>
      <c r="O376" s="86" t="s">
        <v>110</v>
      </c>
      <c r="P376" s="89">
        <f t="shared" si="16"/>
        <v>343</v>
      </c>
      <c r="Q376" s="89">
        <f t="shared" si="17"/>
        <v>6252</v>
      </c>
      <c r="R376" s="96" t="s">
        <v>94</v>
      </c>
      <c r="S376" s="96" t="s">
        <v>95</v>
      </c>
      <c r="T376" s="96" t="s">
        <v>94</v>
      </c>
      <c r="U376" s="96" t="s">
        <v>136</v>
      </c>
      <c r="V376" s="96" t="s">
        <v>94</v>
      </c>
      <c r="W376" s="96" t="s">
        <v>97</v>
      </c>
      <c r="X376" s="96" t="s">
        <v>98</v>
      </c>
      <c r="Y376" s="96" t="s">
        <v>110</v>
      </c>
      <c r="Z376" s="96" t="s">
        <v>110</v>
      </c>
      <c r="AA376" s="96" t="s">
        <v>137</v>
      </c>
      <c r="AB376" s="96" t="s">
        <v>110</v>
      </c>
      <c r="AC376" s="96" t="s">
        <v>138</v>
      </c>
      <c r="AD376" s="96" t="s">
        <v>139</v>
      </c>
      <c r="AE376" s="96" t="s">
        <v>140</v>
      </c>
      <c r="AF376" s="96" t="s">
        <v>141</v>
      </c>
      <c r="AG376" s="96" t="s">
        <v>110</v>
      </c>
      <c r="AH376" s="96">
        <v>2768</v>
      </c>
      <c r="AI376" s="96" t="s">
        <v>142</v>
      </c>
      <c r="AJ376" s="96" t="s">
        <v>143</v>
      </c>
      <c r="AK376" s="27" t="s">
        <v>110</v>
      </c>
    </row>
    <row r="377" spans="1:37">
      <c r="A377" s="70">
        <v>372</v>
      </c>
      <c r="B377" s="70">
        <f t="shared" si="15"/>
        <v>0</v>
      </c>
      <c r="C377" s="71"/>
      <c r="D377" s="59" t="s">
        <v>1024</v>
      </c>
      <c r="E377" s="60">
        <v>10833</v>
      </c>
      <c r="F377" s="10" t="s">
        <v>123</v>
      </c>
      <c r="G377" s="60">
        <v>804</v>
      </c>
      <c r="H377" s="81">
        <v>55</v>
      </c>
      <c r="I377" s="86">
        <v>180</v>
      </c>
      <c r="J377" s="81">
        <v>55</v>
      </c>
      <c r="K377" s="86">
        <v>180</v>
      </c>
      <c r="L377" s="81">
        <v>349</v>
      </c>
      <c r="M377" s="86">
        <v>332</v>
      </c>
      <c r="N377" s="81">
        <v>4882</v>
      </c>
      <c r="O377" s="86">
        <v>7637</v>
      </c>
      <c r="P377" s="89">
        <f t="shared" si="16"/>
        <v>340.5</v>
      </c>
      <c r="Q377" s="89">
        <f t="shared" si="17"/>
        <v>6259.5</v>
      </c>
      <c r="R377" s="96" t="s">
        <v>94</v>
      </c>
      <c r="S377" s="96" t="s">
        <v>124</v>
      </c>
      <c r="T377" s="96" t="s">
        <v>94</v>
      </c>
      <c r="U377" s="96" t="s">
        <v>96</v>
      </c>
      <c r="V377" s="96" t="s">
        <v>94</v>
      </c>
      <c r="W377" s="96" t="s">
        <v>97</v>
      </c>
      <c r="X377" s="96" t="s">
        <v>98</v>
      </c>
      <c r="Y377" s="96" t="s">
        <v>125</v>
      </c>
      <c r="Z377" s="96" t="s">
        <v>126</v>
      </c>
      <c r="AA377" s="96" t="s">
        <v>127</v>
      </c>
      <c r="AB377" s="96" t="s">
        <v>128</v>
      </c>
      <c r="AC377" s="96" t="s">
        <v>129</v>
      </c>
      <c r="AD377" s="96" t="s">
        <v>130</v>
      </c>
      <c r="AE377" s="96" t="s">
        <v>131</v>
      </c>
      <c r="AF377" s="96" t="s">
        <v>132</v>
      </c>
      <c r="AG377" s="96" t="s">
        <v>110</v>
      </c>
      <c r="AH377" s="96">
        <v>369</v>
      </c>
      <c r="AI377" s="96" t="s">
        <v>133</v>
      </c>
      <c r="AJ377" s="96" t="s">
        <v>134</v>
      </c>
      <c r="AK377" s="27" t="s">
        <v>110</v>
      </c>
    </row>
    <row r="378" spans="1:37">
      <c r="A378" s="70">
        <v>373</v>
      </c>
      <c r="B378" s="70">
        <f t="shared" si="15"/>
        <v>0</v>
      </c>
      <c r="C378" s="71"/>
      <c r="D378" s="59" t="s">
        <v>1024</v>
      </c>
      <c r="E378" s="60">
        <v>12046</v>
      </c>
      <c r="F378" s="10" t="s">
        <v>156</v>
      </c>
      <c r="G378" s="60">
        <v>813</v>
      </c>
      <c r="H378" s="81">
        <v>42</v>
      </c>
      <c r="I378" s="86" t="s">
        <v>110</v>
      </c>
      <c r="J378" s="81">
        <v>42</v>
      </c>
      <c r="K378" s="86" t="s">
        <v>110</v>
      </c>
      <c r="L378" s="81">
        <v>342</v>
      </c>
      <c r="M378" s="86" t="s">
        <v>110</v>
      </c>
      <c r="N378" s="81">
        <v>6430</v>
      </c>
      <c r="O378" s="86" t="s">
        <v>110</v>
      </c>
      <c r="P378" s="89">
        <f t="shared" si="16"/>
        <v>342</v>
      </c>
      <c r="Q378" s="89">
        <f t="shared" si="17"/>
        <v>6430</v>
      </c>
      <c r="R378" s="96" t="s">
        <v>94</v>
      </c>
      <c r="S378" s="96" t="s">
        <v>124</v>
      </c>
      <c r="T378" s="96" t="s">
        <v>94</v>
      </c>
      <c r="U378" s="96" t="s">
        <v>96</v>
      </c>
      <c r="V378" s="96" t="s">
        <v>94</v>
      </c>
      <c r="W378" s="96" t="s">
        <v>97</v>
      </c>
      <c r="X378" s="96" t="s">
        <v>98</v>
      </c>
      <c r="Y378" s="96" t="s">
        <v>157</v>
      </c>
      <c r="Z378" s="96" t="s">
        <v>126</v>
      </c>
      <c r="AA378" s="96" t="s">
        <v>158</v>
      </c>
      <c r="AB378" s="96" t="s">
        <v>159</v>
      </c>
      <c r="AC378" s="96" t="s">
        <v>160</v>
      </c>
      <c r="AD378" s="96" t="s">
        <v>161</v>
      </c>
      <c r="AE378" s="96" t="s">
        <v>162</v>
      </c>
      <c r="AF378" s="96" t="s">
        <v>163</v>
      </c>
      <c r="AG378" s="96" t="s">
        <v>164</v>
      </c>
      <c r="AH378" s="96">
        <v>426</v>
      </c>
      <c r="AI378" s="96" t="s">
        <v>165</v>
      </c>
      <c r="AJ378" s="96" t="s">
        <v>166</v>
      </c>
      <c r="AK378" s="27" t="s">
        <v>110</v>
      </c>
    </row>
    <row r="379" spans="1:37">
      <c r="A379" s="70">
        <v>374</v>
      </c>
      <c r="B379" s="70">
        <f t="shared" si="15"/>
        <v>0</v>
      </c>
      <c r="C379" s="71"/>
      <c r="D379" s="59" t="s">
        <v>1024</v>
      </c>
      <c r="E379" s="60">
        <v>10831</v>
      </c>
      <c r="F379" s="10" t="s">
        <v>167</v>
      </c>
      <c r="G379" s="60">
        <v>804</v>
      </c>
      <c r="H379" s="81">
        <v>6</v>
      </c>
      <c r="I379" s="86">
        <v>9</v>
      </c>
      <c r="J379" s="81">
        <v>6</v>
      </c>
      <c r="K379" s="86">
        <v>9</v>
      </c>
      <c r="L379" s="81">
        <v>344</v>
      </c>
      <c r="M379" s="86">
        <v>333</v>
      </c>
      <c r="N379" s="81">
        <v>6130</v>
      </c>
      <c r="O379" s="86">
        <v>7530</v>
      </c>
      <c r="P379" s="89">
        <f t="shared" si="16"/>
        <v>338.5</v>
      </c>
      <c r="Q379" s="89">
        <f t="shared" si="17"/>
        <v>6830</v>
      </c>
      <c r="R379" s="96" t="s">
        <v>94</v>
      </c>
      <c r="S379" s="96" t="s">
        <v>168</v>
      </c>
      <c r="T379" s="96" t="s">
        <v>94</v>
      </c>
      <c r="U379" s="96" t="s">
        <v>96</v>
      </c>
      <c r="V379" s="96" t="s">
        <v>94</v>
      </c>
      <c r="W379" s="96" t="s">
        <v>97</v>
      </c>
      <c r="X379" s="96" t="s">
        <v>169</v>
      </c>
      <c r="Y379" s="96" t="s">
        <v>112</v>
      </c>
      <c r="Z379" s="96" t="s">
        <v>113</v>
      </c>
      <c r="AA379" s="96" t="s">
        <v>170</v>
      </c>
      <c r="AB379" s="96" t="s">
        <v>171</v>
      </c>
      <c r="AC379" s="96" t="s">
        <v>172</v>
      </c>
      <c r="AD379" s="96" t="s">
        <v>173</v>
      </c>
      <c r="AE379" s="96" t="s">
        <v>174</v>
      </c>
      <c r="AF379" s="96" t="s">
        <v>175</v>
      </c>
      <c r="AG379" s="96" t="s">
        <v>176</v>
      </c>
      <c r="AH379" s="96">
        <v>372</v>
      </c>
      <c r="AI379" s="96" t="s">
        <v>177</v>
      </c>
      <c r="AJ379" s="96" t="s">
        <v>178</v>
      </c>
      <c r="AK379" s="27" t="s">
        <v>110</v>
      </c>
    </row>
    <row r="380" spans="1:37">
      <c r="A380" s="70">
        <v>375</v>
      </c>
      <c r="B380" s="70">
        <f t="shared" si="15"/>
        <v>0</v>
      </c>
      <c r="C380" s="71"/>
      <c r="D380" s="59" t="s">
        <v>1024</v>
      </c>
      <c r="E380" s="60">
        <v>12046</v>
      </c>
      <c r="F380" s="10" t="s">
        <v>156</v>
      </c>
      <c r="G380" s="60">
        <v>802</v>
      </c>
      <c r="H380" s="81">
        <v>139</v>
      </c>
      <c r="I380" s="86">
        <v>25</v>
      </c>
      <c r="J380" s="81">
        <v>139</v>
      </c>
      <c r="K380" s="86">
        <v>25</v>
      </c>
      <c r="L380" s="81">
        <v>336</v>
      </c>
      <c r="M380" s="86">
        <v>341</v>
      </c>
      <c r="N380" s="81">
        <v>8181</v>
      </c>
      <c r="O380" s="86">
        <v>5851</v>
      </c>
      <c r="P380" s="89">
        <f t="shared" si="16"/>
        <v>338.5</v>
      </c>
      <c r="Q380" s="89">
        <f t="shared" si="17"/>
        <v>7016</v>
      </c>
      <c r="R380" s="96" t="s">
        <v>94</v>
      </c>
      <c r="S380" s="96" t="s">
        <v>124</v>
      </c>
      <c r="T380" s="96" t="s">
        <v>94</v>
      </c>
      <c r="U380" s="96" t="s">
        <v>96</v>
      </c>
      <c r="V380" s="96" t="s">
        <v>94</v>
      </c>
      <c r="W380" s="96" t="s">
        <v>97</v>
      </c>
      <c r="X380" s="96" t="s">
        <v>98</v>
      </c>
      <c r="Y380" s="96" t="s">
        <v>157</v>
      </c>
      <c r="Z380" s="96" t="s">
        <v>126</v>
      </c>
      <c r="AA380" s="96" t="s">
        <v>158</v>
      </c>
      <c r="AB380" s="96" t="s">
        <v>159</v>
      </c>
      <c r="AC380" s="96" t="s">
        <v>160</v>
      </c>
      <c r="AD380" s="96" t="s">
        <v>161</v>
      </c>
      <c r="AE380" s="96" t="s">
        <v>162</v>
      </c>
      <c r="AF380" s="96" t="s">
        <v>163</v>
      </c>
      <c r="AG380" s="96" t="s">
        <v>164</v>
      </c>
      <c r="AH380" s="96">
        <v>426</v>
      </c>
      <c r="AI380" s="96" t="s">
        <v>165</v>
      </c>
      <c r="AJ380" s="96" t="s">
        <v>166</v>
      </c>
      <c r="AK380" s="27" t="s">
        <v>110</v>
      </c>
    </row>
    <row r="381" spans="1:37">
      <c r="A381" s="70">
        <v>376</v>
      </c>
      <c r="B381" s="70">
        <f t="shared" si="15"/>
        <v>0</v>
      </c>
      <c r="C381" s="71"/>
      <c r="D381" s="59" t="s">
        <v>1024</v>
      </c>
      <c r="E381" s="60">
        <v>10833</v>
      </c>
      <c r="F381" s="10" t="s">
        <v>123</v>
      </c>
      <c r="G381" s="60">
        <v>805</v>
      </c>
      <c r="H381" s="81">
        <v>110</v>
      </c>
      <c r="I381" s="86">
        <v>360</v>
      </c>
      <c r="J381" s="81">
        <v>110</v>
      </c>
      <c r="K381" s="86">
        <v>360</v>
      </c>
      <c r="L381" s="81">
        <v>341</v>
      </c>
      <c r="M381" s="86">
        <v>330</v>
      </c>
      <c r="N381" s="81">
        <v>6737</v>
      </c>
      <c r="O381" s="86">
        <v>7975</v>
      </c>
      <c r="P381" s="89">
        <f t="shared" si="16"/>
        <v>335.5</v>
      </c>
      <c r="Q381" s="89">
        <f t="shared" si="17"/>
        <v>7356</v>
      </c>
      <c r="R381" s="96" t="s">
        <v>94</v>
      </c>
      <c r="S381" s="96" t="s">
        <v>124</v>
      </c>
      <c r="T381" s="96" t="s">
        <v>94</v>
      </c>
      <c r="U381" s="96" t="s">
        <v>96</v>
      </c>
      <c r="V381" s="96" t="s">
        <v>94</v>
      </c>
      <c r="W381" s="96" t="s">
        <v>97</v>
      </c>
      <c r="X381" s="96" t="s">
        <v>98</v>
      </c>
      <c r="Y381" s="96" t="s">
        <v>125</v>
      </c>
      <c r="Z381" s="96" t="s">
        <v>126</v>
      </c>
      <c r="AA381" s="96" t="s">
        <v>127</v>
      </c>
      <c r="AB381" s="96" t="s">
        <v>128</v>
      </c>
      <c r="AC381" s="96" t="s">
        <v>129</v>
      </c>
      <c r="AD381" s="96" t="s">
        <v>130</v>
      </c>
      <c r="AE381" s="96" t="s">
        <v>131</v>
      </c>
      <c r="AF381" s="96" t="s">
        <v>132</v>
      </c>
      <c r="AG381" s="96" t="s">
        <v>110</v>
      </c>
      <c r="AH381" s="96">
        <v>369</v>
      </c>
      <c r="AI381" s="96" t="s">
        <v>133</v>
      </c>
      <c r="AJ381" s="96" t="s">
        <v>134</v>
      </c>
      <c r="AK381" s="27" t="s">
        <v>110</v>
      </c>
    </row>
    <row r="382" spans="1:37">
      <c r="A382" s="70">
        <v>377</v>
      </c>
      <c r="B382" s="70">
        <f t="shared" si="15"/>
        <v>0</v>
      </c>
      <c r="C382" s="71"/>
      <c r="D382" s="59" t="s">
        <v>1024</v>
      </c>
      <c r="E382" s="60">
        <v>10833</v>
      </c>
      <c r="F382" s="10" t="s">
        <v>123</v>
      </c>
      <c r="G382" s="60">
        <v>806</v>
      </c>
      <c r="H382" s="81">
        <v>275</v>
      </c>
      <c r="I382" s="86">
        <v>180</v>
      </c>
      <c r="J382" s="81">
        <v>275</v>
      </c>
      <c r="K382" s="86">
        <v>180</v>
      </c>
      <c r="L382" s="81">
        <v>337</v>
      </c>
      <c r="M382" s="86">
        <v>334</v>
      </c>
      <c r="N382" s="81">
        <v>7875</v>
      </c>
      <c r="O382" s="86">
        <v>7271</v>
      </c>
      <c r="P382" s="89">
        <f t="shared" si="16"/>
        <v>335.5</v>
      </c>
      <c r="Q382" s="89">
        <f t="shared" si="17"/>
        <v>7573</v>
      </c>
      <c r="R382" s="96" t="s">
        <v>94</v>
      </c>
      <c r="S382" s="96" t="s">
        <v>124</v>
      </c>
      <c r="T382" s="96" t="s">
        <v>94</v>
      </c>
      <c r="U382" s="96" t="s">
        <v>96</v>
      </c>
      <c r="V382" s="96" t="s">
        <v>94</v>
      </c>
      <c r="W382" s="96" t="s">
        <v>97</v>
      </c>
      <c r="X382" s="96" t="s">
        <v>98</v>
      </c>
      <c r="Y382" s="96" t="s">
        <v>125</v>
      </c>
      <c r="Z382" s="96" t="s">
        <v>126</v>
      </c>
      <c r="AA382" s="96" t="s">
        <v>127</v>
      </c>
      <c r="AB382" s="96" t="s">
        <v>128</v>
      </c>
      <c r="AC382" s="96" t="s">
        <v>129</v>
      </c>
      <c r="AD382" s="96" t="s">
        <v>130</v>
      </c>
      <c r="AE382" s="96" t="s">
        <v>131</v>
      </c>
      <c r="AF382" s="96" t="s">
        <v>132</v>
      </c>
      <c r="AG382" s="96" t="s">
        <v>110</v>
      </c>
      <c r="AH382" s="96">
        <v>369</v>
      </c>
      <c r="AI382" s="96" t="s">
        <v>133</v>
      </c>
      <c r="AJ382" s="96" t="s">
        <v>134</v>
      </c>
      <c r="AK382" s="27" t="s">
        <v>110</v>
      </c>
    </row>
    <row r="383" spans="1:37">
      <c r="A383" s="70">
        <v>378</v>
      </c>
      <c r="B383" s="70">
        <f t="shared" si="15"/>
        <v>0</v>
      </c>
      <c r="C383" s="71"/>
      <c r="D383" s="59" t="s">
        <v>1024</v>
      </c>
      <c r="E383" s="60">
        <v>10833</v>
      </c>
      <c r="F383" s="10" t="s">
        <v>123</v>
      </c>
      <c r="G383" s="60">
        <v>809</v>
      </c>
      <c r="H383" s="81">
        <v>398</v>
      </c>
      <c r="I383" s="86">
        <v>456</v>
      </c>
      <c r="J383" s="81">
        <v>398</v>
      </c>
      <c r="K383" s="86">
        <v>456</v>
      </c>
      <c r="L383" s="81">
        <v>336</v>
      </c>
      <c r="M383" s="86">
        <v>334</v>
      </c>
      <c r="N383" s="81">
        <v>8188</v>
      </c>
      <c r="O383" s="86">
        <v>7255</v>
      </c>
      <c r="P383" s="89">
        <f t="shared" si="16"/>
        <v>335</v>
      </c>
      <c r="Q383" s="89">
        <f t="shared" si="17"/>
        <v>7721.5</v>
      </c>
      <c r="R383" s="96" t="s">
        <v>94</v>
      </c>
      <c r="S383" s="96" t="s">
        <v>124</v>
      </c>
      <c r="T383" s="96" t="s">
        <v>94</v>
      </c>
      <c r="U383" s="96" t="s">
        <v>96</v>
      </c>
      <c r="V383" s="96" t="s">
        <v>94</v>
      </c>
      <c r="W383" s="96" t="s">
        <v>97</v>
      </c>
      <c r="X383" s="96" t="s">
        <v>98</v>
      </c>
      <c r="Y383" s="96" t="s">
        <v>125</v>
      </c>
      <c r="Z383" s="96" t="s">
        <v>126</v>
      </c>
      <c r="AA383" s="96" t="s">
        <v>127</v>
      </c>
      <c r="AB383" s="96" t="s">
        <v>128</v>
      </c>
      <c r="AC383" s="96" t="s">
        <v>129</v>
      </c>
      <c r="AD383" s="96" t="s">
        <v>130</v>
      </c>
      <c r="AE383" s="96" t="s">
        <v>131</v>
      </c>
      <c r="AF383" s="96" t="s">
        <v>132</v>
      </c>
      <c r="AG383" s="96" t="s">
        <v>110</v>
      </c>
      <c r="AH383" s="96">
        <v>369</v>
      </c>
      <c r="AI383" s="96" t="s">
        <v>133</v>
      </c>
      <c r="AJ383" s="96" t="s">
        <v>134</v>
      </c>
      <c r="AK383" s="27" t="s">
        <v>110</v>
      </c>
    </row>
    <row r="384" spans="1:37">
      <c r="A384" s="70">
        <v>379</v>
      </c>
      <c r="B384" s="70">
        <f t="shared" si="15"/>
        <v>0</v>
      </c>
      <c r="C384" s="71"/>
      <c r="D384" s="59" t="s">
        <v>1024</v>
      </c>
      <c r="E384" s="60">
        <v>12046</v>
      </c>
      <c r="F384" s="10" t="s">
        <v>156</v>
      </c>
      <c r="G384" s="60">
        <v>804</v>
      </c>
      <c r="H384" s="81">
        <v>130</v>
      </c>
      <c r="I384" s="86">
        <v>20</v>
      </c>
      <c r="J384" s="81">
        <v>130</v>
      </c>
      <c r="K384" s="86">
        <v>20</v>
      </c>
      <c r="L384" s="81">
        <v>328</v>
      </c>
      <c r="M384" s="86">
        <v>341</v>
      </c>
      <c r="N384" s="81">
        <v>10314</v>
      </c>
      <c r="O384" s="86">
        <v>5913</v>
      </c>
      <c r="P384" s="89">
        <f t="shared" si="16"/>
        <v>334.5</v>
      </c>
      <c r="Q384" s="89">
        <f t="shared" si="17"/>
        <v>8113.5</v>
      </c>
      <c r="R384" s="96" t="s">
        <v>94</v>
      </c>
      <c r="S384" s="96" t="s">
        <v>124</v>
      </c>
      <c r="T384" s="96" t="s">
        <v>94</v>
      </c>
      <c r="U384" s="96" t="s">
        <v>96</v>
      </c>
      <c r="V384" s="96" t="s">
        <v>94</v>
      </c>
      <c r="W384" s="96" t="s">
        <v>97</v>
      </c>
      <c r="X384" s="96" t="s">
        <v>98</v>
      </c>
      <c r="Y384" s="96" t="s">
        <v>157</v>
      </c>
      <c r="Z384" s="96" t="s">
        <v>126</v>
      </c>
      <c r="AA384" s="96" t="s">
        <v>158</v>
      </c>
      <c r="AB384" s="96" t="s">
        <v>159</v>
      </c>
      <c r="AC384" s="96" t="s">
        <v>160</v>
      </c>
      <c r="AD384" s="96" t="s">
        <v>161</v>
      </c>
      <c r="AE384" s="96" t="s">
        <v>162</v>
      </c>
      <c r="AF384" s="96" t="s">
        <v>163</v>
      </c>
      <c r="AG384" s="96" t="s">
        <v>164</v>
      </c>
      <c r="AH384" s="96">
        <v>426</v>
      </c>
      <c r="AI384" s="96" t="s">
        <v>165</v>
      </c>
      <c r="AJ384" s="96" t="s">
        <v>166</v>
      </c>
      <c r="AK384" s="27" t="s">
        <v>110</v>
      </c>
    </row>
    <row r="385" spans="1:37">
      <c r="A385" s="70">
        <v>380</v>
      </c>
      <c r="B385" s="70">
        <f t="shared" si="15"/>
        <v>0</v>
      </c>
      <c r="C385" s="71"/>
      <c r="D385" s="59" t="s">
        <v>1024</v>
      </c>
      <c r="E385" s="60">
        <v>13711</v>
      </c>
      <c r="F385" s="10" t="s">
        <v>236</v>
      </c>
      <c r="G385" s="60">
        <v>807</v>
      </c>
      <c r="H385" s="81">
        <v>9</v>
      </c>
      <c r="I385" s="86">
        <v>8</v>
      </c>
      <c r="J385" s="81">
        <v>9</v>
      </c>
      <c r="K385" s="86">
        <v>8</v>
      </c>
      <c r="L385" s="81">
        <v>332</v>
      </c>
      <c r="M385" s="86">
        <v>330</v>
      </c>
      <c r="N385" s="81">
        <v>9312</v>
      </c>
      <c r="O385" s="86">
        <v>8136</v>
      </c>
      <c r="P385" s="89">
        <f t="shared" si="16"/>
        <v>331</v>
      </c>
      <c r="Q385" s="89">
        <f t="shared" si="17"/>
        <v>8724</v>
      </c>
      <c r="R385" s="96" t="s">
        <v>94</v>
      </c>
      <c r="S385" s="96" t="s">
        <v>237</v>
      </c>
      <c r="T385" s="96" t="s">
        <v>94</v>
      </c>
      <c r="U385" s="96" t="s">
        <v>136</v>
      </c>
      <c r="V385" s="96" t="s">
        <v>94</v>
      </c>
      <c r="W385" s="96" t="s">
        <v>97</v>
      </c>
      <c r="X385" s="96" t="s">
        <v>147</v>
      </c>
      <c r="Y385" s="96" t="s">
        <v>110</v>
      </c>
      <c r="Z385" s="96" t="s">
        <v>110</v>
      </c>
      <c r="AA385" s="96" t="s">
        <v>238</v>
      </c>
      <c r="AB385" s="96" t="s">
        <v>239</v>
      </c>
      <c r="AC385" s="96" t="s">
        <v>240</v>
      </c>
      <c r="AD385" s="96" t="s">
        <v>241</v>
      </c>
      <c r="AE385" s="96" t="s">
        <v>242</v>
      </c>
      <c r="AF385" s="96" t="s">
        <v>243</v>
      </c>
      <c r="AG385" s="96" t="s">
        <v>110</v>
      </c>
      <c r="AH385" s="96">
        <v>1606</v>
      </c>
      <c r="AI385" s="96" t="s">
        <v>244</v>
      </c>
      <c r="AJ385" s="96" t="s">
        <v>245</v>
      </c>
      <c r="AK385" s="27" t="s">
        <v>110</v>
      </c>
    </row>
    <row r="386" spans="1:37">
      <c r="A386" s="70">
        <v>381</v>
      </c>
      <c r="B386" s="70">
        <f t="shared" si="15"/>
        <v>0</v>
      </c>
      <c r="C386" s="71"/>
      <c r="D386" s="59" t="s">
        <v>1024</v>
      </c>
      <c r="E386" s="60">
        <v>12327</v>
      </c>
      <c r="F386" s="10" t="s">
        <v>203</v>
      </c>
      <c r="G386" s="60">
        <v>801</v>
      </c>
      <c r="H386" s="81">
        <v>110</v>
      </c>
      <c r="I386" s="86">
        <v>45</v>
      </c>
      <c r="J386" s="81">
        <v>110</v>
      </c>
      <c r="K386" s="86">
        <v>45</v>
      </c>
      <c r="L386" s="81">
        <v>336</v>
      </c>
      <c r="M386" s="86">
        <v>324</v>
      </c>
      <c r="N386" s="81">
        <v>8095</v>
      </c>
      <c r="O386" s="86">
        <v>9369</v>
      </c>
      <c r="P386" s="89">
        <f t="shared" si="16"/>
        <v>330</v>
      </c>
      <c r="Q386" s="89">
        <f t="shared" si="17"/>
        <v>8732</v>
      </c>
      <c r="R386" s="96" t="s">
        <v>94</v>
      </c>
      <c r="S386" s="96" t="s">
        <v>168</v>
      </c>
      <c r="T386" s="96" t="s">
        <v>94</v>
      </c>
      <c r="U386" s="96" t="s">
        <v>136</v>
      </c>
      <c r="V386" s="96" t="s">
        <v>94</v>
      </c>
      <c r="W386" s="96" t="s">
        <v>97</v>
      </c>
      <c r="X386" s="96" t="s">
        <v>169</v>
      </c>
      <c r="Y386" s="96" t="s">
        <v>110</v>
      </c>
      <c r="Z386" s="96" t="s">
        <v>148</v>
      </c>
      <c r="AA386" s="96" t="s">
        <v>204</v>
      </c>
      <c r="AB386" s="96" t="s">
        <v>205</v>
      </c>
      <c r="AC386" s="96" t="s">
        <v>206</v>
      </c>
      <c r="AD386" s="96" t="s">
        <v>207</v>
      </c>
      <c r="AE386" s="96" t="s">
        <v>208</v>
      </c>
      <c r="AF386" s="96" t="s">
        <v>209</v>
      </c>
      <c r="AG386" s="96" t="s">
        <v>110</v>
      </c>
      <c r="AH386" s="96">
        <v>2329</v>
      </c>
      <c r="AI386" s="96" t="s">
        <v>210</v>
      </c>
      <c r="AJ386" s="96" t="s">
        <v>211</v>
      </c>
      <c r="AK386" s="27" t="s">
        <v>110</v>
      </c>
    </row>
    <row r="387" spans="1:37">
      <c r="A387" s="70">
        <v>382</v>
      </c>
      <c r="B387" s="70">
        <f t="shared" si="15"/>
        <v>0</v>
      </c>
      <c r="C387" s="71"/>
      <c r="D387" s="59" t="s">
        <v>1024</v>
      </c>
      <c r="E387" s="60">
        <v>12046</v>
      </c>
      <c r="F387" s="10" t="s">
        <v>156</v>
      </c>
      <c r="G387" s="60">
        <v>811</v>
      </c>
      <c r="H387" s="81">
        <v>82</v>
      </c>
      <c r="I387" s="86">
        <v>30</v>
      </c>
      <c r="J387" s="81">
        <v>82</v>
      </c>
      <c r="K387" s="86">
        <v>30</v>
      </c>
      <c r="L387" s="81">
        <v>331</v>
      </c>
      <c r="M387" s="86">
        <v>327</v>
      </c>
      <c r="N387" s="81">
        <v>9468</v>
      </c>
      <c r="O387" s="86">
        <v>8740</v>
      </c>
      <c r="P387" s="89">
        <f t="shared" si="16"/>
        <v>329</v>
      </c>
      <c r="Q387" s="89">
        <f t="shared" si="17"/>
        <v>9104</v>
      </c>
      <c r="R387" s="96" t="s">
        <v>94</v>
      </c>
      <c r="S387" s="96" t="s">
        <v>124</v>
      </c>
      <c r="T387" s="96" t="s">
        <v>94</v>
      </c>
      <c r="U387" s="96" t="s">
        <v>96</v>
      </c>
      <c r="V387" s="96" t="s">
        <v>94</v>
      </c>
      <c r="W387" s="96" t="s">
        <v>97</v>
      </c>
      <c r="X387" s="96" t="s">
        <v>98</v>
      </c>
      <c r="Y387" s="96" t="s">
        <v>157</v>
      </c>
      <c r="Z387" s="96" t="s">
        <v>126</v>
      </c>
      <c r="AA387" s="96" t="s">
        <v>158</v>
      </c>
      <c r="AB387" s="96" t="s">
        <v>159</v>
      </c>
      <c r="AC387" s="96" t="s">
        <v>160</v>
      </c>
      <c r="AD387" s="96" t="s">
        <v>161</v>
      </c>
      <c r="AE387" s="96" t="s">
        <v>162</v>
      </c>
      <c r="AF387" s="96" t="s">
        <v>163</v>
      </c>
      <c r="AG387" s="96" t="s">
        <v>164</v>
      </c>
      <c r="AH387" s="96">
        <v>426</v>
      </c>
      <c r="AI387" s="96" t="s">
        <v>165</v>
      </c>
      <c r="AJ387" s="96" t="s">
        <v>166</v>
      </c>
      <c r="AK387" s="27" t="s">
        <v>110</v>
      </c>
    </row>
    <row r="388" spans="1:37">
      <c r="A388" s="70">
        <v>383</v>
      </c>
      <c r="B388" s="70">
        <f t="shared" si="15"/>
        <v>0</v>
      </c>
      <c r="C388" s="71"/>
      <c r="D388" s="59" t="s">
        <v>1024</v>
      </c>
      <c r="E388" s="60">
        <v>12572</v>
      </c>
      <c r="F388" s="10" t="s">
        <v>191</v>
      </c>
      <c r="G388" s="60">
        <v>810</v>
      </c>
      <c r="H388" s="81">
        <v>50</v>
      </c>
      <c r="I388" s="86">
        <v>85</v>
      </c>
      <c r="J388" s="81">
        <v>50</v>
      </c>
      <c r="K388" s="86">
        <v>85</v>
      </c>
      <c r="L388" s="81">
        <v>335</v>
      </c>
      <c r="M388" s="86">
        <v>320</v>
      </c>
      <c r="N388" s="81">
        <v>8476</v>
      </c>
      <c r="O388" s="86">
        <v>10266</v>
      </c>
      <c r="P388" s="89">
        <f t="shared" si="16"/>
        <v>327.5</v>
      </c>
      <c r="Q388" s="89">
        <f t="shared" si="17"/>
        <v>9371</v>
      </c>
      <c r="R388" s="96" t="s">
        <v>94</v>
      </c>
      <c r="S388" s="96" t="s">
        <v>124</v>
      </c>
      <c r="T388" s="96" t="s">
        <v>94</v>
      </c>
      <c r="U388" s="96" t="s">
        <v>136</v>
      </c>
      <c r="V388" s="96" t="s">
        <v>94</v>
      </c>
      <c r="W388" s="96" t="s">
        <v>97</v>
      </c>
      <c r="X388" s="96" t="s">
        <v>98</v>
      </c>
      <c r="Y388" s="96" t="s">
        <v>192</v>
      </c>
      <c r="Z388" s="96" t="s">
        <v>193</v>
      </c>
      <c r="AA388" s="96" t="s">
        <v>194</v>
      </c>
      <c r="AB388" s="96" t="s">
        <v>195</v>
      </c>
      <c r="AC388" s="96" t="s">
        <v>196</v>
      </c>
      <c r="AD388" s="96" t="s">
        <v>197</v>
      </c>
      <c r="AE388" s="96" t="s">
        <v>198</v>
      </c>
      <c r="AF388" s="96" t="s">
        <v>199</v>
      </c>
      <c r="AG388" s="96" t="s">
        <v>200</v>
      </c>
      <c r="AH388" s="96">
        <v>1329</v>
      </c>
      <c r="AI388" s="96" t="s">
        <v>201</v>
      </c>
      <c r="AJ388" s="96" t="s">
        <v>202</v>
      </c>
      <c r="AK388" s="27" t="s">
        <v>110</v>
      </c>
    </row>
    <row r="389" spans="1:37">
      <c r="A389" s="70">
        <v>384</v>
      </c>
      <c r="B389" s="70">
        <f t="shared" si="15"/>
        <v>0</v>
      </c>
      <c r="C389" s="71"/>
      <c r="D389" s="59" t="s">
        <v>1024</v>
      </c>
      <c r="E389" s="60">
        <v>14263</v>
      </c>
      <c r="F389" s="10" t="s">
        <v>254</v>
      </c>
      <c r="G389" s="60">
        <v>807</v>
      </c>
      <c r="H389" s="81">
        <v>5</v>
      </c>
      <c r="I389" s="86">
        <v>40</v>
      </c>
      <c r="J389" s="81">
        <v>5</v>
      </c>
      <c r="K389" s="86">
        <v>40</v>
      </c>
      <c r="L389" s="81">
        <v>335</v>
      </c>
      <c r="M389" s="86">
        <v>319</v>
      </c>
      <c r="N389" s="81">
        <v>8391</v>
      </c>
      <c r="O389" s="86">
        <v>10610</v>
      </c>
      <c r="P389" s="89">
        <f t="shared" si="16"/>
        <v>327</v>
      </c>
      <c r="Q389" s="89">
        <f t="shared" si="17"/>
        <v>9500.5</v>
      </c>
      <c r="R389" s="96" t="s">
        <v>94</v>
      </c>
      <c r="S389" s="96" t="s">
        <v>255</v>
      </c>
      <c r="T389" s="96" t="s">
        <v>94</v>
      </c>
      <c r="U389" s="96" t="s">
        <v>136</v>
      </c>
      <c r="V389" s="96" t="s">
        <v>94</v>
      </c>
      <c r="W389" s="96" t="s">
        <v>97</v>
      </c>
      <c r="X389" s="96" t="s">
        <v>169</v>
      </c>
      <c r="Y389" s="96" t="s">
        <v>256</v>
      </c>
      <c r="Z389" s="96" t="s">
        <v>257</v>
      </c>
      <c r="AA389" s="96" t="s">
        <v>258</v>
      </c>
      <c r="AB389" s="96" t="s">
        <v>259</v>
      </c>
      <c r="AC389" s="96" t="s">
        <v>260</v>
      </c>
      <c r="AD389" s="96" t="s">
        <v>261</v>
      </c>
      <c r="AE389" s="96" t="s">
        <v>262</v>
      </c>
      <c r="AF389" s="96" t="s">
        <v>263</v>
      </c>
      <c r="AG389" s="96" t="s">
        <v>264</v>
      </c>
      <c r="AH389" s="96">
        <v>1642</v>
      </c>
      <c r="AI389" s="96" t="s">
        <v>265</v>
      </c>
      <c r="AJ389" s="96" t="s">
        <v>266</v>
      </c>
      <c r="AK389" s="27" t="s">
        <v>110</v>
      </c>
    </row>
    <row r="390" spans="1:37">
      <c r="A390" s="70">
        <v>385</v>
      </c>
      <c r="B390" s="70">
        <f t="shared" ref="B390:B453" si="18">C390</f>
        <v>0</v>
      </c>
      <c r="C390" s="71"/>
      <c r="D390" s="59" t="s">
        <v>1024</v>
      </c>
      <c r="E390" s="60">
        <v>12572</v>
      </c>
      <c r="F390" s="10" t="s">
        <v>191</v>
      </c>
      <c r="G390" s="60">
        <v>803</v>
      </c>
      <c r="H390" s="81">
        <v>299</v>
      </c>
      <c r="I390" s="86">
        <v>289</v>
      </c>
      <c r="J390" s="81">
        <v>299</v>
      </c>
      <c r="K390" s="86">
        <v>289</v>
      </c>
      <c r="L390" s="81">
        <v>331</v>
      </c>
      <c r="M390" s="86">
        <v>322</v>
      </c>
      <c r="N390" s="81">
        <v>9556</v>
      </c>
      <c r="O390" s="86">
        <v>9865</v>
      </c>
      <c r="P390" s="89">
        <f t="shared" si="16"/>
        <v>326.5</v>
      </c>
      <c r="Q390" s="89">
        <f t="shared" si="17"/>
        <v>9710.5</v>
      </c>
      <c r="R390" s="96" t="s">
        <v>94</v>
      </c>
      <c r="S390" s="96" t="s">
        <v>124</v>
      </c>
      <c r="T390" s="96" t="s">
        <v>94</v>
      </c>
      <c r="U390" s="96" t="s">
        <v>136</v>
      </c>
      <c r="V390" s="96" t="s">
        <v>94</v>
      </c>
      <c r="W390" s="96" t="s">
        <v>97</v>
      </c>
      <c r="X390" s="96" t="s">
        <v>98</v>
      </c>
      <c r="Y390" s="96" t="s">
        <v>192</v>
      </c>
      <c r="Z390" s="96" t="s">
        <v>193</v>
      </c>
      <c r="AA390" s="96" t="s">
        <v>194</v>
      </c>
      <c r="AB390" s="96" t="s">
        <v>195</v>
      </c>
      <c r="AC390" s="96" t="s">
        <v>196</v>
      </c>
      <c r="AD390" s="96" t="s">
        <v>197</v>
      </c>
      <c r="AE390" s="96" t="s">
        <v>198</v>
      </c>
      <c r="AF390" s="96" t="s">
        <v>199</v>
      </c>
      <c r="AG390" s="96" t="s">
        <v>200</v>
      </c>
      <c r="AH390" s="96">
        <v>1329</v>
      </c>
      <c r="AI390" s="96" t="s">
        <v>201</v>
      </c>
      <c r="AJ390" s="96" t="s">
        <v>202</v>
      </c>
      <c r="AK390" s="27" t="s">
        <v>110</v>
      </c>
    </row>
    <row r="391" spans="1:37">
      <c r="A391" s="70">
        <v>386</v>
      </c>
      <c r="B391" s="70">
        <f t="shared" si="18"/>
        <v>0</v>
      </c>
      <c r="C391" s="71"/>
      <c r="D391" s="59" t="s">
        <v>1024</v>
      </c>
      <c r="E391" s="60">
        <v>12327</v>
      </c>
      <c r="F391" s="10" t="s">
        <v>203</v>
      </c>
      <c r="G391" s="60">
        <v>804</v>
      </c>
      <c r="H391" s="81">
        <v>113</v>
      </c>
      <c r="I391" s="86">
        <v>45</v>
      </c>
      <c r="J391" s="81">
        <v>113</v>
      </c>
      <c r="K391" s="86">
        <v>45</v>
      </c>
      <c r="L391" s="81">
        <v>329</v>
      </c>
      <c r="M391" s="86">
        <v>321</v>
      </c>
      <c r="N391" s="81">
        <v>10011</v>
      </c>
      <c r="O391" s="86">
        <v>10172</v>
      </c>
      <c r="P391" s="89">
        <f t="shared" ref="P391:P454" si="19">IFERROR(AVERAGE(L391:M391),"/")</f>
        <v>325</v>
      </c>
      <c r="Q391" s="89">
        <f t="shared" ref="Q391:Q454" si="20">IFERROR(AVERAGE(N391:O391),"/")</f>
        <v>10091.5</v>
      </c>
      <c r="R391" s="96" t="s">
        <v>94</v>
      </c>
      <c r="S391" s="96" t="s">
        <v>168</v>
      </c>
      <c r="T391" s="96" t="s">
        <v>94</v>
      </c>
      <c r="U391" s="96" t="s">
        <v>136</v>
      </c>
      <c r="V391" s="96" t="s">
        <v>94</v>
      </c>
      <c r="W391" s="96" t="s">
        <v>97</v>
      </c>
      <c r="X391" s="96" t="s">
        <v>169</v>
      </c>
      <c r="Y391" s="96" t="s">
        <v>110</v>
      </c>
      <c r="Z391" s="96" t="s">
        <v>148</v>
      </c>
      <c r="AA391" s="96" t="s">
        <v>204</v>
      </c>
      <c r="AB391" s="96" t="s">
        <v>205</v>
      </c>
      <c r="AC391" s="96" t="s">
        <v>206</v>
      </c>
      <c r="AD391" s="96" t="s">
        <v>207</v>
      </c>
      <c r="AE391" s="96" t="s">
        <v>208</v>
      </c>
      <c r="AF391" s="96" t="s">
        <v>209</v>
      </c>
      <c r="AG391" s="96" t="s">
        <v>110</v>
      </c>
      <c r="AH391" s="96">
        <v>2329</v>
      </c>
      <c r="AI391" s="96" t="s">
        <v>210</v>
      </c>
      <c r="AJ391" s="96" t="s">
        <v>211</v>
      </c>
      <c r="AK391" s="27" t="s">
        <v>110</v>
      </c>
    </row>
    <row r="392" spans="1:37">
      <c r="A392" s="70">
        <v>387</v>
      </c>
      <c r="B392" s="70">
        <f t="shared" si="18"/>
        <v>0</v>
      </c>
      <c r="C392" s="71"/>
      <c r="D392" s="59" t="s">
        <v>1024</v>
      </c>
      <c r="E392" s="60">
        <v>12046</v>
      </c>
      <c r="F392" s="10" t="s">
        <v>156</v>
      </c>
      <c r="G392" s="60">
        <v>814</v>
      </c>
      <c r="H392" s="81">
        <v>47</v>
      </c>
      <c r="I392" s="86" t="s">
        <v>110</v>
      </c>
      <c r="J392" s="81">
        <v>47</v>
      </c>
      <c r="K392" s="86" t="s">
        <v>110</v>
      </c>
      <c r="L392" s="81">
        <v>328</v>
      </c>
      <c r="M392" s="86" t="s">
        <v>110</v>
      </c>
      <c r="N392" s="81">
        <v>10414</v>
      </c>
      <c r="O392" s="86" t="s">
        <v>110</v>
      </c>
      <c r="P392" s="89">
        <f t="shared" si="19"/>
        <v>328</v>
      </c>
      <c r="Q392" s="89">
        <f t="shared" si="20"/>
        <v>10414</v>
      </c>
      <c r="R392" s="96" t="s">
        <v>94</v>
      </c>
      <c r="S392" s="96" t="s">
        <v>124</v>
      </c>
      <c r="T392" s="96" t="s">
        <v>94</v>
      </c>
      <c r="U392" s="96" t="s">
        <v>96</v>
      </c>
      <c r="V392" s="96" t="s">
        <v>94</v>
      </c>
      <c r="W392" s="96" t="s">
        <v>97</v>
      </c>
      <c r="X392" s="96" t="s">
        <v>98</v>
      </c>
      <c r="Y392" s="96" t="s">
        <v>157</v>
      </c>
      <c r="Z392" s="96" t="s">
        <v>126</v>
      </c>
      <c r="AA392" s="96" t="s">
        <v>158</v>
      </c>
      <c r="AB392" s="96" t="s">
        <v>159</v>
      </c>
      <c r="AC392" s="96" t="s">
        <v>160</v>
      </c>
      <c r="AD392" s="96" t="s">
        <v>161</v>
      </c>
      <c r="AE392" s="96" t="s">
        <v>162</v>
      </c>
      <c r="AF392" s="96" t="s">
        <v>163</v>
      </c>
      <c r="AG392" s="96" t="s">
        <v>164</v>
      </c>
      <c r="AH392" s="96">
        <v>426</v>
      </c>
      <c r="AI392" s="96" t="s">
        <v>165</v>
      </c>
      <c r="AJ392" s="96" t="s">
        <v>166</v>
      </c>
      <c r="AK392" s="27" t="s">
        <v>110</v>
      </c>
    </row>
    <row r="393" spans="1:37">
      <c r="A393" s="70">
        <v>388</v>
      </c>
      <c r="B393" s="70">
        <f t="shared" si="18"/>
        <v>0</v>
      </c>
      <c r="C393" s="71"/>
      <c r="D393" s="59" t="s">
        <v>1024</v>
      </c>
      <c r="E393" s="60">
        <v>12327</v>
      </c>
      <c r="F393" s="10" t="s">
        <v>203</v>
      </c>
      <c r="G393" s="60">
        <v>805</v>
      </c>
      <c r="H393" s="81">
        <v>55</v>
      </c>
      <c r="I393" s="86">
        <v>100</v>
      </c>
      <c r="J393" s="81">
        <v>55</v>
      </c>
      <c r="K393" s="86">
        <v>100</v>
      </c>
      <c r="L393" s="81">
        <v>331</v>
      </c>
      <c r="M393" s="86">
        <v>315</v>
      </c>
      <c r="N393" s="81">
        <v>9362</v>
      </c>
      <c r="O393" s="86">
        <v>11548</v>
      </c>
      <c r="P393" s="89">
        <f t="shared" si="19"/>
        <v>323</v>
      </c>
      <c r="Q393" s="89">
        <f t="shared" si="20"/>
        <v>10455</v>
      </c>
      <c r="R393" s="96" t="s">
        <v>94</v>
      </c>
      <c r="S393" s="96" t="s">
        <v>168</v>
      </c>
      <c r="T393" s="96" t="s">
        <v>94</v>
      </c>
      <c r="U393" s="96" t="s">
        <v>136</v>
      </c>
      <c r="V393" s="96" t="s">
        <v>94</v>
      </c>
      <c r="W393" s="96" t="s">
        <v>97</v>
      </c>
      <c r="X393" s="96" t="s">
        <v>169</v>
      </c>
      <c r="Y393" s="96" t="s">
        <v>110</v>
      </c>
      <c r="Z393" s="96" t="s">
        <v>148</v>
      </c>
      <c r="AA393" s="96" t="s">
        <v>204</v>
      </c>
      <c r="AB393" s="96" t="s">
        <v>205</v>
      </c>
      <c r="AC393" s="96" t="s">
        <v>206</v>
      </c>
      <c r="AD393" s="96" t="s">
        <v>207</v>
      </c>
      <c r="AE393" s="96" t="s">
        <v>208</v>
      </c>
      <c r="AF393" s="96" t="s">
        <v>209</v>
      </c>
      <c r="AG393" s="96" t="s">
        <v>110</v>
      </c>
      <c r="AH393" s="96">
        <v>2329</v>
      </c>
      <c r="AI393" s="96" t="s">
        <v>210</v>
      </c>
      <c r="AJ393" s="96" t="s">
        <v>211</v>
      </c>
      <c r="AK393" s="27" t="s">
        <v>110</v>
      </c>
    </row>
    <row r="394" spans="1:37">
      <c r="A394" s="70">
        <v>389</v>
      </c>
      <c r="B394" s="70">
        <f t="shared" si="18"/>
        <v>0</v>
      </c>
      <c r="C394" s="71"/>
      <c r="D394" s="59" t="s">
        <v>1024</v>
      </c>
      <c r="E394" s="60">
        <v>12572</v>
      </c>
      <c r="F394" s="10" t="s">
        <v>191</v>
      </c>
      <c r="G394" s="60">
        <v>801</v>
      </c>
      <c r="H394" s="81">
        <v>321</v>
      </c>
      <c r="I394" s="86">
        <v>376</v>
      </c>
      <c r="J394" s="81">
        <v>321</v>
      </c>
      <c r="K394" s="86">
        <v>376</v>
      </c>
      <c r="L394" s="81">
        <v>330</v>
      </c>
      <c r="M394" s="86">
        <v>316</v>
      </c>
      <c r="N394" s="81">
        <v>9735</v>
      </c>
      <c r="O394" s="86">
        <v>11234</v>
      </c>
      <c r="P394" s="89">
        <f t="shared" si="19"/>
        <v>323</v>
      </c>
      <c r="Q394" s="89">
        <f t="shared" si="20"/>
        <v>10484.5</v>
      </c>
      <c r="R394" s="96" t="s">
        <v>94</v>
      </c>
      <c r="S394" s="96" t="s">
        <v>124</v>
      </c>
      <c r="T394" s="96" t="s">
        <v>94</v>
      </c>
      <c r="U394" s="96" t="s">
        <v>136</v>
      </c>
      <c r="V394" s="96" t="s">
        <v>94</v>
      </c>
      <c r="W394" s="96" t="s">
        <v>97</v>
      </c>
      <c r="X394" s="96" t="s">
        <v>98</v>
      </c>
      <c r="Y394" s="96" t="s">
        <v>192</v>
      </c>
      <c r="Z394" s="96" t="s">
        <v>193</v>
      </c>
      <c r="AA394" s="96" t="s">
        <v>194</v>
      </c>
      <c r="AB394" s="96" t="s">
        <v>195</v>
      </c>
      <c r="AC394" s="96" t="s">
        <v>196</v>
      </c>
      <c r="AD394" s="96" t="s">
        <v>197</v>
      </c>
      <c r="AE394" s="96" t="s">
        <v>198</v>
      </c>
      <c r="AF394" s="96" t="s">
        <v>199</v>
      </c>
      <c r="AG394" s="96" t="s">
        <v>200</v>
      </c>
      <c r="AH394" s="96">
        <v>1329</v>
      </c>
      <c r="AI394" s="96" t="s">
        <v>201</v>
      </c>
      <c r="AJ394" s="96" t="s">
        <v>202</v>
      </c>
      <c r="AK394" s="27" t="s">
        <v>110</v>
      </c>
    </row>
    <row r="395" spans="1:37">
      <c r="A395" s="70">
        <v>390</v>
      </c>
      <c r="B395" s="70">
        <f t="shared" si="18"/>
        <v>0</v>
      </c>
      <c r="C395" s="71"/>
      <c r="D395" s="59" t="s">
        <v>1024</v>
      </c>
      <c r="E395" s="60">
        <v>13711</v>
      </c>
      <c r="F395" s="10" t="s">
        <v>236</v>
      </c>
      <c r="G395" s="60">
        <v>808</v>
      </c>
      <c r="H395" s="81">
        <v>20</v>
      </c>
      <c r="I395" s="86">
        <v>14</v>
      </c>
      <c r="J395" s="81">
        <v>20</v>
      </c>
      <c r="K395" s="86">
        <v>14</v>
      </c>
      <c r="L395" s="81">
        <v>318</v>
      </c>
      <c r="M395" s="86">
        <v>332</v>
      </c>
      <c r="N395" s="81">
        <v>13569</v>
      </c>
      <c r="O395" s="86">
        <v>7593</v>
      </c>
      <c r="P395" s="89">
        <f t="shared" si="19"/>
        <v>325</v>
      </c>
      <c r="Q395" s="89">
        <f t="shared" si="20"/>
        <v>10581</v>
      </c>
      <c r="R395" s="96" t="s">
        <v>94</v>
      </c>
      <c r="S395" s="96" t="s">
        <v>237</v>
      </c>
      <c r="T395" s="96" t="s">
        <v>94</v>
      </c>
      <c r="U395" s="96" t="s">
        <v>136</v>
      </c>
      <c r="V395" s="96" t="s">
        <v>94</v>
      </c>
      <c r="W395" s="96" t="s">
        <v>97</v>
      </c>
      <c r="X395" s="96" t="s">
        <v>147</v>
      </c>
      <c r="Y395" s="96" t="s">
        <v>110</v>
      </c>
      <c r="Z395" s="96" t="s">
        <v>110</v>
      </c>
      <c r="AA395" s="96" t="s">
        <v>238</v>
      </c>
      <c r="AB395" s="96" t="s">
        <v>239</v>
      </c>
      <c r="AC395" s="96" t="s">
        <v>240</v>
      </c>
      <c r="AD395" s="96" t="s">
        <v>241</v>
      </c>
      <c r="AE395" s="96" t="s">
        <v>242</v>
      </c>
      <c r="AF395" s="96" t="s">
        <v>243</v>
      </c>
      <c r="AG395" s="96" t="s">
        <v>110</v>
      </c>
      <c r="AH395" s="96">
        <v>1606</v>
      </c>
      <c r="AI395" s="96" t="s">
        <v>244</v>
      </c>
      <c r="AJ395" s="96" t="s">
        <v>245</v>
      </c>
      <c r="AK395" s="27" t="s">
        <v>110</v>
      </c>
    </row>
    <row r="396" spans="1:37">
      <c r="A396" s="70">
        <v>391</v>
      </c>
      <c r="B396" s="70">
        <f t="shared" si="18"/>
        <v>0</v>
      </c>
      <c r="C396" s="71"/>
      <c r="D396" s="59" t="s">
        <v>1024</v>
      </c>
      <c r="E396" s="60">
        <v>14263</v>
      </c>
      <c r="F396" s="10" t="s">
        <v>254</v>
      </c>
      <c r="G396" s="60">
        <v>803</v>
      </c>
      <c r="H396" s="81">
        <v>190</v>
      </c>
      <c r="I396" s="86">
        <v>385</v>
      </c>
      <c r="J396" s="81">
        <v>190</v>
      </c>
      <c r="K396" s="86">
        <v>385</v>
      </c>
      <c r="L396" s="81">
        <v>328</v>
      </c>
      <c r="M396" s="86">
        <v>316</v>
      </c>
      <c r="N396" s="81">
        <v>10192</v>
      </c>
      <c r="O396" s="86">
        <v>11306</v>
      </c>
      <c r="P396" s="89">
        <f t="shared" si="19"/>
        <v>322</v>
      </c>
      <c r="Q396" s="89">
        <f t="shared" si="20"/>
        <v>10749</v>
      </c>
      <c r="R396" s="96" t="s">
        <v>94</v>
      </c>
      <c r="S396" s="96" t="s">
        <v>255</v>
      </c>
      <c r="T396" s="96" t="s">
        <v>94</v>
      </c>
      <c r="U396" s="96" t="s">
        <v>136</v>
      </c>
      <c r="V396" s="96" t="s">
        <v>94</v>
      </c>
      <c r="W396" s="96" t="s">
        <v>97</v>
      </c>
      <c r="X396" s="96" t="s">
        <v>169</v>
      </c>
      <c r="Y396" s="96" t="s">
        <v>256</v>
      </c>
      <c r="Z396" s="96" t="s">
        <v>257</v>
      </c>
      <c r="AA396" s="96" t="s">
        <v>258</v>
      </c>
      <c r="AB396" s="96" t="s">
        <v>259</v>
      </c>
      <c r="AC396" s="96" t="s">
        <v>260</v>
      </c>
      <c r="AD396" s="96" t="s">
        <v>261</v>
      </c>
      <c r="AE396" s="96" t="s">
        <v>262</v>
      </c>
      <c r="AF396" s="96" t="s">
        <v>263</v>
      </c>
      <c r="AG396" s="96" t="s">
        <v>264</v>
      </c>
      <c r="AH396" s="96">
        <v>1642</v>
      </c>
      <c r="AI396" s="96" t="s">
        <v>265</v>
      </c>
      <c r="AJ396" s="96" t="s">
        <v>266</v>
      </c>
      <c r="AK396" s="27" t="s">
        <v>110</v>
      </c>
    </row>
    <row r="397" spans="1:37">
      <c r="A397" s="70">
        <v>392</v>
      </c>
      <c r="B397" s="70">
        <f t="shared" si="18"/>
        <v>0</v>
      </c>
      <c r="C397" s="71"/>
      <c r="D397" s="59" t="s">
        <v>1024</v>
      </c>
      <c r="E397" s="60">
        <v>12572</v>
      </c>
      <c r="F397" s="10" t="s">
        <v>191</v>
      </c>
      <c r="G397" s="60">
        <v>807</v>
      </c>
      <c r="H397" s="81">
        <v>99</v>
      </c>
      <c r="I397" s="86">
        <v>234</v>
      </c>
      <c r="J397" s="81">
        <v>99</v>
      </c>
      <c r="K397" s="86">
        <v>234</v>
      </c>
      <c r="L397" s="81">
        <v>331</v>
      </c>
      <c r="M397" s="86">
        <v>311</v>
      </c>
      <c r="N397" s="81">
        <v>9328</v>
      </c>
      <c r="O397" s="86">
        <v>12660</v>
      </c>
      <c r="P397" s="89">
        <f t="shared" si="19"/>
        <v>321</v>
      </c>
      <c r="Q397" s="89">
        <f t="shared" si="20"/>
        <v>10994</v>
      </c>
      <c r="R397" s="96" t="s">
        <v>94</v>
      </c>
      <c r="S397" s="96" t="s">
        <v>124</v>
      </c>
      <c r="T397" s="96" t="s">
        <v>94</v>
      </c>
      <c r="U397" s="96" t="s">
        <v>136</v>
      </c>
      <c r="V397" s="96" t="s">
        <v>94</v>
      </c>
      <c r="W397" s="96" t="s">
        <v>97</v>
      </c>
      <c r="X397" s="96" t="s">
        <v>98</v>
      </c>
      <c r="Y397" s="96" t="s">
        <v>192</v>
      </c>
      <c r="Z397" s="96" t="s">
        <v>193</v>
      </c>
      <c r="AA397" s="96" t="s">
        <v>194</v>
      </c>
      <c r="AB397" s="96" t="s">
        <v>195</v>
      </c>
      <c r="AC397" s="96" t="s">
        <v>196</v>
      </c>
      <c r="AD397" s="96" t="s">
        <v>197</v>
      </c>
      <c r="AE397" s="96" t="s">
        <v>198</v>
      </c>
      <c r="AF397" s="96" t="s">
        <v>199</v>
      </c>
      <c r="AG397" s="96" t="s">
        <v>200</v>
      </c>
      <c r="AH397" s="96">
        <v>1329</v>
      </c>
      <c r="AI397" s="96" t="s">
        <v>201</v>
      </c>
      <c r="AJ397" s="96" t="s">
        <v>202</v>
      </c>
      <c r="AK397" s="27" t="s">
        <v>110</v>
      </c>
    </row>
    <row r="398" spans="1:37">
      <c r="A398" s="70">
        <v>393</v>
      </c>
      <c r="B398" s="70">
        <f t="shared" si="18"/>
        <v>0</v>
      </c>
      <c r="C398" s="71"/>
      <c r="D398" s="59" t="s">
        <v>1024</v>
      </c>
      <c r="E398" s="60">
        <v>13713</v>
      </c>
      <c r="F398" s="10" t="s">
        <v>288</v>
      </c>
      <c r="G398" s="60">
        <v>805</v>
      </c>
      <c r="H398" s="81">
        <v>20</v>
      </c>
      <c r="I398" s="86">
        <v>10</v>
      </c>
      <c r="J398" s="81">
        <v>20</v>
      </c>
      <c r="K398" s="86">
        <v>10</v>
      </c>
      <c r="L398" s="81">
        <v>325</v>
      </c>
      <c r="M398" s="86">
        <v>317</v>
      </c>
      <c r="N398" s="81">
        <v>11169</v>
      </c>
      <c r="O398" s="86">
        <v>11184</v>
      </c>
      <c r="P398" s="89">
        <f t="shared" si="19"/>
        <v>321</v>
      </c>
      <c r="Q398" s="89">
        <f t="shared" si="20"/>
        <v>11176.5</v>
      </c>
      <c r="R398" s="96" t="s">
        <v>94</v>
      </c>
      <c r="S398" s="96" t="s">
        <v>289</v>
      </c>
      <c r="T398" s="96" t="s">
        <v>94</v>
      </c>
      <c r="U398" s="96" t="s">
        <v>136</v>
      </c>
      <c r="V398" s="96" t="s">
        <v>94</v>
      </c>
      <c r="W398" s="96" t="s">
        <v>97</v>
      </c>
      <c r="X398" s="96" t="s">
        <v>290</v>
      </c>
      <c r="Y398" s="96" t="s">
        <v>225</v>
      </c>
      <c r="Z398" s="96" t="s">
        <v>226</v>
      </c>
      <c r="AA398" s="96" t="s">
        <v>291</v>
      </c>
      <c r="AB398" s="96" t="s">
        <v>292</v>
      </c>
      <c r="AC398" s="96" t="s">
        <v>293</v>
      </c>
      <c r="AD398" s="96" t="s">
        <v>294</v>
      </c>
      <c r="AE398" s="96" t="s">
        <v>295</v>
      </c>
      <c r="AF398" s="96" t="s">
        <v>296</v>
      </c>
      <c r="AG398" s="96" t="s">
        <v>297</v>
      </c>
      <c r="AH398" s="96">
        <v>2012</v>
      </c>
      <c r="AI398" s="96" t="s">
        <v>298</v>
      </c>
      <c r="AJ398" s="96" t="s">
        <v>299</v>
      </c>
      <c r="AK398" s="27" t="s">
        <v>110</v>
      </c>
    </row>
    <row r="399" spans="1:37">
      <c r="A399" s="70">
        <v>394</v>
      </c>
      <c r="B399" s="70">
        <f t="shared" si="18"/>
        <v>0</v>
      </c>
      <c r="C399" s="71"/>
      <c r="D399" s="59" t="s">
        <v>1024</v>
      </c>
      <c r="E399" s="60">
        <v>14263</v>
      </c>
      <c r="F399" s="10" t="s">
        <v>254</v>
      </c>
      <c r="G399" s="60">
        <v>802</v>
      </c>
      <c r="H399" s="81">
        <v>110</v>
      </c>
      <c r="I399" s="86">
        <v>215</v>
      </c>
      <c r="J399" s="81">
        <v>110</v>
      </c>
      <c r="K399" s="86">
        <v>215</v>
      </c>
      <c r="L399" s="81">
        <v>324</v>
      </c>
      <c r="M399" s="86">
        <v>312</v>
      </c>
      <c r="N399" s="81">
        <v>11393</v>
      </c>
      <c r="O399" s="86">
        <v>12485</v>
      </c>
      <c r="P399" s="89">
        <f t="shared" si="19"/>
        <v>318</v>
      </c>
      <c r="Q399" s="89">
        <f t="shared" si="20"/>
        <v>11939</v>
      </c>
      <c r="R399" s="96" t="s">
        <v>94</v>
      </c>
      <c r="S399" s="96" t="s">
        <v>255</v>
      </c>
      <c r="T399" s="96" t="s">
        <v>94</v>
      </c>
      <c r="U399" s="96" t="s">
        <v>136</v>
      </c>
      <c r="V399" s="96" t="s">
        <v>94</v>
      </c>
      <c r="W399" s="96" t="s">
        <v>97</v>
      </c>
      <c r="X399" s="96" t="s">
        <v>169</v>
      </c>
      <c r="Y399" s="96" t="s">
        <v>256</v>
      </c>
      <c r="Z399" s="96" t="s">
        <v>257</v>
      </c>
      <c r="AA399" s="96" t="s">
        <v>258</v>
      </c>
      <c r="AB399" s="96" t="s">
        <v>259</v>
      </c>
      <c r="AC399" s="96" t="s">
        <v>260</v>
      </c>
      <c r="AD399" s="96" t="s">
        <v>261</v>
      </c>
      <c r="AE399" s="96" t="s">
        <v>262</v>
      </c>
      <c r="AF399" s="96" t="s">
        <v>263</v>
      </c>
      <c r="AG399" s="96" t="s">
        <v>264</v>
      </c>
      <c r="AH399" s="96">
        <v>1642</v>
      </c>
      <c r="AI399" s="96" t="s">
        <v>265</v>
      </c>
      <c r="AJ399" s="96" t="s">
        <v>266</v>
      </c>
      <c r="AK399" s="27" t="s">
        <v>110</v>
      </c>
    </row>
    <row r="400" spans="1:37">
      <c r="A400" s="70">
        <v>395</v>
      </c>
      <c r="B400" s="70">
        <f t="shared" si="18"/>
        <v>0</v>
      </c>
      <c r="C400" s="71"/>
      <c r="D400" s="59" t="s">
        <v>1024</v>
      </c>
      <c r="E400" s="60">
        <v>13943</v>
      </c>
      <c r="F400" s="10" t="s">
        <v>212</v>
      </c>
      <c r="G400" s="60">
        <v>809</v>
      </c>
      <c r="H400" s="81">
        <v>31</v>
      </c>
      <c r="I400" s="86">
        <v>37</v>
      </c>
      <c r="J400" s="81">
        <v>31</v>
      </c>
      <c r="K400" s="86">
        <v>37</v>
      </c>
      <c r="L400" s="81">
        <v>332</v>
      </c>
      <c r="M400" s="86">
        <v>303</v>
      </c>
      <c r="N400" s="81">
        <v>9089</v>
      </c>
      <c r="O400" s="86">
        <v>14913</v>
      </c>
      <c r="P400" s="89">
        <f t="shared" si="19"/>
        <v>317.5</v>
      </c>
      <c r="Q400" s="89">
        <f t="shared" si="20"/>
        <v>12001</v>
      </c>
      <c r="R400" s="96" t="s">
        <v>94</v>
      </c>
      <c r="S400" s="96" t="s">
        <v>124</v>
      </c>
      <c r="T400" s="96" t="s">
        <v>94</v>
      </c>
      <c r="U400" s="96" t="s">
        <v>136</v>
      </c>
      <c r="V400" s="96" t="s">
        <v>94</v>
      </c>
      <c r="W400" s="96" t="s">
        <v>97</v>
      </c>
      <c r="X400" s="96" t="s">
        <v>98</v>
      </c>
      <c r="Y400" s="96" t="s">
        <v>213</v>
      </c>
      <c r="Z400" s="96" t="s">
        <v>193</v>
      </c>
      <c r="AA400" s="96" t="s">
        <v>214</v>
      </c>
      <c r="AB400" s="96" t="s">
        <v>215</v>
      </c>
      <c r="AC400" s="96" t="s">
        <v>216</v>
      </c>
      <c r="AD400" s="96" t="s">
        <v>217</v>
      </c>
      <c r="AE400" s="96" t="s">
        <v>218</v>
      </c>
      <c r="AF400" s="96" t="s">
        <v>219</v>
      </c>
      <c r="AG400" s="96" t="s">
        <v>220</v>
      </c>
      <c r="AH400" s="96">
        <v>1770</v>
      </c>
      <c r="AI400" s="96" t="s">
        <v>221</v>
      </c>
      <c r="AJ400" s="96" t="s">
        <v>222</v>
      </c>
      <c r="AK400" s="27" t="s">
        <v>110</v>
      </c>
    </row>
    <row r="401" spans="1:37">
      <c r="A401" s="70">
        <v>396</v>
      </c>
      <c r="B401" s="70">
        <f t="shared" si="18"/>
        <v>0</v>
      </c>
      <c r="C401" s="71"/>
      <c r="D401" s="59" t="s">
        <v>1024</v>
      </c>
      <c r="E401" s="60">
        <v>12572</v>
      </c>
      <c r="F401" s="10" t="s">
        <v>191</v>
      </c>
      <c r="G401" s="60">
        <v>806</v>
      </c>
      <c r="H401" s="81">
        <v>99</v>
      </c>
      <c r="I401" s="86">
        <v>159</v>
      </c>
      <c r="J401" s="81">
        <v>99</v>
      </c>
      <c r="K401" s="86">
        <v>159</v>
      </c>
      <c r="L401" s="81">
        <v>324</v>
      </c>
      <c r="M401" s="86">
        <v>307</v>
      </c>
      <c r="N401" s="81">
        <v>11530</v>
      </c>
      <c r="O401" s="86">
        <v>13638</v>
      </c>
      <c r="P401" s="89">
        <f t="shared" si="19"/>
        <v>315.5</v>
      </c>
      <c r="Q401" s="89">
        <f t="shared" si="20"/>
        <v>12584</v>
      </c>
      <c r="R401" s="96" t="s">
        <v>94</v>
      </c>
      <c r="S401" s="96" t="s">
        <v>124</v>
      </c>
      <c r="T401" s="96" t="s">
        <v>94</v>
      </c>
      <c r="U401" s="96" t="s">
        <v>136</v>
      </c>
      <c r="V401" s="96" t="s">
        <v>94</v>
      </c>
      <c r="W401" s="96" t="s">
        <v>97</v>
      </c>
      <c r="X401" s="96" t="s">
        <v>98</v>
      </c>
      <c r="Y401" s="96" t="s">
        <v>192</v>
      </c>
      <c r="Z401" s="96" t="s">
        <v>193</v>
      </c>
      <c r="AA401" s="96" t="s">
        <v>194</v>
      </c>
      <c r="AB401" s="96" t="s">
        <v>195</v>
      </c>
      <c r="AC401" s="96" t="s">
        <v>196</v>
      </c>
      <c r="AD401" s="96" t="s">
        <v>197</v>
      </c>
      <c r="AE401" s="96" t="s">
        <v>198</v>
      </c>
      <c r="AF401" s="96" t="s">
        <v>199</v>
      </c>
      <c r="AG401" s="96" t="s">
        <v>200</v>
      </c>
      <c r="AH401" s="96">
        <v>1329</v>
      </c>
      <c r="AI401" s="96" t="s">
        <v>201</v>
      </c>
      <c r="AJ401" s="96" t="s">
        <v>202</v>
      </c>
      <c r="AK401" s="27" t="s">
        <v>110</v>
      </c>
    </row>
    <row r="402" spans="1:37">
      <c r="A402" s="70">
        <v>397</v>
      </c>
      <c r="B402" s="70">
        <f t="shared" si="18"/>
        <v>0</v>
      </c>
      <c r="C402" s="71"/>
      <c r="D402" s="59" t="s">
        <v>1024</v>
      </c>
      <c r="E402" s="60">
        <v>13713</v>
      </c>
      <c r="F402" s="10" t="s">
        <v>288</v>
      </c>
      <c r="G402" s="60">
        <v>801</v>
      </c>
      <c r="H402" s="81">
        <v>265</v>
      </c>
      <c r="I402" s="86">
        <v>280</v>
      </c>
      <c r="J402" s="81">
        <v>265</v>
      </c>
      <c r="K402" s="86">
        <v>280</v>
      </c>
      <c r="L402" s="81">
        <v>322</v>
      </c>
      <c r="M402" s="86">
        <v>303</v>
      </c>
      <c r="N402" s="81">
        <v>12165</v>
      </c>
      <c r="O402" s="86">
        <v>14881</v>
      </c>
      <c r="P402" s="89">
        <f t="shared" si="19"/>
        <v>312.5</v>
      </c>
      <c r="Q402" s="89">
        <f t="shared" si="20"/>
        <v>13523</v>
      </c>
      <c r="R402" s="96" t="s">
        <v>94</v>
      </c>
      <c r="S402" s="96" t="s">
        <v>289</v>
      </c>
      <c r="T402" s="96" t="s">
        <v>94</v>
      </c>
      <c r="U402" s="96" t="s">
        <v>136</v>
      </c>
      <c r="V402" s="96" t="s">
        <v>94</v>
      </c>
      <c r="W402" s="96" t="s">
        <v>97</v>
      </c>
      <c r="X402" s="96" t="s">
        <v>290</v>
      </c>
      <c r="Y402" s="96" t="s">
        <v>225</v>
      </c>
      <c r="Z402" s="96" t="s">
        <v>226</v>
      </c>
      <c r="AA402" s="96" t="s">
        <v>291</v>
      </c>
      <c r="AB402" s="96" t="s">
        <v>292</v>
      </c>
      <c r="AC402" s="96" t="s">
        <v>293</v>
      </c>
      <c r="AD402" s="96" t="s">
        <v>294</v>
      </c>
      <c r="AE402" s="96" t="s">
        <v>295</v>
      </c>
      <c r="AF402" s="96" t="s">
        <v>296</v>
      </c>
      <c r="AG402" s="96" t="s">
        <v>297</v>
      </c>
      <c r="AH402" s="96">
        <v>2012</v>
      </c>
      <c r="AI402" s="96" t="s">
        <v>298</v>
      </c>
      <c r="AJ402" s="96" t="s">
        <v>299</v>
      </c>
      <c r="AK402" s="27" t="s">
        <v>110</v>
      </c>
    </row>
    <row r="403" spans="1:37">
      <c r="A403" s="70">
        <v>398</v>
      </c>
      <c r="B403" s="70">
        <f t="shared" si="18"/>
        <v>0</v>
      </c>
      <c r="C403" s="71"/>
      <c r="D403" s="59" t="s">
        <v>1024</v>
      </c>
      <c r="E403" s="60">
        <v>12572</v>
      </c>
      <c r="F403" s="10" t="s">
        <v>191</v>
      </c>
      <c r="G403" s="60">
        <v>811</v>
      </c>
      <c r="H403" s="81">
        <v>44</v>
      </c>
      <c r="I403" s="86">
        <v>13</v>
      </c>
      <c r="J403" s="81">
        <v>44</v>
      </c>
      <c r="K403" s="86">
        <v>13</v>
      </c>
      <c r="L403" s="81">
        <v>315</v>
      </c>
      <c r="M403" s="86">
        <v>311</v>
      </c>
      <c r="N403" s="81">
        <v>14559</v>
      </c>
      <c r="O403" s="86">
        <v>12540</v>
      </c>
      <c r="P403" s="89">
        <f t="shared" si="19"/>
        <v>313</v>
      </c>
      <c r="Q403" s="89">
        <f t="shared" si="20"/>
        <v>13549.5</v>
      </c>
      <c r="R403" s="96" t="s">
        <v>94</v>
      </c>
      <c r="S403" s="96" t="s">
        <v>124</v>
      </c>
      <c r="T403" s="96" t="s">
        <v>94</v>
      </c>
      <c r="U403" s="96" t="s">
        <v>136</v>
      </c>
      <c r="V403" s="96" t="s">
        <v>94</v>
      </c>
      <c r="W403" s="96" t="s">
        <v>97</v>
      </c>
      <c r="X403" s="96" t="s">
        <v>98</v>
      </c>
      <c r="Y403" s="96" t="s">
        <v>192</v>
      </c>
      <c r="Z403" s="96" t="s">
        <v>193</v>
      </c>
      <c r="AA403" s="96" t="s">
        <v>194</v>
      </c>
      <c r="AB403" s="96" t="s">
        <v>195</v>
      </c>
      <c r="AC403" s="96" t="s">
        <v>196</v>
      </c>
      <c r="AD403" s="96" t="s">
        <v>197</v>
      </c>
      <c r="AE403" s="96" t="s">
        <v>198</v>
      </c>
      <c r="AF403" s="96" t="s">
        <v>199</v>
      </c>
      <c r="AG403" s="96" t="s">
        <v>200</v>
      </c>
      <c r="AH403" s="96">
        <v>1329</v>
      </c>
      <c r="AI403" s="96" t="s">
        <v>201</v>
      </c>
      <c r="AJ403" s="96" t="s">
        <v>202</v>
      </c>
      <c r="AK403" s="27" t="s">
        <v>110</v>
      </c>
    </row>
    <row r="404" spans="1:37">
      <c r="A404" s="70">
        <v>399</v>
      </c>
      <c r="B404" s="70">
        <f t="shared" si="18"/>
        <v>0</v>
      </c>
      <c r="C404" s="71"/>
      <c r="D404" s="59" t="s">
        <v>1024</v>
      </c>
      <c r="E404" s="60">
        <v>12959</v>
      </c>
      <c r="F404" s="10" t="s">
        <v>267</v>
      </c>
      <c r="G404" s="60">
        <v>803</v>
      </c>
      <c r="H404" s="81">
        <v>135</v>
      </c>
      <c r="I404" s="86">
        <v>120</v>
      </c>
      <c r="J404" s="81">
        <v>135</v>
      </c>
      <c r="K404" s="86">
        <v>120</v>
      </c>
      <c r="L404" s="81">
        <v>318</v>
      </c>
      <c r="M404" s="86">
        <v>307</v>
      </c>
      <c r="N404" s="81">
        <v>13550</v>
      </c>
      <c r="O404" s="86">
        <v>13711</v>
      </c>
      <c r="P404" s="89">
        <f t="shared" si="19"/>
        <v>312.5</v>
      </c>
      <c r="Q404" s="89">
        <f t="shared" si="20"/>
        <v>13630.5</v>
      </c>
      <c r="R404" s="96" t="s">
        <v>94</v>
      </c>
      <c r="S404" s="96" t="s">
        <v>124</v>
      </c>
      <c r="T404" s="96" t="s">
        <v>94</v>
      </c>
      <c r="U404" s="96" t="s">
        <v>136</v>
      </c>
      <c r="V404" s="96" t="s">
        <v>94</v>
      </c>
      <c r="W404" s="96" t="s">
        <v>97</v>
      </c>
      <c r="X404" s="96" t="s">
        <v>98</v>
      </c>
      <c r="Y404" s="96" t="s">
        <v>268</v>
      </c>
      <c r="Z404" s="96" t="s">
        <v>257</v>
      </c>
      <c r="AA404" s="96" t="s">
        <v>269</v>
      </c>
      <c r="AB404" s="96" t="s">
        <v>270</v>
      </c>
      <c r="AC404" s="96" t="s">
        <v>271</v>
      </c>
      <c r="AD404" s="96" t="s">
        <v>272</v>
      </c>
      <c r="AE404" s="96" t="s">
        <v>273</v>
      </c>
      <c r="AF404" s="96" t="s">
        <v>274</v>
      </c>
      <c r="AG404" s="96" t="s">
        <v>275</v>
      </c>
      <c r="AH404" s="96">
        <v>1480</v>
      </c>
      <c r="AI404" s="96" t="s">
        <v>276</v>
      </c>
      <c r="AJ404" s="96" t="s">
        <v>277</v>
      </c>
      <c r="AK404" s="27" t="s">
        <v>110</v>
      </c>
    </row>
    <row r="405" spans="1:37">
      <c r="A405" s="70">
        <v>400</v>
      </c>
      <c r="B405" s="70">
        <f t="shared" si="18"/>
        <v>0</v>
      </c>
      <c r="C405" s="71"/>
      <c r="D405" s="59" t="s">
        <v>1024</v>
      </c>
      <c r="E405" s="60">
        <v>14263</v>
      </c>
      <c r="F405" s="10" t="s">
        <v>254</v>
      </c>
      <c r="G405" s="60">
        <v>804</v>
      </c>
      <c r="H405" s="81">
        <v>180</v>
      </c>
      <c r="I405" s="86">
        <v>368</v>
      </c>
      <c r="J405" s="81">
        <v>180</v>
      </c>
      <c r="K405" s="86">
        <v>368</v>
      </c>
      <c r="L405" s="81">
        <v>321</v>
      </c>
      <c r="M405" s="86">
        <v>303</v>
      </c>
      <c r="N405" s="81">
        <v>12507</v>
      </c>
      <c r="O405" s="86">
        <v>15038</v>
      </c>
      <c r="P405" s="89">
        <f t="shared" si="19"/>
        <v>312</v>
      </c>
      <c r="Q405" s="89">
        <f t="shared" si="20"/>
        <v>13772.5</v>
      </c>
      <c r="R405" s="96" t="s">
        <v>94</v>
      </c>
      <c r="S405" s="96" t="s">
        <v>255</v>
      </c>
      <c r="T405" s="96" t="s">
        <v>94</v>
      </c>
      <c r="U405" s="96" t="s">
        <v>136</v>
      </c>
      <c r="V405" s="96" t="s">
        <v>94</v>
      </c>
      <c r="W405" s="96" t="s">
        <v>97</v>
      </c>
      <c r="X405" s="96" t="s">
        <v>169</v>
      </c>
      <c r="Y405" s="96" t="s">
        <v>256</v>
      </c>
      <c r="Z405" s="96" t="s">
        <v>257</v>
      </c>
      <c r="AA405" s="96" t="s">
        <v>258</v>
      </c>
      <c r="AB405" s="96" t="s">
        <v>259</v>
      </c>
      <c r="AC405" s="96" t="s">
        <v>260</v>
      </c>
      <c r="AD405" s="96" t="s">
        <v>261</v>
      </c>
      <c r="AE405" s="96" t="s">
        <v>262</v>
      </c>
      <c r="AF405" s="96" t="s">
        <v>263</v>
      </c>
      <c r="AG405" s="96" t="s">
        <v>264</v>
      </c>
      <c r="AH405" s="96">
        <v>1642</v>
      </c>
      <c r="AI405" s="96" t="s">
        <v>265</v>
      </c>
      <c r="AJ405" s="96" t="s">
        <v>266</v>
      </c>
      <c r="AK405" s="27" t="s">
        <v>110</v>
      </c>
    </row>
    <row r="406" spans="1:37">
      <c r="A406" s="70">
        <v>401</v>
      </c>
      <c r="B406" s="70">
        <f t="shared" si="18"/>
        <v>0</v>
      </c>
      <c r="C406" s="71"/>
      <c r="D406" s="59" t="s">
        <v>1024</v>
      </c>
      <c r="E406" s="60">
        <v>14845</v>
      </c>
      <c r="F406" s="10" t="s">
        <v>135</v>
      </c>
      <c r="G406" s="60">
        <v>805</v>
      </c>
      <c r="H406" s="81">
        <v>75</v>
      </c>
      <c r="I406" s="86" t="s">
        <v>110</v>
      </c>
      <c r="J406" s="81">
        <v>75</v>
      </c>
      <c r="K406" s="86" t="s">
        <v>110</v>
      </c>
      <c r="L406" s="81">
        <v>317</v>
      </c>
      <c r="M406" s="86" t="s">
        <v>110</v>
      </c>
      <c r="N406" s="81">
        <v>13961</v>
      </c>
      <c r="O406" s="86" t="s">
        <v>110</v>
      </c>
      <c r="P406" s="89">
        <f t="shared" si="19"/>
        <v>317</v>
      </c>
      <c r="Q406" s="89">
        <f t="shared" si="20"/>
        <v>13961</v>
      </c>
      <c r="R406" s="96" t="s">
        <v>94</v>
      </c>
      <c r="S406" s="96" t="s">
        <v>95</v>
      </c>
      <c r="T406" s="96" t="s">
        <v>94</v>
      </c>
      <c r="U406" s="96" t="s">
        <v>136</v>
      </c>
      <c r="V406" s="96" t="s">
        <v>94</v>
      </c>
      <c r="W406" s="96" t="s">
        <v>97</v>
      </c>
      <c r="X406" s="96" t="s">
        <v>98</v>
      </c>
      <c r="Y406" s="96" t="s">
        <v>110</v>
      </c>
      <c r="Z406" s="96" t="s">
        <v>110</v>
      </c>
      <c r="AA406" s="96" t="s">
        <v>137</v>
      </c>
      <c r="AB406" s="96" t="s">
        <v>110</v>
      </c>
      <c r="AC406" s="96" t="s">
        <v>138</v>
      </c>
      <c r="AD406" s="96" t="s">
        <v>139</v>
      </c>
      <c r="AE406" s="96" t="s">
        <v>140</v>
      </c>
      <c r="AF406" s="96" t="s">
        <v>141</v>
      </c>
      <c r="AG406" s="96" t="s">
        <v>110</v>
      </c>
      <c r="AH406" s="96">
        <v>2768</v>
      </c>
      <c r="AI406" s="96" t="s">
        <v>142</v>
      </c>
      <c r="AJ406" s="96" t="s">
        <v>143</v>
      </c>
      <c r="AK406" s="27" t="s">
        <v>110</v>
      </c>
    </row>
    <row r="407" spans="1:37">
      <c r="A407" s="70">
        <v>402</v>
      </c>
      <c r="B407" s="70">
        <f t="shared" si="18"/>
        <v>0</v>
      </c>
      <c r="C407" s="71"/>
      <c r="D407" s="59" t="s">
        <v>1024</v>
      </c>
      <c r="E407" s="60">
        <v>12572</v>
      </c>
      <c r="F407" s="10" t="s">
        <v>191</v>
      </c>
      <c r="G407" s="60">
        <v>802</v>
      </c>
      <c r="H407" s="81">
        <v>301</v>
      </c>
      <c r="I407" s="86">
        <v>599</v>
      </c>
      <c r="J407" s="81">
        <v>301</v>
      </c>
      <c r="K407" s="86">
        <v>599</v>
      </c>
      <c r="L407" s="81">
        <v>321</v>
      </c>
      <c r="M407" s="86">
        <v>300</v>
      </c>
      <c r="N407" s="81">
        <v>12583</v>
      </c>
      <c r="O407" s="86">
        <v>16027</v>
      </c>
      <c r="P407" s="89">
        <f t="shared" si="19"/>
        <v>310.5</v>
      </c>
      <c r="Q407" s="89">
        <f t="shared" si="20"/>
        <v>14305</v>
      </c>
      <c r="R407" s="96" t="s">
        <v>94</v>
      </c>
      <c r="S407" s="96" t="s">
        <v>124</v>
      </c>
      <c r="T407" s="96" t="s">
        <v>94</v>
      </c>
      <c r="U407" s="96" t="s">
        <v>136</v>
      </c>
      <c r="V407" s="96" t="s">
        <v>94</v>
      </c>
      <c r="W407" s="96" t="s">
        <v>97</v>
      </c>
      <c r="X407" s="96" t="s">
        <v>98</v>
      </c>
      <c r="Y407" s="96" t="s">
        <v>192</v>
      </c>
      <c r="Z407" s="96" t="s">
        <v>193</v>
      </c>
      <c r="AA407" s="96" t="s">
        <v>194</v>
      </c>
      <c r="AB407" s="96" t="s">
        <v>195</v>
      </c>
      <c r="AC407" s="96" t="s">
        <v>196</v>
      </c>
      <c r="AD407" s="96" t="s">
        <v>197</v>
      </c>
      <c r="AE407" s="96" t="s">
        <v>198</v>
      </c>
      <c r="AF407" s="96" t="s">
        <v>199</v>
      </c>
      <c r="AG407" s="96" t="s">
        <v>200</v>
      </c>
      <c r="AH407" s="96">
        <v>1329</v>
      </c>
      <c r="AI407" s="96" t="s">
        <v>201</v>
      </c>
      <c r="AJ407" s="96" t="s">
        <v>202</v>
      </c>
      <c r="AK407" s="27" t="s">
        <v>110</v>
      </c>
    </row>
    <row r="408" spans="1:37">
      <c r="A408" s="70">
        <v>403</v>
      </c>
      <c r="B408" s="70">
        <f t="shared" si="18"/>
        <v>0</v>
      </c>
      <c r="C408" s="71"/>
      <c r="D408" s="59" t="s">
        <v>1024</v>
      </c>
      <c r="E408" s="60">
        <v>12327</v>
      </c>
      <c r="F408" s="10" t="s">
        <v>203</v>
      </c>
      <c r="G408" s="60">
        <v>803</v>
      </c>
      <c r="H408" s="81">
        <v>57</v>
      </c>
      <c r="I408" s="86">
        <v>50</v>
      </c>
      <c r="J408" s="81">
        <v>57</v>
      </c>
      <c r="K408" s="86">
        <v>50</v>
      </c>
      <c r="L408" s="81">
        <v>317</v>
      </c>
      <c r="M408" s="86">
        <v>298</v>
      </c>
      <c r="N408" s="81">
        <v>13675</v>
      </c>
      <c r="O408" s="86">
        <v>16518</v>
      </c>
      <c r="P408" s="89">
        <f t="shared" si="19"/>
        <v>307.5</v>
      </c>
      <c r="Q408" s="89">
        <f t="shared" si="20"/>
        <v>15096.5</v>
      </c>
      <c r="R408" s="96" t="s">
        <v>94</v>
      </c>
      <c r="S408" s="96" t="s">
        <v>168</v>
      </c>
      <c r="T408" s="96" t="s">
        <v>94</v>
      </c>
      <c r="U408" s="96" t="s">
        <v>136</v>
      </c>
      <c r="V408" s="96" t="s">
        <v>94</v>
      </c>
      <c r="W408" s="96" t="s">
        <v>97</v>
      </c>
      <c r="X408" s="96" t="s">
        <v>169</v>
      </c>
      <c r="Y408" s="96" t="s">
        <v>110</v>
      </c>
      <c r="Z408" s="96" t="s">
        <v>148</v>
      </c>
      <c r="AA408" s="96" t="s">
        <v>204</v>
      </c>
      <c r="AB408" s="96" t="s">
        <v>205</v>
      </c>
      <c r="AC408" s="96" t="s">
        <v>206</v>
      </c>
      <c r="AD408" s="96" t="s">
        <v>207</v>
      </c>
      <c r="AE408" s="96" t="s">
        <v>208</v>
      </c>
      <c r="AF408" s="96" t="s">
        <v>209</v>
      </c>
      <c r="AG408" s="96" t="s">
        <v>110</v>
      </c>
      <c r="AH408" s="96">
        <v>2329</v>
      </c>
      <c r="AI408" s="96" t="s">
        <v>210</v>
      </c>
      <c r="AJ408" s="96" t="s">
        <v>211</v>
      </c>
      <c r="AK408" s="27" t="s">
        <v>110</v>
      </c>
    </row>
    <row r="409" spans="1:37">
      <c r="A409" s="70">
        <v>404</v>
      </c>
      <c r="B409" s="70">
        <f t="shared" si="18"/>
        <v>0</v>
      </c>
      <c r="C409" s="71"/>
      <c r="D409" s="59" t="s">
        <v>1024</v>
      </c>
      <c r="E409" s="60">
        <v>12959</v>
      </c>
      <c r="F409" s="10" t="s">
        <v>267</v>
      </c>
      <c r="G409" s="60">
        <v>801</v>
      </c>
      <c r="H409" s="81">
        <v>2153</v>
      </c>
      <c r="I409" s="86">
        <v>2017</v>
      </c>
      <c r="J409" s="81">
        <v>2153</v>
      </c>
      <c r="K409" s="86">
        <v>2017</v>
      </c>
      <c r="L409" s="81">
        <v>314</v>
      </c>
      <c r="M409" s="86">
        <v>298</v>
      </c>
      <c r="N409" s="81">
        <v>14982</v>
      </c>
      <c r="O409" s="86">
        <v>16657</v>
      </c>
      <c r="P409" s="89">
        <f t="shared" si="19"/>
        <v>306</v>
      </c>
      <c r="Q409" s="89">
        <f t="shared" si="20"/>
        <v>15819.5</v>
      </c>
      <c r="R409" s="96" t="s">
        <v>94</v>
      </c>
      <c r="S409" s="96" t="s">
        <v>124</v>
      </c>
      <c r="T409" s="96" t="s">
        <v>94</v>
      </c>
      <c r="U409" s="96" t="s">
        <v>136</v>
      </c>
      <c r="V409" s="96" t="s">
        <v>94</v>
      </c>
      <c r="W409" s="96" t="s">
        <v>97</v>
      </c>
      <c r="X409" s="96" t="s">
        <v>98</v>
      </c>
      <c r="Y409" s="96" t="s">
        <v>268</v>
      </c>
      <c r="Z409" s="96" t="s">
        <v>257</v>
      </c>
      <c r="AA409" s="96" t="s">
        <v>269</v>
      </c>
      <c r="AB409" s="96" t="s">
        <v>270</v>
      </c>
      <c r="AC409" s="96" t="s">
        <v>271</v>
      </c>
      <c r="AD409" s="96" t="s">
        <v>272</v>
      </c>
      <c r="AE409" s="96" t="s">
        <v>273</v>
      </c>
      <c r="AF409" s="96" t="s">
        <v>274</v>
      </c>
      <c r="AG409" s="96" t="s">
        <v>275</v>
      </c>
      <c r="AH409" s="96">
        <v>1480</v>
      </c>
      <c r="AI409" s="96" t="s">
        <v>276</v>
      </c>
      <c r="AJ409" s="96" t="s">
        <v>277</v>
      </c>
      <c r="AK409" s="27" t="s">
        <v>110</v>
      </c>
    </row>
    <row r="410" spans="1:37">
      <c r="A410" s="70">
        <v>405</v>
      </c>
      <c r="B410" s="70">
        <f t="shared" si="18"/>
        <v>0</v>
      </c>
      <c r="C410" s="71"/>
      <c r="D410" s="59" t="s">
        <v>1024</v>
      </c>
      <c r="E410" s="60">
        <v>14263</v>
      </c>
      <c r="F410" s="10" t="s">
        <v>254</v>
      </c>
      <c r="G410" s="60">
        <v>811</v>
      </c>
      <c r="H410" s="81">
        <v>5</v>
      </c>
      <c r="I410" s="86">
        <v>47</v>
      </c>
      <c r="J410" s="81">
        <v>5</v>
      </c>
      <c r="K410" s="86">
        <v>47</v>
      </c>
      <c r="L410" s="81">
        <v>318</v>
      </c>
      <c r="M410" s="86">
        <v>290</v>
      </c>
      <c r="N410" s="81">
        <v>13454</v>
      </c>
      <c r="O410" s="86">
        <v>19383</v>
      </c>
      <c r="P410" s="89">
        <f t="shared" si="19"/>
        <v>304</v>
      </c>
      <c r="Q410" s="89">
        <f t="shared" si="20"/>
        <v>16418.5</v>
      </c>
      <c r="R410" s="96" t="s">
        <v>94</v>
      </c>
      <c r="S410" s="96" t="s">
        <v>255</v>
      </c>
      <c r="T410" s="96" t="s">
        <v>94</v>
      </c>
      <c r="U410" s="96" t="s">
        <v>136</v>
      </c>
      <c r="V410" s="96" t="s">
        <v>94</v>
      </c>
      <c r="W410" s="96" t="s">
        <v>97</v>
      </c>
      <c r="X410" s="96" t="s">
        <v>169</v>
      </c>
      <c r="Y410" s="96" t="s">
        <v>256</v>
      </c>
      <c r="Z410" s="96" t="s">
        <v>257</v>
      </c>
      <c r="AA410" s="96" t="s">
        <v>258</v>
      </c>
      <c r="AB410" s="96" t="s">
        <v>259</v>
      </c>
      <c r="AC410" s="96" t="s">
        <v>260</v>
      </c>
      <c r="AD410" s="96" t="s">
        <v>261</v>
      </c>
      <c r="AE410" s="96" t="s">
        <v>262</v>
      </c>
      <c r="AF410" s="96" t="s">
        <v>263</v>
      </c>
      <c r="AG410" s="96" t="s">
        <v>264</v>
      </c>
      <c r="AH410" s="96">
        <v>1642</v>
      </c>
      <c r="AI410" s="96" t="s">
        <v>265</v>
      </c>
      <c r="AJ410" s="96" t="s">
        <v>266</v>
      </c>
      <c r="AK410" s="27" t="s">
        <v>110</v>
      </c>
    </row>
    <row r="411" spans="1:37">
      <c r="A411" s="70">
        <v>406</v>
      </c>
      <c r="B411" s="70">
        <f t="shared" si="18"/>
        <v>0</v>
      </c>
      <c r="C411" s="71"/>
      <c r="D411" s="59" t="s">
        <v>1024</v>
      </c>
      <c r="E411" s="60">
        <v>13713</v>
      </c>
      <c r="F411" s="10" t="s">
        <v>288</v>
      </c>
      <c r="G411" s="60">
        <v>802</v>
      </c>
      <c r="H411" s="81">
        <v>205</v>
      </c>
      <c r="I411" s="86">
        <v>194</v>
      </c>
      <c r="J411" s="81">
        <v>205</v>
      </c>
      <c r="K411" s="86">
        <v>194</v>
      </c>
      <c r="L411" s="81">
        <v>313</v>
      </c>
      <c r="M411" s="86">
        <v>294</v>
      </c>
      <c r="N411" s="81">
        <v>15289</v>
      </c>
      <c r="O411" s="86">
        <v>17806</v>
      </c>
      <c r="P411" s="89">
        <f t="shared" si="19"/>
        <v>303.5</v>
      </c>
      <c r="Q411" s="89">
        <f t="shared" si="20"/>
        <v>16547.5</v>
      </c>
      <c r="R411" s="96" t="s">
        <v>94</v>
      </c>
      <c r="S411" s="96" t="s">
        <v>289</v>
      </c>
      <c r="T411" s="96" t="s">
        <v>94</v>
      </c>
      <c r="U411" s="96" t="s">
        <v>136</v>
      </c>
      <c r="V411" s="96" t="s">
        <v>94</v>
      </c>
      <c r="W411" s="96" t="s">
        <v>97</v>
      </c>
      <c r="X411" s="96" t="s">
        <v>290</v>
      </c>
      <c r="Y411" s="96" t="s">
        <v>225</v>
      </c>
      <c r="Z411" s="96" t="s">
        <v>226</v>
      </c>
      <c r="AA411" s="96" t="s">
        <v>291</v>
      </c>
      <c r="AB411" s="96" t="s">
        <v>292</v>
      </c>
      <c r="AC411" s="96" t="s">
        <v>293</v>
      </c>
      <c r="AD411" s="96" t="s">
        <v>294</v>
      </c>
      <c r="AE411" s="96" t="s">
        <v>295</v>
      </c>
      <c r="AF411" s="96" t="s">
        <v>296</v>
      </c>
      <c r="AG411" s="96" t="s">
        <v>297</v>
      </c>
      <c r="AH411" s="96">
        <v>2012</v>
      </c>
      <c r="AI411" s="96" t="s">
        <v>298</v>
      </c>
      <c r="AJ411" s="96" t="s">
        <v>299</v>
      </c>
      <c r="AK411" s="27" t="s">
        <v>110</v>
      </c>
    </row>
    <row r="412" spans="1:37">
      <c r="A412" s="70">
        <v>407</v>
      </c>
      <c r="B412" s="70">
        <f t="shared" si="18"/>
        <v>0</v>
      </c>
      <c r="C412" s="71"/>
      <c r="D412" s="59" t="s">
        <v>1024</v>
      </c>
      <c r="E412" s="60">
        <v>12327</v>
      </c>
      <c r="F412" s="10" t="s">
        <v>203</v>
      </c>
      <c r="G412" s="60">
        <v>806</v>
      </c>
      <c r="H412" s="81">
        <v>55</v>
      </c>
      <c r="I412" s="86">
        <v>100</v>
      </c>
      <c r="J412" s="81">
        <v>55</v>
      </c>
      <c r="K412" s="86">
        <v>100</v>
      </c>
      <c r="L412" s="81">
        <v>313</v>
      </c>
      <c r="M412" s="86">
        <v>291</v>
      </c>
      <c r="N412" s="81">
        <v>15306</v>
      </c>
      <c r="O412" s="86">
        <v>18828</v>
      </c>
      <c r="P412" s="89">
        <f t="shared" si="19"/>
        <v>302</v>
      </c>
      <c r="Q412" s="89">
        <f t="shared" si="20"/>
        <v>17067</v>
      </c>
      <c r="R412" s="96" t="s">
        <v>94</v>
      </c>
      <c r="S412" s="96" t="s">
        <v>168</v>
      </c>
      <c r="T412" s="96" t="s">
        <v>94</v>
      </c>
      <c r="U412" s="96" t="s">
        <v>136</v>
      </c>
      <c r="V412" s="96" t="s">
        <v>94</v>
      </c>
      <c r="W412" s="96" t="s">
        <v>97</v>
      </c>
      <c r="X412" s="96" t="s">
        <v>169</v>
      </c>
      <c r="Y412" s="96" t="s">
        <v>110</v>
      </c>
      <c r="Z412" s="96" t="s">
        <v>148</v>
      </c>
      <c r="AA412" s="96" t="s">
        <v>204</v>
      </c>
      <c r="AB412" s="96" t="s">
        <v>205</v>
      </c>
      <c r="AC412" s="96" t="s">
        <v>206</v>
      </c>
      <c r="AD412" s="96" t="s">
        <v>207</v>
      </c>
      <c r="AE412" s="96" t="s">
        <v>208</v>
      </c>
      <c r="AF412" s="96" t="s">
        <v>209</v>
      </c>
      <c r="AG412" s="96" t="s">
        <v>110</v>
      </c>
      <c r="AH412" s="96">
        <v>2329</v>
      </c>
      <c r="AI412" s="96" t="s">
        <v>210</v>
      </c>
      <c r="AJ412" s="96" t="s">
        <v>211</v>
      </c>
      <c r="AK412" s="27" t="s">
        <v>110</v>
      </c>
    </row>
    <row r="413" spans="1:37">
      <c r="A413" s="70">
        <v>408</v>
      </c>
      <c r="B413" s="70">
        <f t="shared" si="18"/>
        <v>0</v>
      </c>
      <c r="C413" s="71"/>
      <c r="D413" s="59" t="s">
        <v>1024</v>
      </c>
      <c r="E413" s="60">
        <v>13713</v>
      </c>
      <c r="F413" s="10" t="s">
        <v>288</v>
      </c>
      <c r="G413" s="60">
        <v>803</v>
      </c>
      <c r="H413" s="81">
        <v>10</v>
      </c>
      <c r="I413" s="86">
        <v>16</v>
      </c>
      <c r="J413" s="81">
        <v>10</v>
      </c>
      <c r="K413" s="86">
        <v>16</v>
      </c>
      <c r="L413" s="81">
        <v>312</v>
      </c>
      <c r="M413" s="86">
        <v>289</v>
      </c>
      <c r="N413" s="81">
        <v>15468</v>
      </c>
      <c r="O413" s="86">
        <v>19652</v>
      </c>
      <c r="P413" s="89">
        <f t="shared" si="19"/>
        <v>300.5</v>
      </c>
      <c r="Q413" s="89">
        <f t="shared" si="20"/>
        <v>17560</v>
      </c>
      <c r="R413" s="96" t="s">
        <v>94</v>
      </c>
      <c r="S413" s="96" t="s">
        <v>289</v>
      </c>
      <c r="T413" s="96" t="s">
        <v>94</v>
      </c>
      <c r="U413" s="96" t="s">
        <v>136</v>
      </c>
      <c r="V413" s="96" t="s">
        <v>94</v>
      </c>
      <c r="W413" s="96" t="s">
        <v>97</v>
      </c>
      <c r="X413" s="96" t="s">
        <v>290</v>
      </c>
      <c r="Y413" s="96" t="s">
        <v>225</v>
      </c>
      <c r="Z413" s="96" t="s">
        <v>226</v>
      </c>
      <c r="AA413" s="96" t="s">
        <v>291</v>
      </c>
      <c r="AB413" s="96" t="s">
        <v>292</v>
      </c>
      <c r="AC413" s="96" t="s">
        <v>293</v>
      </c>
      <c r="AD413" s="96" t="s">
        <v>294</v>
      </c>
      <c r="AE413" s="96" t="s">
        <v>295</v>
      </c>
      <c r="AF413" s="96" t="s">
        <v>296</v>
      </c>
      <c r="AG413" s="96" t="s">
        <v>297</v>
      </c>
      <c r="AH413" s="96">
        <v>2012</v>
      </c>
      <c r="AI413" s="96" t="s">
        <v>298</v>
      </c>
      <c r="AJ413" s="96" t="s">
        <v>299</v>
      </c>
      <c r="AK413" s="27" t="s">
        <v>110</v>
      </c>
    </row>
    <row r="414" spans="1:37">
      <c r="A414" s="70">
        <v>409</v>
      </c>
      <c r="B414" s="70">
        <f t="shared" si="18"/>
        <v>0</v>
      </c>
      <c r="C414" s="71"/>
      <c r="D414" s="59" t="s">
        <v>1024</v>
      </c>
      <c r="E414" s="60">
        <v>12040</v>
      </c>
      <c r="F414" s="10" t="s">
        <v>179</v>
      </c>
      <c r="G414" s="60">
        <v>801</v>
      </c>
      <c r="H414" s="81">
        <v>125</v>
      </c>
      <c r="I414" s="86">
        <v>125</v>
      </c>
      <c r="J414" s="81">
        <v>125</v>
      </c>
      <c r="K414" s="86">
        <v>125</v>
      </c>
      <c r="L414" s="81">
        <v>312</v>
      </c>
      <c r="M414" s="86">
        <v>289</v>
      </c>
      <c r="N414" s="81">
        <v>15605</v>
      </c>
      <c r="O414" s="86">
        <v>19774</v>
      </c>
      <c r="P414" s="89">
        <f t="shared" si="19"/>
        <v>300.5</v>
      </c>
      <c r="Q414" s="89">
        <f t="shared" si="20"/>
        <v>17689.5</v>
      </c>
      <c r="R414" s="96" t="s">
        <v>94</v>
      </c>
      <c r="S414" s="96" t="s">
        <v>124</v>
      </c>
      <c r="T414" s="96" t="s">
        <v>94</v>
      </c>
      <c r="U414" s="96" t="s">
        <v>136</v>
      </c>
      <c r="V414" s="96" t="s">
        <v>180</v>
      </c>
      <c r="W414" s="96" t="s">
        <v>97</v>
      </c>
      <c r="X414" s="96" t="s">
        <v>98</v>
      </c>
      <c r="Y414" s="96" t="s">
        <v>181</v>
      </c>
      <c r="Z414" s="96" t="s">
        <v>182</v>
      </c>
      <c r="AA414" s="96" t="s">
        <v>183</v>
      </c>
      <c r="AB414" s="96" t="s">
        <v>184</v>
      </c>
      <c r="AC414" s="96" t="s">
        <v>185</v>
      </c>
      <c r="AD414" s="96" t="s">
        <v>186</v>
      </c>
      <c r="AE414" s="96" t="s">
        <v>187</v>
      </c>
      <c r="AF414" s="96" t="s">
        <v>188</v>
      </c>
      <c r="AG414" s="96" t="s">
        <v>110</v>
      </c>
      <c r="AH414" s="96">
        <v>2377</v>
      </c>
      <c r="AI414" s="96" t="s">
        <v>189</v>
      </c>
      <c r="AJ414" s="96" t="s">
        <v>190</v>
      </c>
      <c r="AK414" s="27" t="s">
        <v>110</v>
      </c>
    </row>
    <row r="415" spans="1:37">
      <c r="A415" s="70">
        <v>410</v>
      </c>
      <c r="B415" s="70">
        <f t="shared" si="18"/>
        <v>0</v>
      </c>
      <c r="C415" s="71"/>
      <c r="D415" s="59" t="s">
        <v>1024</v>
      </c>
      <c r="E415" s="60">
        <v>13929</v>
      </c>
      <c r="F415" s="10" t="s">
        <v>338</v>
      </c>
      <c r="G415" s="60">
        <v>801</v>
      </c>
      <c r="H415" s="81">
        <v>240</v>
      </c>
      <c r="I415" s="86">
        <v>833</v>
      </c>
      <c r="J415" s="81">
        <v>240</v>
      </c>
      <c r="K415" s="86">
        <v>833</v>
      </c>
      <c r="L415" s="81">
        <v>318</v>
      </c>
      <c r="M415" s="86">
        <v>281</v>
      </c>
      <c r="N415" s="81">
        <v>13481</v>
      </c>
      <c r="O415" s="86">
        <v>22954</v>
      </c>
      <c r="P415" s="89">
        <f t="shared" si="19"/>
        <v>299.5</v>
      </c>
      <c r="Q415" s="89">
        <f t="shared" si="20"/>
        <v>18217.5</v>
      </c>
      <c r="R415" s="96" t="s">
        <v>94</v>
      </c>
      <c r="S415" s="96" t="s">
        <v>124</v>
      </c>
      <c r="T415" s="96" t="s">
        <v>94</v>
      </c>
      <c r="U415" s="96" t="s">
        <v>136</v>
      </c>
      <c r="V415" s="96" t="s">
        <v>94</v>
      </c>
      <c r="W415" s="96" t="s">
        <v>97</v>
      </c>
      <c r="X415" s="96" t="s">
        <v>98</v>
      </c>
      <c r="Y415" s="96" t="s">
        <v>110</v>
      </c>
      <c r="Z415" s="96" t="s">
        <v>110</v>
      </c>
      <c r="AA415" s="96" t="s">
        <v>339</v>
      </c>
      <c r="AB415" s="96" t="s">
        <v>340</v>
      </c>
      <c r="AC415" s="96" t="s">
        <v>341</v>
      </c>
      <c r="AD415" s="96" t="s">
        <v>342</v>
      </c>
      <c r="AE415" s="96" t="s">
        <v>343</v>
      </c>
      <c r="AF415" s="96" t="s">
        <v>344</v>
      </c>
      <c r="AG415" s="96" t="s">
        <v>345</v>
      </c>
      <c r="AH415" s="96">
        <v>1436</v>
      </c>
      <c r="AI415" s="96" t="s">
        <v>346</v>
      </c>
      <c r="AJ415" s="96" t="s">
        <v>347</v>
      </c>
      <c r="AK415" s="27" t="s">
        <v>110</v>
      </c>
    </row>
    <row r="416" spans="1:37">
      <c r="A416" s="70">
        <v>411</v>
      </c>
      <c r="B416" s="70">
        <f t="shared" si="18"/>
        <v>0</v>
      </c>
      <c r="C416" s="71"/>
      <c r="D416" s="59" t="s">
        <v>1024</v>
      </c>
      <c r="E416" s="60">
        <v>12743</v>
      </c>
      <c r="F416" s="10" t="s">
        <v>300</v>
      </c>
      <c r="G416" s="60">
        <v>802</v>
      </c>
      <c r="H416" s="81">
        <v>356</v>
      </c>
      <c r="I416" s="86">
        <v>30</v>
      </c>
      <c r="J416" s="81">
        <v>356</v>
      </c>
      <c r="K416" s="86">
        <v>30</v>
      </c>
      <c r="L416" s="81">
        <v>307</v>
      </c>
      <c r="M416" s="86">
        <v>288</v>
      </c>
      <c r="N416" s="81">
        <v>17550</v>
      </c>
      <c r="O416" s="86">
        <v>19882</v>
      </c>
      <c r="P416" s="89">
        <f t="shared" si="19"/>
        <v>297.5</v>
      </c>
      <c r="Q416" s="89">
        <f t="shared" si="20"/>
        <v>18716</v>
      </c>
      <c r="R416" s="96" t="s">
        <v>94</v>
      </c>
      <c r="S416" s="96" t="s">
        <v>124</v>
      </c>
      <c r="T416" s="96" t="s">
        <v>94</v>
      </c>
      <c r="U416" s="96" t="s">
        <v>136</v>
      </c>
      <c r="V416" s="96" t="s">
        <v>94</v>
      </c>
      <c r="W416" s="96" t="s">
        <v>97</v>
      </c>
      <c r="X416" s="96" t="s">
        <v>98</v>
      </c>
      <c r="Y416" s="96" t="s">
        <v>256</v>
      </c>
      <c r="Z416" s="96" t="s">
        <v>148</v>
      </c>
      <c r="AA416" s="96" t="s">
        <v>301</v>
      </c>
      <c r="AB416" s="96" t="s">
        <v>302</v>
      </c>
      <c r="AC416" s="96" t="s">
        <v>303</v>
      </c>
      <c r="AD416" s="96" t="s">
        <v>304</v>
      </c>
      <c r="AE416" s="96" t="s">
        <v>305</v>
      </c>
      <c r="AF416" s="96" t="s">
        <v>306</v>
      </c>
      <c r="AG416" s="96" t="s">
        <v>307</v>
      </c>
      <c r="AH416" s="96">
        <v>1842</v>
      </c>
      <c r="AI416" s="96" t="s">
        <v>308</v>
      </c>
      <c r="AJ416" s="96" t="s">
        <v>309</v>
      </c>
      <c r="AK416" s="27" t="s">
        <v>110</v>
      </c>
    </row>
    <row r="417" spans="1:37">
      <c r="A417" s="70">
        <v>412</v>
      </c>
      <c r="B417" s="70">
        <f t="shared" si="18"/>
        <v>0</v>
      </c>
      <c r="C417" s="71"/>
      <c r="D417" s="59" t="s">
        <v>1024</v>
      </c>
      <c r="E417" s="60">
        <v>12958</v>
      </c>
      <c r="F417" s="10" t="s">
        <v>498</v>
      </c>
      <c r="G417" s="60">
        <v>801</v>
      </c>
      <c r="H417" s="81">
        <v>30</v>
      </c>
      <c r="I417" s="86">
        <v>24</v>
      </c>
      <c r="J417" s="81">
        <v>30</v>
      </c>
      <c r="K417" s="86">
        <v>24</v>
      </c>
      <c r="L417" s="81">
        <v>309</v>
      </c>
      <c r="M417" s="86">
        <v>285</v>
      </c>
      <c r="N417" s="81">
        <v>16713</v>
      </c>
      <c r="O417" s="86">
        <v>21210</v>
      </c>
      <c r="P417" s="89">
        <f t="shared" si="19"/>
        <v>297</v>
      </c>
      <c r="Q417" s="89">
        <f t="shared" si="20"/>
        <v>18961.5</v>
      </c>
      <c r="R417" s="96" t="s">
        <v>94</v>
      </c>
      <c r="S417" s="96" t="s">
        <v>499</v>
      </c>
      <c r="T417" s="96" t="s">
        <v>94</v>
      </c>
      <c r="U417" s="96" t="s">
        <v>136</v>
      </c>
      <c r="V417" s="96" t="s">
        <v>94</v>
      </c>
      <c r="W417" s="96" t="s">
        <v>97</v>
      </c>
      <c r="X417" s="96" t="s">
        <v>500</v>
      </c>
      <c r="Y417" s="96" t="s">
        <v>225</v>
      </c>
      <c r="Z417" s="96" t="s">
        <v>226</v>
      </c>
      <c r="AA417" s="96" t="s">
        <v>501</v>
      </c>
      <c r="AB417" s="96" t="s">
        <v>502</v>
      </c>
      <c r="AC417" s="96" t="s">
        <v>503</v>
      </c>
      <c r="AD417" s="96" t="s">
        <v>504</v>
      </c>
      <c r="AE417" s="96" t="s">
        <v>505</v>
      </c>
      <c r="AF417" s="96" t="s">
        <v>506</v>
      </c>
      <c r="AG417" s="96" t="s">
        <v>507</v>
      </c>
      <c r="AH417" s="96">
        <v>1527</v>
      </c>
      <c r="AI417" s="96" t="s">
        <v>508</v>
      </c>
      <c r="AJ417" s="96" t="s">
        <v>509</v>
      </c>
      <c r="AK417" s="27" t="s">
        <v>110</v>
      </c>
    </row>
    <row r="418" spans="1:37">
      <c r="A418" s="70">
        <v>413</v>
      </c>
      <c r="B418" s="70">
        <f t="shared" si="18"/>
        <v>0</v>
      </c>
      <c r="C418" s="71"/>
      <c r="D418" s="59" t="s">
        <v>1024</v>
      </c>
      <c r="E418" s="60">
        <v>12572</v>
      </c>
      <c r="F418" s="10" t="s">
        <v>191</v>
      </c>
      <c r="G418" s="60">
        <v>804</v>
      </c>
      <c r="H418" s="81">
        <v>154</v>
      </c>
      <c r="I418" s="86">
        <v>164</v>
      </c>
      <c r="J418" s="81">
        <v>154</v>
      </c>
      <c r="K418" s="86">
        <v>164</v>
      </c>
      <c r="L418" s="81">
        <v>305</v>
      </c>
      <c r="M418" s="86">
        <v>288</v>
      </c>
      <c r="N418" s="81">
        <v>18581</v>
      </c>
      <c r="O418" s="86">
        <v>20201</v>
      </c>
      <c r="P418" s="89">
        <f t="shared" si="19"/>
        <v>296.5</v>
      </c>
      <c r="Q418" s="89">
        <f t="shared" si="20"/>
        <v>19391</v>
      </c>
      <c r="R418" s="96" t="s">
        <v>94</v>
      </c>
      <c r="S418" s="96" t="s">
        <v>124</v>
      </c>
      <c r="T418" s="96" t="s">
        <v>94</v>
      </c>
      <c r="U418" s="96" t="s">
        <v>136</v>
      </c>
      <c r="V418" s="96" t="s">
        <v>94</v>
      </c>
      <c r="W418" s="96" t="s">
        <v>97</v>
      </c>
      <c r="X418" s="96" t="s">
        <v>98</v>
      </c>
      <c r="Y418" s="96" t="s">
        <v>192</v>
      </c>
      <c r="Z418" s="96" t="s">
        <v>193</v>
      </c>
      <c r="AA418" s="96" t="s">
        <v>194</v>
      </c>
      <c r="AB418" s="96" t="s">
        <v>195</v>
      </c>
      <c r="AC418" s="96" t="s">
        <v>196</v>
      </c>
      <c r="AD418" s="96" t="s">
        <v>197</v>
      </c>
      <c r="AE418" s="96" t="s">
        <v>198</v>
      </c>
      <c r="AF418" s="96" t="s">
        <v>199</v>
      </c>
      <c r="AG418" s="96" t="s">
        <v>200</v>
      </c>
      <c r="AH418" s="96">
        <v>1329</v>
      </c>
      <c r="AI418" s="96" t="s">
        <v>201</v>
      </c>
      <c r="AJ418" s="96" t="s">
        <v>202</v>
      </c>
      <c r="AK418" s="27" t="s">
        <v>110</v>
      </c>
    </row>
    <row r="419" spans="1:37">
      <c r="A419" s="70">
        <v>414</v>
      </c>
      <c r="B419" s="70">
        <f t="shared" si="18"/>
        <v>0</v>
      </c>
      <c r="C419" s="71"/>
      <c r="D419" s="59" t="s">
        <v>1024</v>
      </c>
      <c r="E419" s="60">
        <v>14066</v>
      </c>
      <c r="F419" s="10" t="s">
        <v>223</v>
      </c>
      <c r="G419" s="60">
        <v>801</v>
      </c>
      <c r="H419" s="81">
        <v>134</v>
      </c>
      <c r="I419" s="86">
        <v>180</v>
      </c>
      <c r="J419" s="81">
        <v>134</v>
      </c>
      <c r="K419" s="86">
        <v>180</v>
      </c>
      <c r="L419" s="81">
        <v>306</v>
      </c>
      <c r="M419" s="86">
        <v>286</v>
      </c>
      <c r="N419" s="81">
        <v>18248</v>
      </c>
      <c r="O419" s="86">
        <v>21015</v>
      </c>
      <c r="P419" s="89">
        <f t="shared" si="19"/>
        <v>296</v>
      </c>
      <c r="Q419" s="89">
        <f t="shared" si="20"/>
        <v>19631.5</v>
      </c>
      <c r="R419" s="96" t="s">
        <v>94</v>
      </c>
      <c r="S419" s="96" t="s">
        <v>224</v>
      </c>
      <c r="T419" s="96" t="s">
        <v>94</v>
      </c>
      <c r="U419" s="96" t="s">
        <v>136</v>
      </c>
      <c r="V419" s="96" t="s">
        <v>94</v>
      </c>
      <c r="W419" s="96" t="s">
        <v>97</v>
      </c>
      <c r="X419" s="96" t="s">
        <v>147</v>
      </c>
      <c r="Y419" s="96" t="s">
        <v>225</v>
      </c>
      <c r="Z419" s="96" t="s">
        <v>226</v>
      </c>
      <c r="AA419" s="96" t="s">
        <v>227</v>
      </c>
      <c r="AB419" s="96" t="s">
        <v>228</v>
      </c>
      <c r="AC419" s="96" t="s">
        <v>229</v>
      </c>
      <c r="AD419" s="96" t="s">
        <v>230</v>
      </c>
      <c r="AE419" s="96" t="s">
        <v>231</v>
      </c>
      <c r="AF419" s="96" t="s">
        <v>232</v>
      </c>
      <c r="AG419" s="96" t="s">
        <v>233</v>
      </c>
      <c r="AH419" s="96">
        <v>1464</v>
      </c>
      <c r="AI419" s="96" t="s">
        <v>234</v>
      </c>
      <c r="AJ419" s="96" t="s">
        <v>235</v>
      </c>
      <c r="AK419" s="27" t="s">
        <v>110</v>
      </c>
    </row>
    <row r="420" spans="1:37">
      <c r="A420" s="70">
        <v>415</v>
      </c>
      <c r="B420" s="70">
        <f t="shared" si="18"/>
        <v>0</v>
      </c>
      <c r="C420" s="71"/>
      <c r="D420" s="59" t="s">
        <v>1024</v>
      </c>
      <c r="E420" s="60">
        <v>14845</v>
      </c>
      <c r="F420" s="10" t="s">
        <v>135</v>
      </c>
      <c r="G420" s="60">
        <v>804</v>
      </c>
      <c r="H420" s="81">
        <v>75</v>
      </c>
      <c r="I420" s="86" t="s">
        <v>110</v>
      </c>
      <c r="J420" s="81">
        <v>75</v>
      </c>
      <c r="K420" s="86" t="s">
        <v>110</v>
      </c>
      <c r="L420" s="81">
        <v>301</v>
      </c>
      <c r="M420" s="86" t="s">
        <v>110</v>
      </c>
      <c r="N420" s="81">
        <v>20310</v>
      </c>
      <c r="O420" s="86" t="s">
        <v>110</v>
      </c>
      <c r="P420" s="89">
        <f t="shared" si="19"/>
        <v>301</v>
      </c>
      <c r="Q420" s="89">
        <f t="shared" si="20"/>
        <v>20310</v>
      </c>
      <c r="R420" s="96" t="s">
        <v>94</v>
      </c>
      <c r="S420" s="96" t="s">
        <v>95</v>
      </c>
      <c r="T420" s="96" t="s">
        <v>94</v>
      </c>
      <c r="U420" s="96" t="s">
        <v>136</v>
      </c>
      <c r="V420" s="96" t="s">
        <v>94</v>
      </c>
      <c r="W420" s="96" t="s">
        <v>97</v>
      </c>
      <c r="X420" s="96" t="s">
        <v>98</v>
      </c>
      <c r="Y420" s="96" t="s">
        <v>110</v>
      </c>
      <c r="Z420" s="96" t="s">
        <v>110</v>
      </c>
      <c r="AA420" s="96" t="s">
        <v>137</v>
      </c>
      <c r="AB420" s="96" t="s">
        <v>110</v>
      </c>
      <c r="AC420" s="96" t="s">
        <v>138</v>
      </c>
      <c r="AD420" s="96" t="s">
        <v>139</v>
      </c>
      <c r="AE420" s="96" t="s">
        <v>140</v>
      </c>
      <c r="AF420" s="96" t="s">
        <v>141</v>
      </c>
      <c r="AG420" s="96" t="s">
        <v>110</v>
      </c>
      <c r="AH420" s="96">
        <v>2768</v>
      </c>
      <c r="AI420" s="96" t="s">
        <v>142</v>
      </c>
      <c r="AJ420" s="96" t="s">
        <v>143</v>
      </c>
      <c r="AK420" s="27" t="s">
        <v>110</v>
      </c>
    </row>
    <row r="421" spans="1:37">
      <c r="A421" s="70">
        <v>416</v>
      </c>
      <c r="B421" s="70">
        <f t="shared" si="18"/>
        <v>0</v>
      </c>
      <c r="C421" s="71"/>
      <c r="D421" s="59" t="s">
        <v>1024</v>
      </c>
      <c r="E421" s="60">
        <v>13810</v>
      </c>
      <c r="F421" s="10" t="s">
        <v>144</v>
      </c>
      <c r="G421" s="60">
        <v>801</v>
      </c>
      <c r="H421" s="81">
        <v>50</v>
      </c>
      <c r="I421" s="86">
        <v>240</v>
      </c>
      <c r="J421" s="81">
        <v>50</v>
      </c>
      <c r="K421" s="86">
        <v>240</v>
      </c>
      <c r="L421" s="81">
        <v>321</v>
      </c>
      <c r="M421" s="86">
        <v>269</v>
      </c>
      <c r="N421" s="81">
        <v>12524</v>
      </c>
      <c r="O421" s="86">
        <v>28405</v>
      </c>
      <c r="P421" s="89">
        <f t="shared" si="19"/>
        <v>295</v>
      </c>
      <c r="Q421" s="89">
        <f t="shared" si="20"/>
        <v>20464.5</v>
      </c>
      <c r="R421" s="96" t="s">
        <v>94</v>
      </c>
      <c r="S421" s="96" t="s">
        <v>145</v>
      </c>
      <c r="T421" s="96" t="s">
        <v>94</v>
      </c>
      <c r="U421" s="96" t="s">
        <v>146</v>
      </c>
      <c r="V421" s="96" t="s">
        <v>94</v>
      </c>
      <c r="W421" s="96" t="s">
        <v>97</v>
      </c>
      <c r="X421" s="96" t="s">
        <v>147</v>
      </c>
      <c r="Y421" s="96" t="s">
        <v>110</v>
      </c>
      <c r="Z421" s="96" t="s">
        <v>148</v>
      </c>
      <c r="AA421" s="96" t="s">
        <v>149</v>
      </c>
      <c r="AB421" s="96" t="s">
        <v>110</v>
      </c>
      <c r="AC421" s="96" t="s">
        <v>150</v>
      </c>
      <c r="AD421" s="96" t="s">
        <v>151</v>
      </c>
      <c r="AE421" s="96" t="s">
        <v>152</v>
      </c>
      <c r="AF421" s="96" t="s">
        <v>153</v>
      </c>
      <c r="AG421" s="96" t="s">
        <v>110</v>
      </c>
      <c r="AH421" s="96">
        <v>662</v>
      </c>
      <c r="AI421" s="96" t="s">
        <v>154</v>
      </c>
      <c r="AJ421" s="96" t="s">
        <v>155</v>
      </c>
      <c r="AK421" s="27" t="s">
        <v>110</v>
      </c>
    </row>
    <row r="422" spans="1:37">
      <c r="A422" s="70">
        <v>417</v>
      </c>
      <c r="B422" s="70">
        <f t="shared" si="18"/>
        <v>0</v>
      </c>
      <c r="C422" s="71"/>
      <c r="D422" s="59" t="s">
        <v>1024</v>
      </c>
      <c r="E422" s="60">
        <v>13943</v>
      </c>
      <c r="F422" s="10" t="s">
        <v>212</v>
      </c>
      <c r="G422" s="60">
        <v>804</v>
      </c>
      <c r="H422" s="81">
        <v>39</v>
      </c>
      <c r="I422" s="86">
        <v>44</v>
      </c>
      <c r="J422" s="81">
        <v>39</v>
      </c>
      <c r="K422" s="86">
        <v>44</v>
      </c>
      <c r="L422" s="81">
        <v>309</v>
      </c>
      <c r="M422" s="86">
        <v>277</v>
      </c>
      <c r="N422" s="81">
        <v>16698</v>
      </c>
      <c r="O422" s="86">
        <v>24662</v>
      </c>
      <c r="P422" s="89">
        <f t="shared" si="19"/>
        <v>293</v>
      </c>
      <c r="Q422" s="89">
        <f t="shared" si="20"/>
        <v>20680</v>
      </c>
      <c r="R422" s="96" t="s">
        <v>94</v>
      </c>
      <c r="S422" s="96" t="s">
        <v>124</v>
      </c>
      <c r="T422" s="96" t="s">
        <v>94</v>
      </c>
      <c r="U422" s="96" t="s">
        <v>136</v>
      </c>
      <c r="V422" s="96" t="s">
        <v>94</v>
      </c>
      <c r="W422" s="96" t="s">
        <v>97</v>
      </c>
      <c r="X422" s="96" t="s">
        <v>98</v>
      </c>
      <c r="Y422" s="96" t="s">
        <v>213</v>
      </c>
      <c r="Z422" s="96" t="s">
        <v>193</v>
      </c>
      <c r="AA422" s="96" t="s">
        <v>214</v>
      </c>
      <c r="AB422" s="96" t="s">
        <v>215</v>
      </c>
      <c r="AC422" s="96" t="s">
        <v>216</v>
      </c>
      <c r="AD422" s="96" t="s">
        <v>217</v>
      </c>
      <c r="AE422" s="96" t="s">
        <v>218</v>
      </c>
      <c r="AF422" s="96" t="s">
        <v>219</v>
      </c>
      <c r="AG422" s="96" t="s">
        <v>220</v>
      </c>
      <c r="AH422" s="96">
        <v>1770</v>
      </c>
      <c r="AI422" s="96" t="s">
        <v>221</v>
      </c>
      <c r="AJ422" s="96" t="s">
        <v>222</v>
      </c>
      <c r="AK422" s="27" t="s">
        <v>110</v>
      </c>
    </row>
    <row r="423" spans="1:37">
      <c r="A423" s="70">
        <v>418</v>
      </c>
      <c r="B423" s="70">
        <f t="shared" si="18"/>
        <v>0</v>
      </c>
      <c r="C423" s="71"/>
      <c r="D423" s="59" t="s">
        <v>1024</v>
      </c>
      <c r="E423" s="60">
        <v>13943</v>
      </c>
      <c r="F423" s="10" t="s">
        <v>212</v>
      </c>
      <c r="G423" s="60">
        <v>806</v>
      </c>
      <c r="H423" s="81">
        <v>151</v>
      </c>
      <c r="I423" s="86">
        <v>228</v>
      </c>
      <c r="J423" s="81">
        <v>151</v>
      </c>
      <c r="K423" s="86">
        <v>228</v>
      </c>
      <c r="L423" s="81">
        <v>314</v>
      </c>
      <c r="M423" s="86">
        <v>272</v>
      </c>
      <c r="N423" s="81">
        <v>14865</v>
      </c>
      <c r="O423" s="86">
        <v>27068</v>
      </c>
      <c r="P423" s="89">
        <f t="shared" si="19"/>
        <v>293</v>
      </c>
      <c r="Q423" s="89">
        <f t="shared" si="20"/>
        <v>20966.5</v>
      </c>
      <c r="R423" s="96" t="s">
        <v>94</v>
      </c>
      <c r="S423" s="96" t="s">
        <v>124</v>
      </c>
      <c r="T423" s="96" t="s">
        <v>94</v>
      </c>
      <c r="U423" s="96" t="s">
        <v>136</v>
      </c>
      <c r="V423" s="96" t="s">
        <v>94</v>
      </c>
      <c r="W423" s="96" t="s">
        <v>97</v>
      </c>
      <c r="X423" s="96" t="s">
        <v>98</v>
      </c>
      <c r="Y423" s="96" t="s">
        <v>213</v>
      </c>
      <c r="Z423" s="96" t="s">
        <v>193</v>
      </c>
      <c r="AA423" s="96" t="s">
        <v>214</v>
      </c>
      <c r="AB423" s="96" t="s">
        <v>215</v>
      </c>
      <c r="AC423" s="96" t="s">
        <v>216</v>
      </c>
      <c r="AD423" s="96" t="s">
        <v>217</v>
      </c>
      <c r="AE423" s="96" t="s">
        <v>218</v>
      </c>
      <c r="AF423" s="96" t="s">
        <v>219</v>
      </c>
      <c r="AG423" s="96" t="s">
        <v>220</v>
      </c>
      <c r="AH423" s="96">
        <v>1770</v>
      </c>
      <c r="AI423" s="96" t="s">
        <v>221</v>
      </c>
      <c r="AJ423" s="96" t="s">
        <v>222</v>
      </c>
      <c r="AK423" s="27" t="s">
        <v>110</v>
      </c>
    </row>
    <row r="424" spans="1:37">
      <c r="A424" s="70">
        <v>419</v>
      </c>
      <c r="B424" s="70">
        <f t="shared" si="18"/>
        <v>0</v>
      </c>
      <c r="C424" s="71"/>
      <c r="D424" s="59" t="s">
        <v>1024</v>
      </c>
      <c r="E424" s="60">
        <v>12741</v>
      </c>
      <c r="F424" s="10" t="s">
        <v>581</v>
      </c>
      <c r="G424" s="60">
        <v>803</v>
      </c>
      <c r="H424" s="81">
        <v>140</v>
      </c>
      <c r="I424" s="86">
        <v>52</v>
      </c>
      <c r="J424" s="81">
        <v>140</v>
      </c>
      <c r="K424" s="86">
        <v>52</v>
      </c>
      <c r="L424" s="81">
        <v>292</v>
      </c>
      <c r="M424" s="86">
        <v>290</v>
      </c>
      <c r="N424" s="81">
        <v>24425</v>
      </c>
      <c r="O424" s="86">
        <v>19232</v>
      </c>
      <c r="P424" s="89">
        <f t="shared" si="19"/>
        <v>291</v>
      </c>
      <c r="Q424" s="89">
        <f t="shared" si="20"/>
        <v>21828.5</v>
      </c>
      <c r="R424" s="96" t="s">
        <v>94</v>
      </c>
      <c r="S424" s="96" t="s">
        <v>124</v>
      </c>
      <c r="T424" s="96" t="s">
        <v>94</v>
      </c>
      <c r="U424" s="96" t="s">
        <v>136</v>
      </c>
      <c r="V424" s="96" t="s">
        <v>94</v>
      </c>
      <c r="W424" s="96" t="s">
        <v>97</v>
      </c>
      <c r="X424" s="96" t="s">
        <v>98</v>
      </c>
      <c r="Y424" s="96" t="s">
        <v>349</v>
      </c>
      <c r="Z424" s="96" t="s">
        <v>226</v>
      </c>
      <c r="AA424" s="96" t="s">
        <v>582</v>
      </c>
      <c r="AB424" s="96" t="s">
        <v>583</v>
      </c>
      <c r="AC424" s="96" t="s">
        <v>584</v>
      </c>
      <c r="AD424" s="96" t="s">
        <v>585</v>
      </c>
      <c r="AE424" s="96" t="s">
        <v>586</v>
      </c>
      <c r="AF424" s="96" t="s">
        <v>587</v>
      </c>
      <c r="AG424" s="96" t="s">
        <v>588</v>
      </c>
      <c r="AH424" s="96">
        <v>1994</v>
      </c>
      <c r="AI424" s="96" t="s">
        <v>589</v>
      </c>
      <c r="AJ424" s="96" t="s">
        <v>590</v>
      </c>
      <c r="AK424" s="27" t="s">
        <v>110</v>
      </c>
    </row>
    <row r="425" spans="1:37">
      <c r="A425" s="70">
        <v>420</v>
      </c>
      <c r="B425" s="70">
        <f t="shared" si="18"/>
        <v>0</v>
      </c>
      <c r="C425" s="71"/>
      <c r="D425" s="59" t="s">
        <v>1024</v>
      </c>
      <c r="E425" s="60">
        <v>13943</v>
      </c>
      <c r="F425" s="10" t="s">
        <v>212</v>
      </c>
      <c r="G425" s="60">
        <v>802</v>
      </c>
      <c r="H425" s="81">
        <v>46</v>
      </c>
      <c r="I425" s="86">
        <v>48</v>
      </c>
      <c r="J425" s="81">
        <v>46</v>
      </c>
      <c r="K425" s="86">
        <v>48</v>
      </c>
      <c r="L425" s="81">
        <v>312</v>
      </c>
      <c r="M425" s="86">
        <v>267</v>
      </c>
      <c r="N425" s="81">
        <v>15493</v>
      </c>
      <c r="O425" s="86">
        <v>29475</v>
      </c>
      <c r="P425" s="89">
        <f t="shared" si="19"/>
        <v>289.5</v>
      </c>
      <c r="Q425" s="89">
        <f t="shared" si="20"/>
        <v>22484</v>
      </c>
      <c r="R425" s="96" t="s">
        <v>94</v>
      </c>
      <c r="S425" s="96" t="s">
        <v>124</v>
      </c>
      <c r="T425" s="96" t="s">
        <v>94</v>
      </c>
      <c r="U425" s="96" t="s">
        <v>136</v>
      </c>
      <c r="V425" s="96" t="s">
        <v>94</v>
      </c>
      <c r="W425" s="96" t="s">
        <v>97</v>
      </c>
      <c r="X425" s="96" t="s">
        <v>98</v>
      </c>
      <c r="Y425" s="96" t="s">
        <v>213</v>
      </c>
      <c r="Z425" s="96" t="s">
        <v>193</v>
      </c>
      <c r="AA425" s="96" t="s">
        <v>214</v>
      </c>
      <c r="AB425" s="96" t="s">
        <v>215</v>
      </c>
      <c r="AC425" s="96" t="s">
        <v>216</v>
      </c>
      <c r="AD425" s="96" t="s">
        <v>217</v>
      </c>
      <c r="AE425" s="96" t="s">
        <v>218</v>
      </c>
      <c r="AF425" s="96" t="s">
        <v>219</v>
      </c>
      <c r="AG425" s="96" t="s">
        <v>220</v>
      </c>
      <c r="AH425" s="96">
        <v>1770</v>
      </c>
      <c r="AI425" s="96" t="s">
        <v>221</v>
      </c>
      <c r="AJ425" s="96" t="s">
        <v>222</v>
      </c>
      <c r="AK425" s="27" t="s">
        <v>110</v>
      </c>
    </row>
    <row r="426" spans="1:37">
      <c r="A426" s="70">
        <v>421</v>
      </c>
      <c r="B426" s="70">
        <f t="shared" si="18"/>
        <v>0</v>
      </c>
      <c r="C426" s="71"/>
      <c r="D426" s="59" t="s">
        <v>1024</v>
      </c>
      <c r="E426" s="60">
        <v>12040</v>
      </c>
      <c r="F426" s="10" t="s">
        <v>179</v>
      </c>
      <c r="G426" s="60">
        <v>802</v>
      </c>
      <c r="H426" s="81">
        <v>60</v>
      </c>
      <c r="I426" s="86">
        <v>60</v>
      </c>
      <c r="J426" s="81">
        <v>60</v>
      </c>
      <c r="K426" s="86">
        <v>60</v>
      </c>
      <c r="L426" s="81">
        <v>305</v>
      </c>
      <c r="M426" s="86">
        <v>271</v>
      </c>
      <c r="N426" s="81">
        <v>18440</v>
      </c>
      <c r="O426" s="86">
        <v>27091</v>
      </c>
      <c r="P426" s="89">
        <f t="shared" si="19"/>
        <v>288</v>
      </c>
      <c r="Q426" s="89">
        <f t="shared" si="20"/>
        <v>22765.5</v>
      </c>
      <c r="R426" s="96" t="s">
        <v>94</v>
      </c>
      <c r="S426" s="96" t="s">
        <v>124</v>
      </c>
      <c r="T426" s="96" t="s">
        <v>94</v>
      </c>
      <c r="U426" s="96" t="s">
        <v>136</v>
      </c>
      <c r="V426" s="96" t="s">
        <v>180</v>
      </c>
      <c r="W426" s="96" t="s">
        <v>97</v>
      </c>
      <c r="X426" s="96" t="s">
        <v>98</v>
      </c>
      <c r="Y426" s="96" t="s">
        <v>181</v>
      </c>
      <c r="Z426" s="96" t="s">
        <v>182</v>
      </c>
      <c r="AA426" s="96" t="s">
        <v>183</v>
      </c>
      <c r="AB426" s="96" t="s">
        <v>184</v>
      </c>
      <c r="AC426" s="96" t="s">
        <v>185</v>
      </c>
      <c r="AD426" s="96" t="s">
        <v>186</v>
      </c>
      <c r="AE426" s="96" t="s">
        <v>187</v>
      </c>
      <c r="AF426" s="96" t="s">
        <v>188</v>
      </c>
      <c r="AG426" s="96" t="s">
        <v>110</v>
      </c>
      <c r="AH426" s="96">
        <v>2377</v>
      </c>
      <c r="AI426" s="96" t="s">
        <v>189</v>
      </c>
      <c r="AJ426" s="96" t="s">
        <v>190</v>
      </c>
      <c r="AK426" s="27" t="s">
        <v>110</v>
      </c>
    </row>
    <row r="427" spans="1:37">
      <c r="A427" s="70">
        <v>422</v>
      </c>
      <c r="B427" s="70">
        <f t="shared" si="18"/>
        <v>0</v>
      </c>
      <c r="C427" s="71"/>
      <c r="D427" s="59" t="s">
        <v>1024</v>
      </c>
      <c r="E427" s="60">
        <v>14063</v>
      </c>
      <c r="F427" s="10" t="s">
        <v>534</v>
      </c>
      <c r="G427" s="60">
        <v>804</v>
      </c>
      <c r="H427" s="81">
        <v>1768</v>
      </c>
      <c r="I427" s="86">
        <v>1719</v>
      </c>
      <c r="J427" s="81">
        <v>1768</v>
      </c>
      <c r="K427" s="86">
        <v>1719</v>
      </c>
      <c r="L427" s="81">
        <v>297</v>
      </c>
      <c r="M427" s="86">
        <v>278</v>
      </c>
      <c r="N427" s="81">
        <v>22008</v>
      </c>
      <c r="O427" s="86">
        <v>24134</v>
      </c>
      <c r="P427" s="89">
        <f t="shared" si="19"/>
        <v>287.5</v>
      </c>
      <c r="Q427" s="89">
        <f t="shared" si="20"/>
        <v>23071</v>
      </c>
      <c r="R427" s="96" t="s">
        <v>94</v>
      </c>
      <c r="S427" s="96" t="s">
        <v>124</v>
      </c>
      <c r="T427" s="96" t="s">
        <v>94</v>
      </c>
      <c r="U427" s="96" t="s">
        <v>136</v>
      </c>
      <c r="V427" s="96" t="s">
        <v>94</v>
      </c>
      <c r="W427" s="96" t="s">
        <v>97</v>
      </c>
      <c r="X427" s="96" t="s">
        <v>98</v>
      </c>
      <c r="Y427" s="96" t="s">
        <v>225</v>
      </c>
      <c r="Z427" s="96" t="s">
        <v>110</v>
      </c>
      <c r="AA427" s="96" t="s">
        <v>535</v>
      </c>
      <c r="AB427" s="96" t="s">
        <v>536</v>
      </c>
      <c r="AC427" s="96" t="s">
        <v>537</v>
      </c>
      <c r="AD427" s="96" t="s">
        <v>538</v>
      </c>
      <c r="AE427" s="96" t="s">
        <v>539</v>
      </c>
      <c r="AF427" s="96" t="s">
        <v>540</v>
      </c>
      <c r="AG427" s="96" t="s">
        <v>541</v>
      </c>
      <c r="AH427" s="96">
        <v>1822</v>
      </c>
      <c r="AI427" s="96" t="s">
        <v>542</v>
      </c>
      <c r="AJ427" s="96" t="s">
        <v>543</v>
      </c>
      <c r="AK427" s="27" t="s">
        <v>110</v>
      </c>
    </row>
    <row r="428" spans="1:37">
      <c r="A428" s="70">
        <v>423</v>
      </c>
      <c r="B428" s="70">
        <f t="shared" si="18"/>
        <v>0</v>
      </c>
      <c r="C428" s="71"/>
      <c r="D428" s="59" t="s">
        <v>1024</v>
      </c>
      <c r="E428" s="60">
        <v>12743</v>
      </c>
      <c r="F428" s="10" t="s">
        <v>300</v>
      </c>
      <c r="G428" s="60">
        <v>803</v>
      </c>
      <c r="H428" s="81">
        <v>452</v>
      </c>
      <c r="I428" s="86">
        <v>33</v>
      </c>
      <c r="J428" s="81">
        <v>452</v>
      </c>
      <c r="K428" s="86">
        <v>33</v>
      </c>
      <c r="L428" s="81">
        <v>300</v>
      </c>
      <c r="M428" s="86">
        <v>274</v>
      </c>
      <c r="N428" s="81">
        <v>20747</v>
      </c>
      <c r="O428" s="86">
        <v>25771</v>
      </c>
      <c r="P428" s="89">
        <f t="shared" si="19"/>
        <v>287</v>
      </c>
      <c r="Q428" s="89">
        <f t="shared" si="20"/>
        <v>23259</v>
      </c>
      <c r="R428" s="96" t="s">
        <v>94</v>
      </c>
      <c r="S428" s="96" t="s">
        <v>124</v>
      </c>
      <c r="T428" s="96" t="s">
        <v>94</v>
      </c>
      <c r="U428" s="96" t="s">
        <v>136</v>
      </c>
      <c r="V428" s="96" t="s">
        <v>94</v>
      </c>
      <c r="W428" s="96" t="s">
        <v>97</v>
      </c>
      <c r="X428" s="96" t="s">
        <v>98</v>
      </c>
      <c r="Y428" s="96" t="s">
        <v>256</v>
      </c>
      <c r="Z428" s="96" t="s">
        <v>148</v>
      </c>
      <c r="AA428" s="96" t="s">
        <v>301</v>
      </c>
      <c r="AB428" s="96" t="s">
        <v>302</v>
      </c>
      <c r="AC428" s="96" t="s">
        <v>303</v>
      </c>
      <c r="AD428" s="96" t="s">
        <v>304</v>
      </c>
      <c r="AE428" s="96" t="s">
        <v>305</v>
      </c>
      <c r="AF428" s="96" t="s">
        <v>306</v>
      </c>
      <c r="AG428" s="96" t="s">
        <v>307</v>
      </c>
      <c r="AH428" s="96">
        <v>1842</v>
      </c>
      <c r="AI428" s="96" t="s">
        <v>308</v>
      </c>
      <c r="AJ428" s="96" t="s">
        <v>309</v>
      </c>
      <c r="AK428" s="27" t="s">
        <v>110</v>
      </c>
    </row>
    <row r="429" spans="1:37">
      <c r="A429" s="70">
        <v>424</v>
      </c>
      <c r="B429" s="70">
        <f t="shared" si="18"/>
        <v>0</v>
      </c>
      <c r="C429" s="71"/>
      <c r="D429" s="59" t="s">
        <v>1024</v>
      </c>
      <c r="E429" s="60">
        <v>13919</v>
      </c>
      <c r="F429" s="10" t="s">
        <v>348</v>
      </c>
      <c r="G429" s="60">
        <v>804</v>
      </c>
      <c r="H429" s="81">
        <v>138</v>
      </c>
      <c r="I429" s="86">
        <v>145</v>
      </c>
      <c r="J429" s="81">
        <v>138</v>
      </c>
      <c r="K429" s="86">
        <v>145</v>
      </c>
      <c r="L429" s="81">
        <v>306</v>
      </c>
      <c r="M429" s="86">
        <v>267</v>
      </c>
      <c r="N429" s="81">
        <v>18150</v>
      </c>
      <c r="O429" s="86">
        <v>29133</v>
      </c>
      <c r="P429" s="89">
        <f t="shared" si="19"/>
        <v>286.5</v>
      </c>
      <c r="Q429" s="89">
        <f t="shared" si="20"/>
        <v>23641.5</v>
      </c>
      <c r="R429" s="96" t="s">
        <v>94</v>
      </c>
      <c r="S429" s="96" t="s">
        <v>124</v>
      </c>
      <c r="T429" s="96" t="s">
        <v>94</v>
      </c>
      <c r="U429" s="96" t="s">
        <v>136</v>
      </c>
      <c r="V429" s="96" t="s">
        <v>94</v>
      </c>
      <c r="W429" s="96" t="s">
        <v>97</v>
      </c>
      <c r="X429" s="96" t="s">
        <v>98</v>
      </c>
      <c r="Y429" s="96" t="s">
        <v>349</v>
      </c>
      <c r="Z429" s="96" t="s">
        <v>226</v>
      </c>
      <c r="AA429" s="96" t="s">
        <v>350</v>
      </c>
      <c r="AB429" s="96" t="s">
        <v>351</v>
      </c>
      <c r="AC429" s="96" t="s">
        <v>352</v>
      </c>
      <c r="AD429" s="96" t="s">
        <v>353</v>
      </c>
      <c r="AE429" s="96" t="s">
        <v>354</v>
      </c>
      <c r="AF429" s="96" t="s">
        <v>355</v>
      </c>
      <c r="AG429" s="96" t="s">
        <v>356</v>
      </c>
      <c r="AH429" s="96">
        <v>1626</v>
      </c>
      <c r="AI429" s="96" t="s">
        <v>357</v>
      </c>
      <c r="AJ429" s="96" t="s">
        <v>358</v>
      </c>
      <c r="AK429" s="27" t="s">
        <v>110</v>
      </c>
    </row>
    <row r="430" spans="1:37">
      <c r="A430" s="70">
        <v>425</v>
      </c>
      <c r="B430" s="70">
        <f t="shared" si="18"/>
        <v>0</v>
      </c>
      <c r="C430" s="71"/>
      <c r="D430" s="59" t="s">
        <v>1024</v>
      </c>
      <c r="E430" s="60">
        <v>14066</v>
      </c>
      <c r="F430" s="10" t="s">
        <v>223</v>
      </c>
      <c r="G430" s="60">
        <v>802</v>
      </c>
      <c r="H430" s="81">
        <v>99</v>
      </c>
      <c r="I430" s="86">
        <v>259</v>
      </c>
      <c r="J430" s="81">
        <v>99</v>
      </c>
      <c r="K430" s="86">
        <v>259</v>
      </c>
      <c r="L430" s="81">
        <v>296</v>
      </c>
      <c r="M430" s="86">
        <v>275</v>
      </c>
      <c r="N430" s="81">
        <v>22705</v>
      </c>
      <c r="O430" s="86">
        <v>25560</v>
      </c>
      <c r="P430" s="89">
        <f t="shared" si="19"/>
        <v>285.5</v>
      </c>
      <c r="Q430" s="89">
        <f t="shared" si="20"/>
        <v>24132.5</v>
      </c>
      <c r="R430" s="96" t="s">
        <v>94</v>
      </c>
      <c r="S430" s="96" t="s">
        <v>224</v>
      </c>
      <c r="T430" s="96" t="s">
        <v>94</v>
      </c>
      <c r="U430" s="96" t="s">
        <v>136</v>
      </c>
      <c r="V430" s="96" t="s">
        <v>94</v>
      </c>
      <c r="W430" s="96" t="s">
        <v>97</v>
      </c>
      <c r="X430" s="96" t="s">
        <v>147</v>
      </c>
      <c r="Y430" s="96" t="s">
        <v>225</v>
      </c>
      <c r="Z430" s="96" t="s">
        <v>226</v>
      </c>
      <c r="AA430" s="96" t="s">
        <v>227</v>
      </c>
      <c r="AB430" s="96" t="s">
        <v>228</v>
      </c>
      <c r="AC430" s="96" t="s">
        <v>229</v>
      </c>
      <c r="AD430" s="96" t="s">
        <v>230</v>
      </c>
      <c r="AE430" s="96" t="s">
        <v>231</v>
      </c>
      <c r="AF430" s="96" t="s">
        <v>232</v>
      </c>
      <c r="AG430" s="96" t="s">
        <v>233</v>
      </c>
      <c r="AH430" s="96">
        <v>1464</v>
      </c>
      <c r="AI430" s="96" t="s">
        <v>234</v>
      </c>
      <c r="AJ430" s="96" t="s">
        <v>235</v>
      </c>
      <c r="AK430" s="27" t="s">
        <v>110</v>
      </c>
    </row>
    <row r="431" spans="1:37">
      <c r="A431" s="70">
        <v>426</v>
      </c>
      <c r="B431" s="70">
        <f t="shared" si="18"/>
        <v>0</v>
      </c>
      <c r="C431" s="71"/>
      <c r="D431" s="59" t="s">
        <v>1024</v>
      </c>
      <c r="E431" s="60">
        <v>13943</v>
      </c>
      <c r="F431" s="10" t="s">
        <v>212</v>
      </c>
      <c r="G431" s="60">
        <v>801</v>
      </c>
      <c r="H431" s="81">
        <v>199</v>
      </c>
      <c r="I431" s="86">
        <v>255</v>
      </c>
      <c r="J431" s="81">
        <v>199</v>
      </c>
      <c r="K431" s="86">
        <v>255</v>
      </c>
      <c r="L431" s="81">
        <v>299</v>
      </c>
      <c r="M431" s="86">
        <v>270</v>
      </c>
      <c r="N431" s="81">
        <v>21275</v>
      </c>
      <c r="O431" s="86">
        <v>28044</v>
      </c>
      <c r="P431" s="89">
        <f t="shared" si="19"/>
        <v>284.5</v>
      </c>
      <c r="Q431" s="89">
        <f t="shared" si="20"/>
        <v>24659.5</v>
      </c>
      <c r="R431" s="96" t="s">
        <v>94</v>
      </c>
      <c r="S431" s="96" t="s">
        <v>124</v>
      </c>
      <c r="T431" s="96" t="s">
        <v>94</v>
      </c>
      <c r="U431" s="96" t="s">
        <v>136</v>
      </c>
      <c r="V431" s="96" t="s">
        <v>94</v>
      </c>
      <c r="W431" s="96" t="s">
        <v>97</v>
      </c>
      <c r="X431" s="96" t="s">
        <v>98</v>
      </c>
      <c r="Y431" s="96" t="s">
        <v>213</v>
      </c>
      <c r="Z431" s="96" t="s">
        <v>193</v>
      </c>
      <c r="AA431" s="96" t="s">
        <v>214</v>
      </c>
      <c r="AB431" s="96" t="s">
        <v>215</v>
      </c>
      <c r="AC431" s="96" t="s">
        <v>216</v>
      </c>
      <c r="AD431" s="96" t="s">
        <v>217</v>
      </c>
      <c r="AE431" s="96" t="s">
        <v>218</v>
      </c>
      <c r="AF431" s="96" t="s">
        <v>219</v>
      </c>
      <c r="AG431" s="96" t="s">
        <v>220</v>
      </c>
      <c r="AH431" s="96">
        <v>1770</v>
      </c>
      <c r="AI431" s="96" t="s">
        <v>221</v>
      </c>
      <c r="AJ431" s="96" t="s">
        <v>222</v>
      </c>
      <c r="AK431" s="27" t="s">
        <v>110</v>
      </c>
    </row>
    <row r="432" spans="1:37">
      <c r="A432" s="70">
        <v>427</v>
      </c>
      <c r="B432" s="70">
        <f t="shared" si="18"/>
        <v>0</v>
      </c>
      <c r="C432" s="71"/>
      <c r="D432" s="59" t="s">
        <v>1024</v>
      </c>
      <c r="E432" s="60">
        <v>13943</v>
      </c>
      <c r="F432" s="10" t="s">
        <v>212</v>
      </c>
      <c r="G432" s="60">
        <v>808</v>
      </c>
      <c r="H432" s="81">
        <v>56</v>
      </c>
      <c r="I432" s="86">
        <v>45</v>
      </c>
      <c r="J432" s="81">
        <v>56</v>
      </c>
      <c r="K432" s="86">
        <v>45</v>
      </c>
      <c r="L432" s="81">
        <v>302</v>
      </c>
      <c r="M432" s="86">
        <v>266</v>
      </c>
      <c r="N432" s="81">
        <v>19837</v>
      </c>
      <c r="O432" s="86">
        <v>29556</v>
      </c>
      <c r="P432" s="89">
        <f t="shared" si="19"/>
        <v>284</v>
      </c>
      <c r="Q432" s="89">
        <f t="shared" si="20"/>
        <v>24696.5</v>
      </c>
      <c r="R432" s="96" t="s">
        <v>94</v>
      </c>
      <c r="S432" s="96" t="s">
        <v>124</v>
      </c>
      <c r="T432" s="96" t="s">
        <v>94</v>
      </c>
      <c r="U432" s="96" t="s">
        <v>136</v>
      </c>
      <c r="V432" s="96" t="s">
        <v>94</v>
      </c>
      <c r="W432" s="96" t="s">
        <v>97</v>
      </c>
      <c r="X432" s="96" t="s">
        <v>98</v>
      </c>
      <c r="Y432" s="96" t="s">
        <v>213</v>
      </c>
      <c r="Z432" s="96" t="s">
        <v>193</v>
      </c>
      <c r="AA432" s="96" t="s">
        <v>214</v>
      </c>
      <c r="AB432" s="96" t="s">
        <v>215</v>
      </c>
      <c r="AC432" s="96" t="s">
        <v>216</v>
      </c>
      <c r="AD432" s="96" t="s">
        <v>217</v>
      </c>
      <c r="AE432" s="96" t="s">
        <v>218</v>
      </c>
      <c r="AF432" s="96" t="s">
        <v>219</v>
      </c>
      <c r="AG432" s="96" t="s">
        <v>220</v>
      </c>
      <c r="AH432" s="96">
        <v>1770</v>
      </c>
      <c r="AI432" s="96" t="s">
        <v>221</v>
      </c>
      <c r="AJ432" s="96" t="s">
        <v>222</v>
      </c>
      <c r="AK432" s="27" t="s">
        <v>110</v>
      </c>
    </row>
    <row r="433" spans="1:37">
      <c r="A433" s="70">
        <v>428</v>
      </c>
      <c r="B433" s="70">
        <f t="shared" si="18"/>
        <v>0</v>
      </c>
      <c r="C433" s="71"/>
      <c r="D433" s="59" t="s">
        <v>1024</v>
      </c>
      <c r="E433" s="60">
        <v>12741</v>
      </c>
      <c r="F433" s="10" t="s">
        <v>581</v>
      </c>
      <c r="G433" s="60">
        <v>802</v>
      </c>
      <c r="H433" s="81">
        <v>124</v>
      </c>
      <c r="I433" s="86">
        <v>66</v>
      </c>
      <c r="J433" s="81">
        <v>124</v>
      </c>
      <c r="K433" s="86">
        <v>66</v>
      </c>
      <c r="L433" s="81">
        <v>286</v>
      </c>
      <c r="M433" s="86">
        <v>281</v>
      </c>
      <c r="N433" s="81">
        <v>27550</v>
      </c>
      <c r="O433" s="86">
        <v>22696</v>
      </c>
      <c r="P433" s="89">
        <f t="shared" si="19"/>
        <v>283.5</v>
      </c>
      <c r="Q433" s="89">
        <f t="shared" si="20"/>
        <v>25123</v>
      </c>
      <c r="R433" s="96" t="s">
        <v>94</v>
      </c>
      <c r="S433" s="96" t="s">
        <v>124</v>
      </c>
      <c r="T433" s="96" t="s">
        <v>94</v>
      </c>
      <c r="U433" s="96" t="s">
        <v>136</v>
      </c>
      <c r="V433" s="96" t="s">
        <v>94</v>
      </c>
      <c r="W433" s="96" t="s">
        <v>97</v>
      </c>
      <c r="X433" s="96" t="s">
        <v>98</v>
      </c>
      <c r="Y433" s="96" t="s">
        <v>349</v>
      </c>
      <c r="Z433" s="96" t="s">
        <v>226</v>
      </c>
      <c r="AA433" s="96" t="s">
        <v>582</v>
      </c>
      <c r="AB433" s="96" t="s">
        <v>583</v>
      </c>
      <c r="AC433" s="96" t="s">
        <v>584</v>
      </c>
      <c r="AD433" s="96" t="s">
        <v>585</v>
      </c>
      <c r="AE433" s="96" t="s">
        <v>586</v>
      </c>
      <c r="AF433" s="96" t="s">
        <v>587</v>
      </c>
      <c r="AG433" s="96" t="s">
        <v>588</v>
      </c>
      <c r="AH433" s="96">
        <v>1994</v>
      </c>
      <c r="AI433" s="96" t="s">
        <v>589</v>
      </c>
      <c r="AJ433" s="96" t="s">
        <v>590</v>
      </c>
      <c r="AK433" s="27" t="s">
        <v>110</v>
      </c>
    </row>
    <row r="434" spans="1:37">
      <c r="A434" s="70">
        <v>429</v>
      </c>
      <c r="B434" s="70">
        <f t="shared" si="18"/>
        <v>0</v>
      </c>
      <c r="C434" s="71"/>
      <c r="D434" s="59" t="s">
        <v>1024</v>
      </c>
      <c r="E434" s="60">
        <v>13943</v>
      </c>
      <c r="F434" s="10" t="s">
        <v>212</v>
      </c>
      <c r="G434" s="60">
        <v>807</v>
      </c>
      <c r="H434" s="81">
        <v>47</v>
      </c>
      <c r="I434" s="86">
        <v>135</v>
      </c>
      <c r="J434" s="81">
        <v>47</v>
      </c>
      <c r="K434" s="86">
        <v>135</v>
      </c>
      <c r="L434" s="81">
        <v>301</v>
      </c>
      <c r="M434" s="86">
        <v>264</v>
      </c>
      <c r="N434" s="81">
        <v>20004</v>
      </c>
      <c r="O434" s="86">
        <v>30869</v>
      </c>
      <c r="P434" s="89">
        <f t="shared" si="19"/>
        <v>282.5</v>
      </c>
      <c r="Q434" s="89">
        <f t="shared" si="20"/>
        <v>25436.5</v>
      </c>
      <c r="R434" s="96" t="s">
        <v>94</v>
      </c>
      <c r="S434" s="96" t="s">
        <v>124</v>
      </c>
      <c r="T434" s="96" t="s">
        <v>94</v>
      </c>
      <c r="U434" s="96" t="s">
        <v>136</v>
      </c>
      <c r="V434" s="96" t="s">
        <v>94</v>
      </c>
      <c r="W434" s="96" t="s">
        <v>97</v>
      </c>
      <c r="X434" s="96" t="s">
        <v>98</v>
      </c>
      <c r="Y434" s="96" t="s">
        <v>213</v>
      </c>
      <c r="Z434" s="96" t="s">
        <v>193</v>
      </c>
      <c r="AA434" s="96" t="s">
        <v>214</v>
      </c>
      <c r="AB434" s="96" t="s">
        <v>215</v>
      </c>
      <c r="AC434" s="96" t="s">
        <v>216</v>
      </c>
      <c r="AD434" s="96" t="s">
        <v>217</v>
      </c>
      <c r="AE434" s="96" t="s">
        <v>218</v>
      </c>
      <c r="AF434" s="96" t="s">
        <v>219</v>
      </c>
      <c r="AG434" s="96" t="s">
        <v>220</v>
      </c>
      <c r="AH434" s="96">
        <v>1770</v>
      </c>
      <c r="AI434" s="96" t="s">
        <v>221</v>
      </c>
      <c r="AJ434" s="96" t="s">
        <v>222</v>
      </c>
      <c r="AK434" s="27" t="s">
        <v>110</v>
      </c>
    </row>
    <row r="435" spans="1:37">
      <c r="A435" s="70">
        <v>430</v>
      </c>
      <c r="B435" s="70">
        <f t="shared" si="18"/>
        <v>0</v>
      </c>
      <c r="C435" s="71"/>
      <c r="D435" s="59" t="s">
        <v>1024</v>
      </c>
      <c r="E435" s="60">
        <v>14756</v>
      </c>
      <c r="F435" s="10" t="s">
        <v>519</v>
      </c>
      <c r="G435" s="60">
        <v>801</v>
      </c>
      <c r="H435" s="81">
        <v>195</v>
      </c>
      <c r="I435" s="86">
        <v>255</v>
      </c>
      <c r="J435" s="81">
        <v>195</v>
      </c>
      <c r="K435" s="86">
        <v>255</v>
      </c>
      <c r="L435" s="81">
        <v>290</v>
      </c>
      <c r="M435" s="86">
        <v>274</v>
      </c>
      <c r="N435" s="81">
        <v>25385</v>
      </c>
      <c r="O435" s="86">
        <v>25853</v>
      </c>
      <c r="P435" s="89">
        <f t="shared" si="19"/>
        <v>282</v>
      </c>
      <c r="Q435" s="89">
        <f t="shared" si="20"/>
        <v>25619</v>
      </c>
      <c r="R435" s="96" t="s">
        <v>94</v>
      </c>
      <c r="S435" s="96" t="s">
        <v>124</v>
      </c>
      <c r="T435" s="96" t="s">
        <v>94</v>
      </c>
      <c r="U435" s="96" t="s">
        <v>136</v>
      </c>
      <c r="V435" s="96" t="s">
        <v>94</v>
      </c>
      <c r="W435" s="96" t="s">
        <v>97</v>
      </c>
      <c r="X435" s="96" t="s">
        <v>98</v>
      </c>
      <c r="Y435" s="96" t="s">
        <v>110</v>
      </c>
      <c r="Z435" s="96" t="s">
        <v>110</v>
      </c>
      <c r="AA435" s="96" t="s">
        <v>520</v>
      </c>
      <c r="AB435" s="96" t="s">
        <v>110</v>
      </c>
      <c r="AC435" s="96" t="s">
        <v>110</v>
      </c>
      <c r="AD435" s="96" t="s">
        <v>110</v>
      </c>
      <c r="AE435" s="96" t="s">
        <v>521</v>
      </c>
      <c r="AF435" s="96" t="s">
        <v>522</v>
      </c>
      <c r="AG435" s="96" t="s">
        <v>110</v>
      </c>
      <c r="AH435" s="96">
        <v>2685</v>
      </c>
      <c r="AI435" s="96" t="s">
        <v>523</v>
      </c>
      <c r="AJ435" s="96" t="s">
        <v>524</v>
      </c>
      <c r="AK435" s="27" t="s">
        <v>110</v>
      </c>
    </row>
    <row r="436" spans="1:37">
      <c r="A436" s="70">
        <v>431</v>
      </c>
      <c r="B436" s="70">
        <f t="shared" si="18"/>
        <v>0</v>
      </c>
      <c r="C436" s="71"/>
      <c r="D436" s="59" t="s">
        <v>1024</v>
      </c>
      <c r="E436" s="60">
        <v>13919</v>
      </c>
      <c r="F436" s="10" t="s">
        <v>348</v>
      </c>
      <c r="G436" s="60">
        <v>809</v>
      </c>
      <c r="H436" s="81">
        <v>39</v>
      </c>
      <c r="I436" s="86" t="s">
        <v>110</v>
      </c>
      <c r="J436" s="81">
        <v>39</v>
      </c>
      <c r="K436" s="86" t="s">
        <v>110</v>
      </c>
      <c r="L436" s="81">
        <v>289</v>
      </c>
      <c r="M436" s="86" t="s">
        <v>110</v>
      </c>
      <c r="N436" s="81">
        <v>26221</v>
      </c>
      <c r="O436" s="86" t="s">
        <v>110</v>
      </c>
      <c r="P436" s="89">
        <f t="shared" si="19"/>
        <v>289</v>
      </c>
      <c r="Q436" s="89">
        <f t="shared" si="20"/>
        <v>26221</v>
      </c>
      <c r="R436" s="96" t="s">
        <v>94</v>
      </c>
      <c r="S436" s="96" t="s">
        <v>124</v>
      </c>
      <c r="T436" s="96" t="s">
        <v>94</v>
      </c>
      <c r="U436" s="96" t="s">
        <v>136</v>
      </c>
      <c r="V436" s="96" t="s">
        <v>94</v>
      </c>
      <c r="W436" s="96" t="s">
        <v>97</v>
      </c>
      <c r="X436" s="96" t="s">
        <v>98</v>
      </c>
      <c r="Y436" s="96" t="s">
        <v>349</v>
      </c>
      <c r="Z436" s="96" t="s">
        <v>226</v>
      </c>
      <c r="AA436" s="96" t="s">
        <v>350</v>
      </c>
      <c r="AB436" s="96" t="s">
        <v>351</v>
      </c>
      <c r="AC436" s="96" t="s">
        <v>352</v>
      </c>
      <c r="AD436" s="96" t="s">
        <v>353</v>
      </c>
      <c r="AE436" s="96" t="s">
        <v>354</v>
      </c>
      <c r="AF436" s="96" t="s">
        <v>355</v>
      </c>
      <c r="AG436" s="96" t="s">
        <v>356</v>
      </c>
      <c r="AH436" s="96">
        <v>1626</v>
      </c>
      <c r="AI436" s="96" t="s">
        <v>357</v>
      </c>
      <c r="AJ436" s="96" t="s">
        <v>358</v>
      </c>
      <c r="AK436" s="27" t="s">
        <v>110</v>
      </c>
    </row>
    <row r="437" spans="1:37">
      <c r="A437" s="70">
        <v>432</v>
      </c>
      <c r="B437" s="70">
        <f t="shared" si="18"/>
        <v>0</v>
      </c>
      <c r="C437" s="71"/>
      <c r="D437" s="59" t="s">
        <v>1024</v>
      </c>
      <c r="E437" s="60">
        <v>13919</v>
      </c>
      <c r="F437" s="10" t="s">
        <v>348</v>
      </c>
      <c r="G437" s="60">
        <v>801</v>
      </c>
      <c r="H437" s="81">
        <v>309</v>
      </c>
      <c r="I437" s="86">
        <v>270</v>
      </c>
      <c r="J437" s="81">
        <v>309</v>
      </c>
      <c r="K437" s="86">
        <v>270</v>
      </c>
      <c r="L437" s="81">
        <v>296</v>
      </c>
      <c r="M437" s="86">
        <v>265</v>
      </c>
      <c r="N437" s="81">
        <v>22412</v>
      </c>
      <c r="O437" s="86">
        <v>30248</v>
      </c>
      <c r="P437" s="89">
        <f t="shared" si="19"/>
        <v>280.5</v>
      </c>
      <c r="Q437" s="89">
        <f t="shared" si="20"/>
        <v>26330</v>
      </c>
      <c r="R437" s="96" t="s">
        <v>94</v>
      </c>
      <c r="S437" s="96" t="s">
        <v>124</v>
      </c>
      <c r="T437" s="96" t="s">
        <v>94</v>
      </c>
      <c r="U437" s="96" t="s">
        <v>136</v>
      </c>
      <c r="V437" s="96" t="s">
        <v>94</v>
      </c>
      <c r="W437" s="96" t="s">
        <v>97</v>
      </c>
      <c r="X437" s="96" t="s">
        <v>98</v>
      </c>
      <c r="Y437" s="96" t="s">
        <v>349</v>
      </c>
      <c r="Z437" s="96" t="s">
        <v>226</v>
      </c>
      <c r="AA437" s="96" t="s">
        <v>350</v>
      </c>
      <c r="AB437" s="96" t="s">
        <v>351</v>
      </c>
      <c r="AC437" s="96" t="s">
        <v>352</v>
      </c>
      <c r="AD437" s="96" t="s">
        <v>353</v>
      </c>
      <c r="AE437" s="96" t="s">
        <v>354</v>
      </c>
      <c r="AF437" s="96" t="s">
        <v>355</v>
      </c>
      <c r="AG437" s="96" t="s">
        <v>356</v>
      </c>
      <c r="AH437" s="96">
        <v>1626</v>
      </c>
      <c r="AI437" s="96" t="s">
        <v>357</v>
      </c>
      <c r="AJ437" s="96" t="s">
        <v>358</v>
      </c>
      <c r="AK437" s="27" t="s">
        <v>110</v>
      </c>
    </row>
    <row r="438" spans="1:37">
      <c r="A438" s="70">
        <v>433</v>
      </c>
      <c r="B438" s="70">
        <f t="shared" si="18"/>
        <v>0</v>
      </c>
      <c r="C438" s="71"/>
      <c r="D438" s="59" t="s">
        <v>1024</v>
      </c>
      <c r="E438" s="60">
        <v>13919</v>
      </c>
      <c r="F438" s="10" t="s">
        <v>348</v>
      </c>
      <c r="G438" s="60">
        <v>803</v>
      </c>
      <c r="H438" s="81">
        <v>176</v>
      </c>
      <c r="I438" s="86">
        <v>140</v>
      </c>
      <c r="J438" s="81">
        <v>176</v>
      </c>
      <c r="K438" s="86">
        <v>140</v>
      </c>
      <c r="L438" s="81">
        <v>296</v>
      </c>
      <c r="M438" s="86">
        <v>265</v>
      </c>
      <c r="N438" s="81">
        <v>22575</v>
      </c>
      <c r="O438" s="86">
        <v>30138</v>
      </c>
      <c r="P438" s="89">
        <f t="shared" si="19"/>
        <v>280.5</v>
      </c>
      <c r="Q438" s="89">
        <f t="shared" si="20"/>
        <v>26356.5</v>
      </c>
      <c r="R438" s="96" t="s">
        <v>94</v>
      </c>
      <c r="S438" s="96" t="s">
        <v>124</v>
      </c>
      <c r="T438" s="96" t="s">
        <v>94</v>
      </c>
      <c r="U438" s="96" t="s">
        <v>136</v>
      </c>
      <c r="V438" s="96" t="s">
        <v>94</v>
      </c>
      <c r="W438" s="96" t="s">
        <v>97</v>
      </c>
      <c r="X438" s="96" t="s">
        <v>98</v>
      </c>
      <c r="Y438" s="96" t="s">
        <v>349</v>
      </c>
      <c r="Z438" s="96" t="s">
        <v>226</v>
      </c>
      <c r="AA438" s="96" t="s">
        <v>350</v>
      </c>
      <c r="AB438" s="96" t="s">
        <v>351</v>
      </c>
      <c r="AC438" s="96" t="s">
        <v>352</v>
      </c>
      <c r="AD438" s="96" t="s">
        <v>353</v>
      </c>
      <c r="AE438" s="96" t="s">
        <v>354</v>
      </c>
      <c r="AF438" s="96" t="s">
        <v>355</v>
      </c>
      <c r="AG438" s="96" t="s">
        <v>356</v>
      </c>
      <c r="AH438" s="96">
        <v>1626</v>
      </c>
      <c r="AI438" s="96" t="s">
        <v>357</v>
      </c>
      <c r="AJ438" s="96" t="s">
        <v>358</v>
      </c>
      <c r="AK438" s="27" t="s">
        <v>110</v>
      </c>
    </row>
    <row r="439" spans="1:37">
      <c r="A439" s="70">
        <v>434</v>
      </c>
      <c r="B439" s="70">
        <f t="shared" si="18"/>
        <v>0</v>
      </c>
      <c r="C439" s="71"/>
      <c r="D439" s="59" t="s">
        <v>1024</v>
      </c>
      <c r="E439" s="60">
        <v>12743</v>
      </c>
      <c r="F439" s="10" t="s">
        <v>300</v>
      </c>
      <c r="G439" s="60">
        <v>804</v>
      </c>
      <c r="H439" s="81">
        <v>921</v>
      </c>
      <c r="I439" s="86">
        <v>33</v>
      </c>
      <c r="J439" s="81">
        <v>921</v>
      </c>
      <c r="K439" s="86">
        <v>33</v>
      </c>
      <c r="L439" s="81">
        <v>272</v>
      </c>
      <c r="M439" s="86">
        <v>298</v>
      </c>
      <c r="N439" s="81">
        <v>36489</v>
      </c>
      <c r="O439" s="86">
        <v>16682</v>
      </c>
      <c r="P439" s="89">
        <f t="shared" si="19"/>
        <v>285</v>
      </c>
      <c r="Q439" s="89">
        <f t="shared" si="20"/>
        <v>26585.5</v>
      </c>
      <c r="R439" s="96" t="s">
        <v>94</v>
      </c>
      <c r="S439" s="96" t="s">
        <v>124</v>
      </c>
      <c r="T439" s="96" t="s">
        <v>94</v>
      </c>
      <c r="U439" s="96" t="s">
        <v>136</v>
      </c>
      <c r="V439" s="96" t="s">
        <v>94</v>
      </c>
      <c r="W439" s="96" t="s">
        <v>97</v>
      </c>
      <c r="X439" s="96" t="s">
        <v>98</v>
      </c>
      <c r="Y439" s="96" t="s">
        <v>256</v>
      </c>
      <c r="Z439" s="96" t="s">
        <v>148</v>
      </c>
      <c r="AA439" s="96" t="s">
        <v>301</v>
      </c>
      <c r="AB439" s="96" t="s">
        <v>302</v>
      </c>
      <c r="AC439" s="96" t="s">
        <v>303</v>
      </c>
      <c r="AD439" s="96" t="s">
        <v>304</v>
      </c>
      <c r="AE439" s="96" t="s">
        <v>305</v>
      </c>
      <c r="AF439" s="96" t="s">
        <v>306</v>
      </c>
      <c r="AG439" s="96" t="s">
        <v>307</v>
      </c>
      <c r="AH439" s="96">
        <v>1842</v>
      </c>
      <c r="AI439" s="96" t="s">
        <v>308</v>
      </c>
      <c r="AJ439" s="96" t="s">
        <v>309</v>
      </c>
      <c r="AK439" s="27" t="s">
        <v>110</v>
      </c>
    </row>
    <row r="440" spans="1:37">
      <c r="A440" s="70">
        <v>435</v>
      </c>
      <c r="B440" s="70">
        <f t="shared" si="18"/>
        <v>0</v>
      </c>
      <c r="C440" s="71"/>
      <c r="D440" s="59" t="s">
        <v>1024</v>
      </c>
      <c r="E440" s="60">
        <v>13708</v>
      </c>
      <c r="F440" s="10" t="s">
        <v>411</v>
      </c>
      <c r="G440" s="60">
        <v>802</v>
      </c>
      <c r="H440" s="81">
        <v>12</v>
      </c>
      <c r="I440" s="86">
        <v>20</v>
      </c>
      <c r="J440" s="81">
        <v>12</v>
      </c>
      <c r="K440" s="86">
        <v>20</v>
      </c>
      <c r="L440" s="81">
        <v>297</v>
      </c>
      <c r="M440" s="86">
        <v>260</v>
      </c>
      <c r="N440" s="81">
        <v>21985</v>
      </c>
      <c r="O440" s="86">
        <v>32638</v>
      </c>
      <c r="P440" s="89">
        <f t="shared" si="19"/>
        <v>278.5</v>
      </c>
      <c r="Q440" s="89">
        <f t="shared" si="20"/>
        <v>27311.5</v>
      </c>
      <c r="R440" s="96" t="s">
        <v>94</v>
      </c>
      <c r="S440" s="96" t="s">
        <v>124</v>
      </c>
      <c r="T440" s="96" t="s">
        <v>94</v>
      </c>
      <c r="U440" s="96" t="s">
        <v>136</v>
      </c>
      <c r="V440" s="96" t="s">
        <v>94</v>
      </c>
      <c r="W440" s="96" t="s">
        <v>97</v>
      </c>
      <c r="X440" s="96" t="s">
        <v>98</v>
      </c>
      <c r="Y440" s="96" t="s">
        <v>110</v>
      </c>
      <c r="Z440" s="96" t="s">
        <v>148</v>
      </c>
      <c r="AA440" s="96" t="s">
        <v>412</v>
      </c>
      <c r="AB440" s="96" t="s">
        <v>413</v>
      </c>
      <c r="AC440" s="96" t="s">
        <v>414</v>
      </c>
      <c r="AD440" s="96" t="s">
        <v>415</v>
      </c>
      <c r="AE440" s="96" t="s">
        <v>416</v>
      </c>
      <c r="AF440" s="96" t="s">
        <v>417</v>
      </c>
      <c r="AG440" s="96" t="s">
        <v>110</v>
      </c>
      <c r="AH440" s="96">
        <v>2091</v>
      </c>
      <c r="AI440" s="96" t="s">
        <v>418</v>
      </c>
      <c r="AJ440" s="96" t="s">
        <v>419</v>
      </c>
      <c r="AK440" s="27" t="s">
        <v>110</v>
      </c>
    </row>
    <row r="441" spans="1:37">
      <c r="A441" s="70">
        <v>436</v>
      </c>
      <c r="B441" s="70">
        <f t="shared" si="18"/>
        <v>0</v>
      </c>
      <c r="C441" s="71"/>
      <c r="D441" s="59" t="s">
        <v>1024</v>
      </c>
      <c r="E441" s="60">
        <v>14592</v>
      </c>
      <c r="F441" s="10" t="s">
        <v>246</v>
      </c>
      <c r="G441" s="60">
        <v>801</v>
      </c>
      <c r="H441" s="81">
        <v>245</v>
      </c>
      <c r="I441" s="86" t="s">
        <v>110</v>
      </c>
      <c r="J441" s="81">
        <v>245</v>
      </c>
      <c r="K441" s="86" t="s">
        <v>110</v>
      </c>
      <c r="L441" s="81">
        <v>287</v>
      </c>
      <c r="M441" s="86" t="s">
        <v>110</v>
      </c>
      <c r="N441" s="81">
        <v>27438</v>
      </c>
      <c r="O441" s="86" t="s">
        <v>110</v>
      </c>
      <c r="P441" s="89">
        <f t="shared" si="19"/>
        <v>287</v>
      </c>
      <c r="Q441" s="89">
        <f t="shared" si="20"/>
        <v>27438</v>
      </c>
      <c r="R441" s="96" t="s">
        <v>94</v>
      </c>
      <c r="S441" s="96" t="s">
        <v>124</v>
      </c>
      <c r="T441" s="96" t="s">
        <v>94</v>
      </c>
      <c r="U441" s="96" t="s">
        <v>136</v>
      </c>
      <c r="V441" s="96" t="s">
        <v>94</v>
      </c>
      <c r="W441" s="96" t="s">
        <v>97</v>
      </c>
      <c r="X441" s="96" t="s">
        <v>98</v>
      </c>
      <c r="Y441" s="96" t="s">
        <v>110</v>
      </c>
      <c r="Z441" s="96" t="s">
        <v>110</v>
      </c>
      <c r="AA441" s="96" t="s">
        <v>247</v>
      </c>
      <c r="AB441" s="96" t="s">
        <v>110</v>
      </c>
      <c r="AC441" s="96" t="s">
        <v>248</v>
      </c>
      <c r="AD441" s="96" t="s">
        <v>249</v>
      </c>
      <c r="AE441" s="96" t="s">
        <v>250</v>
      </c>
      <c r="AF441" s="96" t="s">
        <v>251</v>
      </c>
      <c r="AG441" s="96" t="s">
        <v>110</v>
      </c>
      <c r="AH441" s="96">
        <v>2632</v>
      </c>
      <c r="AI441" s="96" t="s">
        <v>252</v>
      </c>
      <c r="AJ441" s="96" t="s">
        <v>253</v>
      </c>
      <c r="AK441" s="27" t="s">
        <v>110</v>
      </c>
    </row>
    <row r="442" spans="1:37">
      <c r="A442" s="70">
        <v>437</v>
      </c>
      <c r="B442" s="70">
        <f t="shared" si="18"/>
        <v>0</v>
      </c>
      <c r="C442" s="71"/>
      <c r="D442" s="59" t="s">
        <v>1024</v>
      </c>
      <c r="E442" s="60">
        <v>12322</v>
      </c>
      <c r="F442" s="10" t="s">
        <v>478</v>
      </c>
      <c r="G442" s="60">
        <v>801</v>
      </c>
      <c r="H442" s="81">
        <v>1615</v>
      </c>
      <c r="I442" s="86">
        <v>1029</v>
      </c>
      <c r="J442" s="81">
        <v>1615</v>
      </c>
      <c r="K442" s="86">
        <v>1029</v>
      </c>
      <c r="L442" s="81">
        <v>281</v>
      </c>
      <c r="M442" s="86">
        <v>277</v>
      </c>
      <c r="N442" s="81">
        <v>30527</v>
      </c>
      <c r="O442" s="86">
        <v>24676</v>
      </c>
      <c r="P442" s="89">
        <f t="shared" si="19"/>
        <v>279</v>
      </c>
      <c r="Q442" s="89">
        <f t="shared" si="20"/>
        <v>27601.5</v>
      </c>
      <c r="R442" s="96" t="s">
        <v>94</v>
      </c>
      <c r="S442" s="96" t="s">
        <v>124</v>
      </c>
      <c r="T442" s="96" t="s">
        <v>94</v>
      </c>
      <c r="U442" s="96" t="s">
        <v>136</v>
      </c>
      <c r="V442" s="96" t="s">
        <v>94</v>
      </c>
      <c r="W442" s="96" t="s">
        <v>97</v>
      </c>
      <c r="X442" s="96" t="s">
        <v>98</v>
      </c>
      <c r="Y442" s="96" t="s">
        <v>479</v>
      </c>
      <c r="Z442" s="96" t="s">
        <v>480</v>
      </c>
      <c r="AA442" s="96" t="s">
        <v>481</v>
      </c>
      <c r="AB442" s="96" t="s">
        <v>482</v>
      </c>
      <c r="AC442" s="96" t="s">
        <v>483</v>
      </c>
      <c r="AD442" s="96" t="s">
        <v>484</v>
      </c>
      <c r="AE442" s="96" t="s">
        <v>485</v>
      </c>
      <c r="AF442" s="96" t="s">
        <v>486</v>
      </c>
      <c r="AG442" s="96" t="s">
        <v>487</v>
      </c>
      <c r="AH442" s="96">
        <v>1473</v>
      </c>
      <c r="AI442" s="96" t="s">
        <v>488</v>
      </c>
      <c r="AJ442" s="96" t="s">
        <v>489</v>
      </c>
      <c r="AK442" s="27" t="s">
        <v>110</v>
      </c>
    </row>
    <row r="443" spans="1:37">
      <c r="A443" s="70">
        <v>438</v>
      </c>
      <c r="B443" s="70">
        <f t="shared" si="18"/>
        <v>0</v>
      </c>
      <c r="C443" s="71"/>
      <c r="D443" s="59" t="s">
        <v>1024</v>
      </c>
      <c r="E443" s="60">
        <v>14063</v>
      </c>
      <c r="F443" s="10" t="s">
        <v>534</v>
      </c>
      <c r="G443" s="60">
        <v>805</v>
      </c>
      <c r="H443" s="81">
        <v>362</v>
      </c>
      <c r="I443" s="86">
        <v>332</v>
      </c>
      <c r="J443" s="81">
        <v>362</v>
      </c>
      <c r="K443" s="86">
        <v>332</v>
      </c>
      <c r="L443" s="81">
        <v>285</v>
      </c>
      <c r="M443" s="86">
        <v>271</v>
      </c>
      <c r="N443" s="81">
        <v>28174</v>
      </c>
      <c r="O443" s="86">
        <v>27457</v>
      </c>
      <c r="P443" s="89">
        <f t="shared" si="19"/>
        <v>278</v>
      </c>
      <c r="Q443" s="89">
        <f t="shared" si="20"/>
        <v>27815.5</v>
      </c>
      <c r="R443" s="96" t="s">
        <v>94</v>
      </c>
      <c r="S443" s="96" t="s">
        <v>124</v>
      </c>
      <c r="T443" s="96" t="s">
        <v>94</v>
      </c>
      <c r="U443" s="96" t="s">
        <v>136</v>
      </c>
      <c r="V443" s="96" t="s">
        <v>94</v>
      </c>
      <c r="W443" s="96" t="s">
        <v>97</v>
      </c>
      <c r="X443" s="96" t="s">
        <v>98</v>
      </c>
      <c r="Y443" s="96" t="s">
        <v>225</v>
      </c>
      <c r="Z443" s="96" t="s">
        <v>110</v>
      </c>
      <c r="AA443" s="96" t="s">
        <v>535</v>
      </c>
      <c r="AB443" s="96" t="s">
        <v>536</v>
      </c>
      <c r="AC443" s="96" t="s">
        <v>537</v>
      </c>
      <c r="AD443" s="96" t="s">
        <v>538</v>
      </c>
      <c r="AE443" s="96" t="s">
        <v>539</v>
      </c>
      <c r="AF443" s="96" t="s">
        <v>540</v>
      </c>
      <c r="AG443" s="96" t="s">
        <v>541</v>
      </c>
      <c r="AH443" s="96">
        <v>1822</v>
      </c>
      <c r="AI443" s="96" t="s">
        <v>542</v>
      </c>
      <c r="AJ443" s="96" t="s">
        <v>543</v>
      </c>
      <c r="AK443" s="27" t="s">
        <v>110</v>
      </c>
    </row>
    <row r="444" spans="1:37">
      <c r="A444" s="70">
        <v>439</v>
      </c>
      <c r="B444" s="70">
        <f t="shared" si="18"/>
        <v>0</v>
      </c>
      <c r="C444" s="71"/>
      <c r="D444" s="59" t="s">
        <v>1024</v>
      </c>
      <c r="E444" s="60">
        <v>13919</v>
      </c>
      <c r="F444" s="10" t="s">
        <v>348</v>
      </c>
      <c r="G444" s="60">
        <v>805</v>
      </c>
      <c r="H444" s="81">
        <v>28</v>
      </c>
      <c r="I444" s="86">
        <v>92</v>
      </c>
      <c r="J444" s="81">
        <v>28</v>
      </c>
      <c r="K444" s="86">
        <v>92</v>
      </c>
      <c r="L444" s="81">
        <v>296</v>
      </c>
      <c r="M444" s="86">
        <v>259</v>
      </c>
      <c r="N444" s="81">
        <v>22793</v>
      </c>
      <c r="O444" s="86">
        <v>33521</v>
      </c>
      <c r="P444" s="89">
        <f t="shared" si="19"/>
        <v>277.5</v>
      </c>
      <c r="Q444" s="89">
        <f t="shared" si="20"/>
        <v>28157</v>
      </c>
      <c r="R444" s="96" t="s">
        <v>94</v>
      </c>
      <c r="S444" s="96" t="s">
        <v>124</v>
      </c>
      <c r="T444" s="96" t="s">
        <v>94</v>
      </c>
      <c r="U444" s="96" t="s">
        <v>136</v>
      </c>
      <c r="V444" s="96" t="s">
        <v>94</v>
      </c>
      <c r="W444" s="96" t="s">
        <v>97</v>
      </c>
      <c r="X444" s="96" t="s">
        <v>98</v>
      </c>
      <c r="Y444" s="96" t="s">
        <v>349</v>
      </c>
      <c r="Z444" s="96" t="s">
        <v>226</v>
      </c>
      <c r="AA444" s="96" t="s">
        <v>350</v>
      </c>
      <c r="AB444" s="96" t="s">
        <v>351</v>
      </c>
      <c r="AC444" s="96" t="s">
        <v>352</v>
      </c>
      <c r="AD444" s="96" t="s">
        <v>353</v>
      </c>
      <c r="AE444" s="96" t="s">
        <v>354</v>
      </c>
      <c r="AF444" s="96" t="s">
        <v>355</v>
      </c>
      <c r="AG444" s="96" t="s">
        <v>356</v>
      </c>
      <c r="AH444" s="96">
        <v>1626</v>
      </c>
      <c r="AI444" s="96" t="s">
        <v>357</v>
      </c>
      <c r="AJ444" s="96" t="s">
        <v>358</v>
      </c>
      <c r="AK444" s="27" t="s">
        <v>110</v>
      </c>
    </row>
    <row r="445" spans="1:37">
      <c r="A445" s="70">
        <v>440</v>
      </c>
      <c r="B445" s="70">
        <f t="shared" si="18"/>
        <v>0</v>
      </c>
      <c r="C445" s="71"/>
      <c r="D445" s="59" t="s">
        <v>1024</v>
      </c>
      <c r="E445" s="60">
        <v>14066</v>
      </c>
      <c r="F445" s="10" t="s">
        <v>223</v>
      </c>
      <c r="G445" s="60">
        <v>805</v>
      </c>
      <c r="H445" s="81">
        <v>160</v>
      </c>
      <c r="I445" s="86">
        <v>40</v>
      </c>
      <c r="J445" s="81">
        <v>160</v>
      </c>
      <c r="K445" s="86">
        <v>40</v>
      </c>
      <c r="L445" s="81">
        <v>284</v>
      </c>
      <c r="M445" s="86">
        <v>270</v>
      </c>
      <c r="N445" s="81">
        <v>28681</v>
      </c>
      <c r="O445" s="86">
        <v>27767</v>
      </c>
      <c r="P445" s="89">
        <f t="shared" si="19"/>
        <v>277</v>
      </c>
      <c r="Q445" s="89">
        <f t="shared" si="20"/>
        <v>28224</v>
      </c>
      <c r="R445" s="96" t="s">
        <v>94</v>
      </c>
      <c r="S445" s="96" t="s">
        <v>224</v>
      </c>
      <c r="T445" s="96" t="s">
        <v>94</v>
      </c>
      <c r="U445" s="96" t="s">
        <v>136</v>
      </c>
      <c r="V445" s="96" t="s">
        <v>94</v>
      </c>
      <c r="W445" s="96" t="s">
        <v>97</v>
      </c>
      <c r="X445" s="96" t="s">
        <v>147</v>
      </c>
      <c r="Y445" s="96" t="s">
        <v>225</v>
      </c>
      <c r="Z445" s="96" t="s">
        <v>226</v>
      </c>
      <c r="AA445" s="96" t="s">
        <v>227</v>
      </c>
      <c r="AB445" s="96" t="s">
        <v>228</v>
      </c>
      <c r="AC445" s="96" t="s">
        <v>229</v>
      </c>
      <c r="AD445" s="96" t="s">
        <v>230</v>
      </c>
      <c r="AE445" s="96" t="s">
        <v>231</v>
      </c>
      <c r="AF445" s="96" t="s">
        <v>232</v>
      </c>
      <c r="AG445" s="96" t="s">
        <v>233</v>
      </c>
      <c r="AH445" s="96">
        <v>1464</v>
      </c>
      <c r="AI445" s="96" t="s">
        <v>234</v>
      </c>
      <c r="AJ445" s="96" t="s">
        <v>235</v>
      </c>
      <c r="AK445" s="27" t="s">
        <v>110</v>
      </c>
    </row>
    <row r="446" spans="1:37">
      <c r="A446" s="70">
        <v>441</v>
      </c>
      <c r="B446" s="70">
        <f t="shared" si="18"/>
        <v>0</v>
      </c>
      <c r="C446" s="71"/>
      <c r="D446" s="59" t="s">
        <v>1024</v>
      </c>
      <c r="E446" s="60">
        <v>12741</v>
      </c>
      <c r="F446" s="10" t="s">
        <v>581</v>
      </c>
      <c r="G446" s="60">
        <v>801</v>
      </c>
      <c r="H446" s="81">
        <v>1021</v>
      </c>
      <c r="I446" s="86">
        <v>778</v>
      </c>
      <c r="J446" s="81">
        <v>1021</v>
      </c>
      <c r="K446" s="86">
        <v>778</v>
      </c>
      <c r="L446" s="81">
        <v>284</v>
      </c>
      <c r="M446" s="86">
        <v>269</v>
      </c>
      <c r="N446" s="81">
        <v>28707</v>
      </c>
      <c r="O446" s="86">
        <v>28111</v>
      </c>
      <c r="P446" s="89">
        <f t="shared" si="19"/>
        <v>276.5</v>
      </c>
      <c r="Q446" s="89">
        <f t="shared" si="20"/>
        <v>28409</v>
      </c>
      <c r="R446" s="96" t="s">
        <v>94</v>
      </c>
      <c r="S446" s="96" t="s">
        <v>124</v>
      </c>
      <c r="T446" s="96" t="s">
        <v>94</v>
      </c>
      <c r="U446" s="96" t="s">
        <v>136</v>
      </c>
      <c r="V446" s="96" t="s">
        <v>94</v>
      </c>
      <c r="W446" s="96" t="s">
        <v>97</v>
      </c>
      <c r="X446" s="96" t="s">
        <v>98</v>
      </c>
      <c r="Y446" s="96" t="s">
        <v>349</v>
      </c>
      <c r="Z446" s="96" t="s">
        <v>226</v>
      </c>
      <c r="AA446" s="96" t="s">
        <v>582</v>
      </c>
      <c r="AB446" s="96" t="s">
        <v>583</v>
      </c>
      <c r="AC446" s="96" t="s">
        <v>584</v>
      </c>
      <c r="AD446" s="96" t="s">
        <v>585</v>
      </c>
      <c r="AE446" s="96" t="s">
        <v>586</v>
      </c>
      <c r="AF446" s="96" t="s">
        <v>587</v>
      </c>
      <c r="AG446" s="96" t="s">
        <v>588</v>
      </c>
      <c r="AH446" s="96">
        <v>1994</v>
      </c>
      <c r="AI446" s="96" t="s">
        <v>589</v>
      </c>
      <c r="AJ446" s="96" t="s">
        <v>590</v>
      </c>
      <c r="AK446" s="27" t="s">
        <v>110</v>
      </c>
    </row>
    <row r="447" spans="1:37">
      <c r="A447" s="70">
        <v>442</v>
      </c>
      <c r="B447" s="70">
        <f t="shared" si="18"/>
        <v>0</v>
      </c>
      <c r="C447" s="71"/>
      <c r="D447" s="59" t="s">
        <v>1024</v>
      </c>
      <c r="E447" s="60">
        <v>14066</v>
      </c>
      <c r="F447" s="10" t="s">
        <v>223</v>
      </c>
      <c r="G447" s="60">
        <v>804</v>
      </c>
      <c r="H447" s="81">
        <v>30</v>
      </c>
      <c r="I447" s="86">
        <v>25</v>
      </c>
      <c r="J447" s="81">
        <v>30</v>
      </c>
      <c r="K447" s="86">
        <v>25</v>
      </c>
      <c r="L447" s="81">
        <v>284</v>
      </c>
      <c r="M447" s="86">
        <v>270</v>
      </c>
      <c r="N447" s="81">
        <v>28847</v>
      </c>
      <c r="O447" s="86">
        <v>28037</v>
      </c>
      <c r="P447" s="89">
        <f t="shared" si="19"/>
        <v>277</v>
      </c>
      <c r="Q447" s="89">
        <f t="shared" si="20"/>
        <v>28442</v>
      </c>
      <c r="R447" s="96" t="s">
        <v>94</v>
      </c>
      <c r="S447" s="96" t="s">
        <v>224</v>
      </c>
      <c r="T447" s="96" t="s">
        <v>94</v>
      </c>
      <c r="U447" s="96" t="s">
        <v>136</v>
      </c>
      <c r="V447" s="96" t="s">
        <v>94</v>
      </c>
      <c r="W447" s="96" t="s">
        <v>97</v>
      </c>
      <c r="X447" s="96" t="s">
        <v>147</v>
      </c>
      <c r="Y447" s="96" t="s">
        <v>225</v>
      </c>
      <c r="Z447" s="96" t="s">
        <v>226</v>
      </c>
      <c r="AA447" s="96" t="s">
        <v>227</v>
      </c>
      <c r="AB447" s="96" t="s">
        <v>228</v>
      </c>
      <c r="AC447" s="96" t="s">
        <v>229</v>
      </c>
      <c r="AD447" s="96" t="s">
        <v>230</v>
      </c>
      <c r="AE447" s="96" t="s">
        <v>231</v>
      </c>
      <c r="AF447" s="96" t="s">
        <v>232</v>
      </c>
      <c r="AG447" s="96" t="s">
        <v>233</v>
      </c>
      <c r="AH447" s="96">
        <v>1464</v>
      </c>
      <c r="AI447" s="96" t="s">
        <v>234</v>
      </c>
      <c r="AJ447" s="96" t="s">
        <v>235</v>
      </c>
      <c r="AK447" s="27" t="s">
        <v>110</v>
      </c>
    </row>
    <row r="448" spans="1:37">
      <c r="A448" s="70">
        <v>443</v>
      </c>
      <c r="B448" s="70">
        <f t="shared" si="18"/>
        <v>0</v>
      </c>
      <c r="C448" s="71"/>
      <c r="D448" s="59" t="s">
        <v>1024</v>
      </c>
      <c r="E448" s="60">
        <v>13943</v>
      </c>
      <c r="F448" s="10" t="s">
        <v>212</v>
      </c>
      <c r="G448" s="60">
        <v>805</v>
      </c>
      <c r="H448" s="81">
        <v>112</v>
      </c>
      <c r="I448" s="86">
        <v>100</v>
      </c>
      <c r="J448" s="81">
        <v>112</v>
      </c>
      <c r="K448" s="86">
        <v>100</v>
      </c>
      <c r="L448" s="81">
        <v>292</v>
      </c>
      <c r="M448" s="86">
        <v>260</v>
      </c>
      <c r="N448" s="81">
        <v>24352</v>
      </c>
      <c r="O448" s="86">
        <v>32694</v>
      </c>
      <c r="P448" s="89">
        <f t="shared" si="19"/>
        <v>276</v>
      </c>
      <c r="Q448" s="89">
        <f t="shared" si="20"/>
        <v>28523</v>
      </c>
      <c r="R448" s="96" t="s">
        <v>94</v>
      </c>
      <c r="S448" s="96" t="s">
        <v>124</v>
      </c>
      <c r="T448" s="96" t="s">
        <v>94</v>
      </c>
      <c r="U448" s="96" t="s">
        <v>136</v>
      </c>
      <c r="V448" s="96" t="s">
        <v>94</v>
      </c>
      <c r="W448" s="96" t="s">
        <v>97</v>
      </c>
      <c r="X448" s="96" t="s">
        <v>98</v>
      </c>
      <c r="Y448" s="96" t="s">
        <v>213</v>
      </c>
      <c r="Z448" s="96" t="s">
        <v>193</v>
      </c>
      <c r="AA448" s="96" t="s">
        <v>214</v>
      </c>
      <c r="AB448" s="96" t="s">
        <v>215</v>
      </c>
      <c r="AC448" s="96" t="s">
        <v>216</v>
      </c>
      <c r="AD448" s="96" t="s">
        <v>217</v>
      </c>
      <c r="AE448" s="96" t="s">
        <v>218</v>
      </c>
      <c r="AF448" s="96" t="s">
        <v>219</v>
      </c>
      <c r="AG448" s="96" t="s">
        <v>220</v>
      </c>
      <c r="AH448" s="96">
        <v>1770</v>
      </c>
      <c r="AI448" s="96" t="s">
        <v>221</v>
      </c>
      <c r="AJ448" s="96" t="s">
        <v>222</v>
      </c>
      <c r="AK448" s="27" t="s">
        <v>110</v>
      </c>
    </row>
    <row r="449" spans="1:37">
      <c r="A449" s="70">
        <v>444</v>
      </c>
      <c r="B449" s="70">
        <f t="shared" si="18"/>
        <v>0</v>
      </c>
      <c r="C449" s="71"/>
      <c r="D449" s="59" t="s">
        <v>1024</v>
      </c>
      <c r="E449" s="60">
        <v>13919</v>
      </c>
      <c r="F449" s="10" t="s">
        <v>348</v>
      </c>
      <c r="G449" s="60">
        <v>802</v>
      </c>
      <c r="H449" s="81">
        <v>214</v>
      </c>
      <c r="I449" s="86">
        <v>200</v>
      </c>
      <c r="J449" s="81">
        <v>214</v>
      </c>
      <c r="K449" s="86">
        <v>200</v>
      </c>
      <c r="L449" s="81">
        <v>295</v>
      </c>
      <c r="M449" s="86">
        <v>257</v>
      </c>
      <c r="N449" s="81">
        <v>23245</v>
      </c>
      <c r="O449" s="86">
        <v>34377</v>
      </c>
      <c r="P449" s="89">
        <f t="shared" si="19"/>
        <v>276</v>
      </c>
      <c r="Q449" s="89">
        <f t="shared" si="20"/>
        <v>28811</v>
      </c>
      <c r="R449" s="96" t="s">
        <v>94</v>
      </c>
      <c r="S449" s="96" t="s">
        <v>124</v>
      </c>
      <c r="T449" s="96" t="s">
        <v>94</v>
      </c>
      <c r="U449" s="96" t="s">
        <v>136</v>
      </c>
      <c r="V449" s="96" t="s">
        <v>94</v>
      </c>
      <c r="W449" s="96" t="s">
        <v>97</v>
      </c>
      <c r="X449" s="96" t="s">
        <v>98</v>
      </c>
      <c r="Y449" s="96" t="s">
        <v>349</v>
      </c>
      <c r="Z449" s="96" t="s">
        <v>226</v>
      </c>
      <c r="AA449" s="96" t="s">
        <v>350</v>
      </c>
      <c r="AB449" s="96" t="s">
        <v>351</v>
      </c>
      <c r="AC449" s="96" t="s">
        <v>352</v>
      </c>
      <c r="AD449" s="96" t="s">
        <v>353</v>
      </c>
      <c r="AE449" s="96" t="s">
        <v>354</v>
      </c>
      <c r="AF449" s="96" t="s">
        <v>355</v>
      </c>
      <c r="AG449" s="96" t="s">
        <v>356</v>
      </c>
      <c r="AH449" s="96">
        <v>1626</v>
      </c>
      <c r="AI449" s="96" t="s">
        <v>357</v>
      </c>
      <c r="AJ449" s="96" t="s">
        <v>358</v>
      </c>
      <c r="AK449" s="27" t="s">
        <v>110</v>
      </c>
    </row>
    <row r="450" spans="1:37">
      <c r="A450" s="70">
        <v>445</v>
      </c>
      <c r="B450" s="70">
        <f t="shared" si="18"/>
        <v>0</v>
      </c>
      <c r="C450" s="71"/>
      <c r="D450" s="59" t="s">
        <v>1024</v>
      </c>
      <c r="E450" s="60">
        <v>13943</v>
      </c>
      <c r="F450" s="10" t="s">
        <v>212</v>
      </c>
      <c r="G450" s="60">
        <v>803</v>
      </c>
      <c r="H450" s="81">
        <v>200</v>
      </c>
      <c r="I450" s="86">
        <v>203</v>
      </c>
      <c r="J450" s="81">
        <v>200</v>
      </c>
      <c r="K450" s="86">
        <v>203</v>
      </c>
      <c r="L450" s="81">
        <v>286</v>
      </c>
      <c r="M450" s="86">
        <v>265</v>
      </c>
      <c r="N450" s="81">
        <v>27778</v>
      </c>
      <c r="O450" s="86">
        <v>30001</v>
      </c>
      <c r="P450" s="89">
        <f t="shared" si="19"/>
        <v>275.5</v>
      </c>
      <c r="Q450" s="89">
        <f t="shared" si="20"/>
        <v>28889.5</v>
      </c>
      <c r="R450" s="96" t="s">
        <v>94</v>
      </c>
      <c r="S450" s="96" t="s">
        <v>124</v>
      </c>
      <c r="T450" s="96" t="s">
        <v>94</v>
      </c>
      <c r="U450" s="96" t="s">
        <v>136</v>
      </c>
      <c r="V450" s="96" t="s">
        <v>94</v>
      </c>
      <c r="W450" s="96" t="s">
        <v>97</v>
      </c>
      <c r="X450" s="96" t="s">
        <v>98</v>
      </c>
      <c r="Y450" s="96" t="s">
        <v>213</v>
      </c>
      <c r="Z450" s="96" t="s">
        <v>193</v>
      </c>
      <c r="AA450" s="96" t="s">
        <v>214</v>
      </c>
      <c r="AB450" s="96" t="s">
        <v>215</v>
      </c>
      <c r="AC450" s="96" t="s">
        <v>216</v>
      </c>
      <c r="AD450" s="96" t="s">
        <v>217</v>
      </c>
      <c r="AE450" s="96" t="s">
        <v>218</v>
      </c>
      <c r="AF450" s="96" t="s">
        <v>219</v>
      </c>
      <c r="AG450" s="96" t="s">
        <v>220</v>
      </c>
      <c r="AH450" s="96">
        <v>1770</v>
      </c>
      <c r="AI450" s="96" t="s">
        <v>221</v>
      </c>
      <c r="AJ450" s="96" t="s">
        <v>222</v>
      </c>
      <c r="AK450" s="27" t="s">
        <v>110</v>
      </c>
    </row>
    <row r="451" spans="1:37">
      <c r="A451" s="70">
        <v>446</v>
      </c>
      <c r="B451" s="70">
        <f t="shared" si="18"/>
        <v>0</v>
      </c>
      <c r="C451" s="71"/>
      <c r="D451" s="59" t="s">
        <v>1024</v>
      </c>
      <c r="E451" s="60">
        <v>10862</v>
      </c>
      <c r="F451" s="10" t="s">
        <v>278</v>
      </c>
      <c r="G451" s="60">
        <v>805</v>
      </c>
      <c r="H451" s="81">
        <v>180</v>
      </c>
      <c r="I451" s="86" t="s">
        <v>110</v>
      </c>
      <c r="J451" s="81">
        <v>180</v>
      </c>
      <c r="K451" s="86" t="s">
        <v>110</v>
      </c>
      <c r="L451" s="81">
        <v>284</v>
      </c>
      <c r="M451" s="86" t="s">
        <v>110</v>
      </c>
      <c r="N451" s="81">
        <v>29163</v>
      </c>
      <c r="O451" s="86" t="s">
        <v>110</v>
      </c>
      <c r="P451" s="89">
        <f t="shared" si="19"/>
        <v>284</v>
      </c>
      <c r="Q451" s="89">
        <f t="shared" si="20"/>
        <v>29163</v>
      </c>
      <c r="R451" s="96" t="s">
        <v>94</v>
      </c>
      <c r="S451" s="96" t="s">
        <v>124</v>
      </c>
      <c r="T451" s="96" t="s">
        <v>94</v>
      </c>
      <c r="U451" s="96" t="s">
        <v>136</v>
      </c>
      <c r="V451" s="96" t="s">
        <v>94</v>
      </c>
      <c r="W451" s="96" t="s">
        <v>97</v>
      </c>
      <c r="X451" s="96" t="s">
        <v>98</v>
      </c>
      <c r="Y451" s="96" t="s">
        <v>192</v>
      </c>
      <c r="Z451" s="96" t="s">
        <v>193</v>
      </c>
      <c r="AA451" s="96" t="s">
        <v>279</v>
      </c>
      <c r="AB451" s="96" t="s">
        <v>280</v>
      </c>
      <c r="AC451" s="96" t="s">
        <v>281</v>
      </c>
      <c r="AD451" s="96" t="s">
        <v>282</v>
      </c>
      <c r="AE451" s="96" t="s">
        <v>283</v>
      </c>
      <c r="AF451" s="96" t="s">
        <v>284</v>
      </c>
      <c r="AG451" s="96" t="s">
        <v>285</v>
      </c>
      <c r="AH451" s="96">
        <v>1410</v>
      </c>
      <c r="AI451" s="96" t="s">
        <v>286</v>
      </c>
      <c r="AJ451" s="96" t="s">
        <v>287</v>
      </c>
      <c r="AK451" s="27" t="s">
        <v>110</v>
      </c>
    </row>
    <row r="452" spans="1:37">
      <c r="A452" s="70">
        <v>447</v>
      </c>
      <c r="B452" s="70">
        <f t="shared" si="18"/>
        <v>0</v>
      </c>
      <c r="C452" s="71"/>
      <c r="D452" s="59" t="s">
        <v>1024</v>
      </c>
      <c r="E452" s="60">
        <v>14066</v>
      </c>
      <c r="F452" s="10" t="s">
        <v>223</v>
      </c>
      <c r="G452" s="60">
        <v>803</v>
      </c>
      <c r="H452" s="81">
        <v>145</v>
      </c>
      <c r="I452" s="86">
        <v>271</v>
      </c>
      <c r="J452" s="81">
        <v>145</v>
      </c>
      <c r="K452" s="86">
        <v>271</v>
      </c>
      <c r="L452" s="81">
        <v>288</v>
      </c>
      <c r="M452" s="86">
        <v>261</v>
      </c>
      <c r="N452" s="81">
        <v>26450</v>
      </c>
      <c r="O452" s="86">
        <v>32348</v>
      </c>
      <c r="P452" s="89">
        <f t="shared" si="19"/>
        <v>274.5</v>
      </c>
      <c r="Q452" s="89">
        <f t="shared" si="20"/>
        <v>29399</v>
      </c>
      <c r="R452" s="96" t="s">
        <v>94</v>
      </c>
      <c r="S452" s="96" t="s">
        <v>224</v>
      </c>
      <c r="T452" s="96" t="s">
        <v>94</v>
      </c>
      <c r="U452" s="96" t="s">
        <v>136</v>
      </c>
      <c r="V452" s="96" t="s">
        <v>94</v>
      </c>
      <c r="W452" s="96" t="s">
        <v>97</v>
      </c>
      <c r="X452" s="96" t="s">
        <v>147</v>
      </c>
      <c r="Y452" s="96" t="s">
        <v>225</v>
      </c>
      <c r="Z452" s="96" t="s">
        <v>226</v>
      </c>
      <c r="AA452" s="96" t="s">
        <v>227</v>
      </c>
      <c r="AB452" s="96" t="s">
        <v>228</v>
      </c>
      <c r="AC452" s="96" t="s">
        <v>229</v>
      </c>
      <c r="AD452" s="96" t="s">
        <v>230</v>
      </c>
      <c r="AE452" s="96" t="s">
        <v>231</v>
      </c>
      <c r="AF452" s="96" t="s">
        <v>232</v>
      </c>
      <c r="AG452" s="96" t="s">
        <v>233</v>
      </c>
      <c r="AH452" s="96">
        <v>1464</v>
      </c>
      <c r="AI452" s="96" t="s">
        <v>234</v>
      </c>
      <c r="AJ452" s="96" t="s">
        <v>235</v>
      </c>
      <c r="AK452" s="27" t="s">
        <v>110</v>
      </c>
    </row>
    <row r="453" spans="1:37">
      <c r="A453" s="70">
        <v>448</v>
      </c>
      <c r="B453" s="70">
        <f t="shared" si="18"/>
        <v>0</v>
      </c>
      <c r="C453" s="71"/>
      <c r="D453" s="59" t="s">
        <v>1024</v>
      </c>
      <c r="E453" s="60">
        <v>12958</v>
      </c>
      <c r="F453" s="10" t="s">
        <v>498</v>
      </c>
      <c r="G453" s="60">
        <v>802</v>
      </c>
      <c r="H453" s="81">
        <v>30</v>
      </c>
      <c r="I453" s="86">
        <v>20</v>
      </c>
      <c r="J453" s="81">
        <v>30</v>
      </c>
      <c r="K453" s="86">
        <v>20</v>
      </c>
      <c r="L453" s="81">
        <v>282</v>
      </c>
      <c r="M453" s="86">
        <v>265</v>
      </c>
      <c r="N453" s="81">
        <v>29821</v>
      </c>
      <c r="O453" s="86">
        <v>30409</v>
      </c>
      <c r="P453" s="89">
        <f t="shared" si="19"/>
        <v>273.5</v>
      </c>
      <c r="Q453" s="89">
        <f t="shared" si="20"/>
        <v>30115</v>
      </c>
      <c r="R453" s="96" t="s">
        <v>94</v>
      </c>
      <c r="S453" s="96" t="s">
        <v>499</v>
      </c>
      <c r="T453" s="96" t="s">
        <v>94</v>
      </c>
      <c r="U453" s="96" t="s">
        <v>136</v>
      </c>
      <c r="V453" s="96" t="s">
        <v>94</v>
      </c>
      <c r="W453" s="96" t="s">
        <v>97</v>
      </c>
      <c r="X453" s="96" t="s">
        <v>500</v>
      </c>
      <c r="Y453" s="96" t="s">
        <v>225</v>
      </c>
      <c r="Z453" s="96" t="s">
        <v>226</v>
      </c>
      <c r="AA453" s="96" t="s">
        <v>501</v>
      </c>
      <c r="AB453" s="96" t="s">
        <v>502</v>
      </c>
      <c r="AC453" s="96" t="s">
        <v>503</v>
      </c>
      <c r="AD453" s="96" t="s">
        <v>504</v>
      </c>
      <c r="AE453" s="96" t="s">
        <v>505</v>
      </c>
      <c r="AF453" s="96" t="s">
        <v>506</v>
      </c>
      <c r="AG453" s="96" t="s">
        <v>507</v>
      </c>
      <c r="AH453" s="96">
        <v>1527</v>
      </c>
      <c r="AI453" s="96" t="s">
        <v>508</v>
      </c>
      <c r="AJ453" s="96" t="s">
        <v>509</v>
      </c>
      <c r="AK453" s="27" t="s">
        <v>110</v>
      </c>
    </row>
    <row r="454" spans="1:37">
      <c r="A454" s="70">
        <v>449</v>
      </c>
      <c r="B454" s="70">
        <f t="shared" ref="B454:B517" si="21">C454</f>
        <v>0</v>
      </c>
      <c r="C454" s="71"/>
      <c r="D454" s="59" t="s">
        <v>1024</v>
      </c>
      <c r="E454" s="60">
        <v>12322</v>
      </c>
      <c r="F454" s="10" t="s">
        <v>478</v>
      </c>
      <c r="G454" s="60">
        <v>806</v>
      </c>
      <c r="H454" s="81">
        <v>210</v>
      </c>
      <c r="I454" s="86">
        <v>150</v>
      </c>
      <c r="J454" s="81">
        <v>210</v>
      </c>
      <c r="K454" s="86">
        <v>150</v>
      </c>
      <c r="L454" s="81">
        <v>279</v>
      </c>
      <c r="M454" s="86">
        <v>269</v>
      </c>
      <c r="N454" s="81">
        <v>32010</v>
      </c>
      <c r="O454" s="86">
        <v>28501</v>
      </c>
      <c r="P454" s="89">
        <f t="shared" si="19"/>
        <v>274</v>
      </c>
      <c r="Q454" s="89">
        <f t="shared" si="20"/>
        <v>30255.5</v>
      </c>
      <c r="R454" s="96" t="s">
        <v>94</v>
      </c>
      <c r="S454" s="96" t="s">
        <v>124</v>
      </c>
      <c r="T454" s="96" t="s">
        <v>94</v>
      </c>
      <c r="U454" s="96" t="s">
        <v>136</v>
      </c>
      <c r="V454" s="96" t="s">
        <v>94</v>
      </c>
      <c r="W454" s="96" t="s">
        <v>97</v>
      </c>
      <c r="X454" s="96" t="s">
        <v>98</v>
      </c>
      <c r="Y454" s="96" t="s">
        <v>479</v>
      </c>
      <c r="Z454" s="96" t="s">
        <v>480</v>
      </c>
      <c r="AA454" s="96" t="s">
        <v>481</v>
      </c>
      <c r="AB454" s="96" t="s">
        <v>482</v>
      </c>
      <c r="AC454" s="96" t="s">
        <v>483</v>
      </c>
      <c r="AD454" s="96" t="s">
        <v>484</v>
      </c>
      <c r="AE454" s="96" t="s">
        <v>485</v>
      </c>
      <c r="AF454" s="96" t="s">
        <v>486</v>
      </c>
      <c r="AG454" s="96" t="s">
        <v>487</v>
      </c>
      <c r="AH454" s="96">
        <v>1473</v>
      </c>
      <c r="AI454" s="96" t="s">
        <v>488</v>
      </c>
      <c r="AJ454" s="96" t="s">
        <v>489</v>
      </c>
      <c r="AK454" s="27" t="s">
        <v>110</v>
      </c>
    </row>
    <row r="455" spans="1:37">
      <c r="A455" s="70">
        <v>450</v>
      </c>
      <c r="B455" s="70">
        <f t="shared" si="21"/>
        <v>0</v>
      </c>
      <c r="C455" s="71"/>
      <c r="D455" s="59" t="s">
        <v>1024</v>
      </c>
      <c r="E455" s="60">
        <v>12742</v>
      </c>
      <c r="F455" s="10" t="s">
        <v>469</v>
      </c>
      <c r="G455" s="60">
        <v>802</v>
      </c>
      <c r="H455" s="81">
        <v>25</v>
      </c>
      <c r="I455" s="86">
        <v>10</v>
      </c>
      <c r="J455" s="81">
        <v>25</v>
      </c>
      <c r="K455" s="86">
        <v>10</v>
      </c>
      <c r="L455" s="81">
        <v>280</v>
      </c>
      <c r="M455" s="86">
        <v>267</v>
      </c>
      <c r="N455" s="81">
        <v>31200</v>
      </c>
      <c r="O455" s="86">
        <v>29383</v>
      </c>
      <c r="P455" s="89">
        <f t="shared" ref="P455:P518" si="22">IFERROR(AVERAGE(L455:M455),"/")</f>
        <v>273.5</v>
      </c>
      <c r="Q455" s="89">
        <f t="shared" ref="Q455:Q518" si="23">IFERROR(AVERAGE(N455:O455),"/")</f>
        <v>30291.5</v>
      </c>
      <c r="R455" s="96" t="s">
        <v>94</v>
      </c>
      <c r="S455" s="96" t="s">
        <v>124</v>
      </c>
      <c r="T455" s="96" t="s">
        <v>94</v>
      </c>
      <c r="U455" s="96" t="s">
        <v>136</v>
      </c>
      <c r="V455" s="96" t="s">
        <v>94</v>
      </c>
      <c r="W455" s="96" t="s">
        <v>97</v>
      </c>
      <c r="X455" s="96" t="s">
        <v>98</v>
      </c>
      <c r="Y455" s="96" t="s">
        <v>110</v>
      </c>
      <c r="Z455" s="96" t="s">
        <v>110</v>
      </c>
      <c r="AA455" s="96" t="s">
        <v>470</v>
      </c>
      <c r="AB455" s="96" t="s">
        <v>471</v>
      </c>
      <c r="AC455" s="96" t="s">
        <v>472</v>
      </c>
      <c r="AD455" s="96" t="s">
        <v>473</v>
      </c>
      <c r="AE455" s="96" t="s">
        <v>474</v>
      </c>
      <c r="AF455" s="96" t="s">
        <v>475</v>
      </c>
      <c r="AG455" s="96" t="s">
        <v>110</v>
      </c>
      <c r="AH455" s="96">
        <v>2027</v>
      </c>
      <c r="AI455" s="96" t="s">
        <v>476</v>
      </c>
      <c r="AJ455" s="96" t="s">
        <v>477</v>
      </c>
      <c r="AK455" s="27" t="s">
        <v>110</v>
      </c>
    </row>
    <row r="456" spans="1:37">
      <c r="A456" s="70">
        <v>451</v>
      </c>
      <c r="B456" s="70">
        <f t="shared" si="21"/>
        <v>0</v>
      </c>
      <c r="C456" s="71"/>
      <c r="D456" s="59" t="s">
        <v>1024</v>
      </c>
      <c r="E456" s="60">
        <v>12573</v>
      </c>
      <c r="F456" s="10" t="s">
        <v>371</v>
      </c>
      <c r="G456" s="60">
        <v>801</v>
      </c>
      <c r="H456" s="81">
        <v>779</v>
      </c>
      <c r="I456" s="86">
        <v>760</v>
      </c>
      <c r="J456" s="81">
        <v>779</v>
      </c>
      <c r="K456" s="86">
        <v>760</v>
      </c>
      <c r="L456" s="81">
        <v>281</v>
      </c>
      <c r="M456" s="86">
        <v>263</v>
      </c>
      <c r="N456" s="81">
        <v>30881</v>
      </c>
      <c r="O456" s="86">
        <v>31392</v>
      </c>
      <c r="P456" s="89">
        <f t="shared" si="22"/>
        <v>272</v>
      </c>
      <c r="Q456" s="89">
        <f t="shared" si="23"/>
        <v>31136.5</v>
      </c>
      <c r="R456" s="96" t="s">
        <v>94</v>
      </c>
      <c r="S456" s="96" t="s">
        <v>124</v>
      </c>
      <c r="T456" s="96" t="s">
        <v>94</v>
      </c>
      <c r="U456" s="96" t="s">
        <v>136</v>
      </c>
      <c r="V456" s="96" t="s">
        <v>94</v>
      </c>
      <c r="W456" s="96" t="s">
        <v>97</v>
      </c>
      <c r="X456" s="96" t="s">
        <v>98</v>
      </c>
      <c r="Y456" s="96" t="s">
        <v>268</v>
      </c>
      <c r="Z456" s="96" t="s">
        <v>257</v>
      </c>
      <c r="AA456" s="96" t="s">
        <v>372</v>
      </c>
      <c r="AB456" s="96" t="s">
        <v>373</v>
      </c>
      <c r="AC456" s="96" t="s">
        <v>374</v>
      </c>
      <c r="AD456" s="96" t="s">
        <v>375</v>
      </c>
      <c r="AE456" s="96" t="s">
        <v>376</v>
      </c>
      <c r="AF456" s="96" t="s">
        <v>377</v>
      </c>
      <c r="AG456" s="96" t="s">
        <v>378</v>
      </c>
      <c r="AH456" s="96">
        <v>1543</v>
      </c>
      <c r="AI456" s="96" t="s">
        <v>379</v>
      </c>
      <c r="AJ456" s="96" t="s">
        <v>380</v>
      </c>
      <c r="AK456" s="27" t="s">
        <v>110</v>
      </c>
    </row>
    <row r="457" spans="1:37">
      <c r="A457" s="70">
        <v>452</v>
      </c>
      <c r="B457" s="70">
        <f t="shared" si="21"/>
        <v>0</v>
      </c>
      <c r="C457" s="71"/>
      <c r="D457" s="59" t="s">
        <v>1024</v>
      </c>
      <c r="E457" s="60">
        <v>12322</v>
      </c>
      <c r="F457" s="10" t="s">
        <v>478</v>
      </c>
      <c r="G457" s="60">
        <v>802</v>
      </c>
      <c r="H457" s="81">
        <v>45</v>
      </c>
      <c r="I457" s="86">
        <v>45</v>
      </c>
      <c r="J457" s="81">
        <v>45</v>
      </c>
      <c r="K457" s="86">
        <v>45</v>
      </c>
      <c r="L457" s="81">
        <v>277</v>
      </c>
      <c r="M457" s="86">
        <v>267</v>
      </c>
      <c r="N457" s="81">
        <v>32904</v>
      </c>
      <c r="O457" s="86">
        <v>29376</v>
      </c>
      <c r="P457" s="89">
        <f t="shared" si="22"/>
        <v>272</v>
      </c>
      <c r="Q457" s="89">
        <f t="shared" si="23"/>
        <v>31140</v>
      </c>
      <c r="R457" s="96" t="s">
        <v>94</v>
      </c>
      <c r="S457" s="96" t="s">
        <v>124</v>
      </c>
      <c r="T457" s="96" t="s">
        <v>94</v>
      </c>
      <c r="U457" s="96" t="s">
        <v>136</v>
      </c>
      <c r="V457" s="96" t="s">
        <v>94</v>
      </c>
      <c r="W457" s="96" t="s">
        <v>97</v>
      </c>
      <c r="X457" s="96" t="s">
        <v>98</v>
      </c>
      <c r="Y457" s="96" t="s">
        <v>479</v>
      </c>
      <c r="Z457" s="96" t="s">
        <v>480</v>
      </c>
      <c r="AA457" s="96" t="s">
        <v>481</v>
      </c>
      <c r="AB457" s="96" t="s">
        <v>482</v>
      </c>
      <c r="AC457" s="96" t="s">
        <v>483</v>
      </c>
      <c r="AD457" s="96" t="s">
        <v>484</v>
      </c>
      <c r="AE457" s="96" t="s">
        <v>485</v>
      </c>
      <c r="AF457" s="96" t="s">
        <v>486</v>
      </c>
      <c r="AG457" s="96" t="s">
        <v>487</v>
      </c>
      <c r="AH457" s="96">
        <v>1473</v>
      </c>
      <c r="AI457" s="96" t="s">
        <v>488</v>
      </c>
      <c r="AJ457" s="96" t="s">
        <v>489</v>
      </c>
      <c r="AK457" s="27" t="s">
        <v>110</v>
      </c>
    </row>
    <row r="458" spans="1:37">
      <c r="A458" s="70">
        <v>453</v>
      </c>
      <c r="B458" s="70">
        <f t="shared" si="21"/>
        <v>0</v>
      </c>
      <c r="C458" s="71"/>
      <c r="D458" s="59" t="s">
        <v>1024</v>
      </c>
      <c r="E458" s="60">
        <v>12573</v>
      </c>
      <c r="F458" s="10" t="s">
        <v>371</v>
      </c>
      <c r="G458" s="60">
        <v>803</v>
      </c>
      <c r="H458" s="81">
        <v>251</v>
      </c>
      <c r="I458" s="86">
        <v>130</v>
      </c>
      <c r="J458" s="81">
        <v>251</v>
      </c>
      <c r="K458" s="86">
        <v>130</v>
      </c>
      <c r="L458" s="81">
        <v>274</v>
      </c>
      <c r="M458" s="86">
        <v>269</v>
      </c>
      <c r="N458" s="81">
        <v>35385</v>
      </c>
      <c r="O458" s="86">
        <v>28117</v>
      </c>
      <c r="P458" s="89">
        <f t="shared" si="22"/>
        <v>271.5</v>
      </c>
      <c r="Q458" s="89">
        <f t="shared" si="23"/>
        <v>31751</v>
      </c>
      <c r="R458" s="96" t="s">
        <v>94</v>
      </c>
      <c r="S458" s="96" t="s">
        <v>124</v>
      </c>
      <c r="T458" s="96" t="s">
        <v>94</v>
      </c>
      <c r="U458" s="96" t="s">
        <v>136</v>
      </c>
      <c r="V458" s="96" t="s">
        <v>94</v>
      </c>
      <c r="W458" s="96" t="s">
        <v>97</v>
      </c>
      <c r="X458" s="96" t="s">
        <v>98</v>
      </c>
      <c r="Y458" s="96" t="s">
        <v>268</v>
      </c>
      <c r="Z458" s="96" t="s">
        <v>257</v>
      </c>
      <c r="AA458" s="96" t="s">
        <v>372</v>
      </c>
      <c r="AB458" s="96" t="s">
        <v>373</v>
      </c>
      <c r="AC458" s="96" t="s">
        <v>374</v>
      </c>
      <c r="AD458" s="96" t="s">
        <v>375</v>
      </c>
      <c r="AE458" s="96" t="s">
        <v>376</v>
      </c>
      <c r="AF458" s="96" t="s">
        <v>377</v>
      </c>
      <c r="AG458" s="96" t="s">
        <v>378</v>
      </c>
      <c r="AH458" s="96">
        <v>1543</v>
      </c>
      <c r="AI458" s="96" t="s">
        <v>379</v>
      </c>
      <c r="AJ458" s="96" t="s">
        <v>380</v>
      </c>
      <c r="AK458" s="27" t="s">
        <v>110</v>
      </c>
    </row>
    <row r="459" spans="1:37">
      <c r="A459" s="70">
        <v>454</v>
      </c>
      <c r="B459" s="70">
        <f t="shared" si="21"/>
        <v>0</v>
      </c>
      <c r="C459" s="71"/>
      <c r="D459" s="59" t="s">
        <v>1024</v>
      </c>
      <c r="E459" s="60">
        <v>13711</v>
      </c>
      <c r="F459" s="10" t="s">
        <v>236</v>
      </c>
      <c r="G459" s="60">
        <v>809</v>
      </c>
      <c r="H459" s="81">
        <v>20</v>
      </c>
      <c r="I459" s="86">
        <v>29</v>
      </c>
      <c r="J459" s="81">
        <v>20</v>
      </c>
      <c r="K459" s="86">
        <v>29</v>
      </c>
      <c r="L459" s="81">
        <v>275</v>
      </c>
      <c r="M459" s="86">
        <v>267</v>
      </c>
      <c r="N459" s="81">
        <v>34661</v>
      </c>
      <c r="O459" s="86">
        <v>29225</v>
      </c>
      <c r="P459" s="89">
        <f t="shared" si="22"/>
        <v>271</v>
      </c>
      <c r="Q459" s="89">
        <f t="shared" si="23"/>
        <v>31943</v>
      </c>
      <c r="R459" s="96" t="s">
        <v>94</v>
      </c>
      <c r="S459" s="96" t="s">
        <v>237</v>
      </c>
      <c r="T459" s="96" t="s">
        <v>94</v>
      </c>
      <c r="U459" s="96" t="s">
        <v>136</v>
      </c>
      <c r="V459" s="96" t="s">
        <v>94</v>
      </c>
      <c r="W459" s="96" t="s">
        <v>97</v>
      </c>
      <c r="X459" s="96" t="s">
        <v>147</v>
      </c>
      <c r="Y459" s="96" t="s">
        <v>110</v>
      </c>
      <c r="Z459" s="96" t="s">
        <v>110</v>
      </c>
      <c r="AA459" s="96" t="s">
        <v>238</v>
      </c>
      <c r="AB459" s="96" t="s">
        <v>239</v>
      </c>
      <c r="AC459" s="96" t="s">
        <v>240</v>
      </c>
      <c r="AD459" s="96" t="s">
        <v>241</v>
      </c>
      <c r="AE459" s="96" t="s">
        <v>242</v>
      </c>
      <c r="AF459" s="96" t="s">
        <v>243</v>
      </c>
      <c r="AG459" s="96" t="s">
        <v>110</v>
      </c>
      <c r="AH459" s="96">
        <v>1606</v>
      </c>
      <c r="AI459" s="96" t="s">
        <v>244</v>
      </c>
      <c r="AJ459" s="96" t="s">
        <v>245</v>
      </c>
      <c r="AK459" s="27" t="s">
        <v>110</v>
      </c>
    </row>
    <row r="460" spans="1:37">
      <c r="A460" s="70">
        <v>455</v>
      </c>
      <c r="B460" s="70">
        <f t="shared" si="21"/>
        <v>0</v>
      </c>
      <c r="C460" s="71"/>
      <c r="D460" s="59" t="s">
        <v>1024</v>
      </c>
      <c r="E460" s="60">
        <v>13919</v>
      </c>
      <c r="F460" s="10" t="s">
        <v>348</v>
      </c>
      <c r="G460" s="60">
        <v>808</v>
      </c>
      <c r="H460" s="81">
        <v>34</v>
      </c>
      <c r="I460" s="86">
        <v>25</v>
      </c>
      <c r="J460" s="81">
        <v>34</v>
      </c>
      <c r="K460" s="86">
        <v>25</v>
      </c>
      <c r="L460" s="81">
        <v>287</v>
      </c>
      <c r="M460" s="86">
        <v>250</v>
      </c>
      <c r="N460" s="81">
        <v>27431</v>
      </c>
      <c r="O460" s="86">
        <v>38168</v>
      </c>
      <c r="P460" s="89">
        <f t="shared" si="22"/>
        <v>268.5</v>
      </c>
      <c r="Q460" s="89">
        <f t="shared" si="23"/>
        <v>32799.5</v>
      </c>
      <c r="R460" s="96" t="s">
        <v>94</v>
      </c>
      <c r="S460" s="96" t="s">
        <v>124</v>
      </c>
      <c r="T460" s="96" t="s">
        <v>94</v>
      </c>
      <c r="U460" s="96" t="s">
        <v>136</v>
      </c>
      <c r="V460" s="96" t="s">
        <v>94</v>
      </c>
      <c r="W460" s="96" t="s">
        <v>97</v>
      </c>
      <c r="X460" s="96" t="s">
        <v>98</v>
      </c>
      <c r="Y460" s="96" t="s">
        <v>349</v>
      </c>
      <c r="Z460" s="96" t="s">
        <v>226</v>
      </c>
      <c r="AA460" s="96" t="s">
        <v>350</v>
      </c>
      <c r="AB460" s="96" t="s">
        <v>351</v>
      </c>
      <c r="AC460" s="96" t="s">
        <v>352</v>
      </c>
      <c r="AD460" s="96" t="s">
        <v>353</v>
      </c>
      <c r="AE460" s="96" t="s">
        <v>354</v>
      </c>
      <c r="AF460" s="96" t="s">
        <v>355</v>
      </c>
      <c r="AG460" s="96" t="s">
        <v>356</v>
      </c>
      <c r="AH460" s="96">
        <v>1626</v>
      </c>
      <c r="AI460" s="96" t="s">
        <v>357</v>
      </c>
      <c r="AJ460" s="96" t="s">
        <v>358</v>
      </c>
      <c r="AK460" s="27" t="s">
        <v>110</v>
      </c>
    </row>
    <row r="461" spans="1:37">
      <c r="A461" s="70">
        <v>456</v>
      </c>
      <c r="B461" s="70">
        <f t="shared" si="21"/>
        <v>0</v>
      </c>
      <c r="C461" s="71"/>
      <c r="D461" s="59" t="s">
        <v>1024</v>
      </c>
      <c r="E461" s="60">
        <v>12741</v>
      </c>
      <c r="F461" s="10" t="s">
        <v>581</v>
      </c>
      <c r="G461" s="60">
        <v>804</v>
      </c>
      <c r="H461" s="81">
        <v>379</v>
      </c>
      <c r="I461" s="86">
        <v>260</v>
      </c>
      <c r="J461" s="81">
        <v>379</v>
      </c>
      <c r="K461" s="86">
        <v>260</v>
      </c>
      <c r="L461" s="81">
        <v>276</v>
      </c>
      <c r="M461" s="86">
        <v>260</v>
      </c>
      <c r="N461" s="81">
        <v>33913</v>
      </c>
      <c r="O461" s="86">
        <v>33032</v>
      </c>
      <c r="P461" s="89">
        <f t="shared" si="22"/>
        <v>268</v>
      </c>
      <c r="Q461" s="89">
        <f t="shared" si="23"/>
        <v>33472.5</v>
      </c>
      <c r="R461" s="96" t="s">
        <v>94</v>
      </c>
      <c r="S461" s="96" t="s">
        <v>124</v>
      </c>
      <c r="T461" s="96" t="s">
        <v>94</v>
      </c>
      <c r="U461" s="96" t="s">
        <v>136</v>
      </c>
      <c r="V461" s="96" t="s">
        <v>94</v>
      </c>
      <c r="W461" s="96" t="s">
        <v>97</v>
      </c>
      <c r="X461" s="96" t="s">
        <v>98</v>
      </c>
      <c r="Y461" s="96" t="s">
        <v>349</v>
      </c>
      <c r="Z461" s="96" t="s">
        <v>226</v>
      </c>
      <c r="AA461" s="96" t="s">
        <v>582</v>
      </c>
      <c r="AB461" s="96" t="s">
        <v>583</v>
      </c>
      <c r="AC461" s="96" t="s">
        <v>584</v>
      </c>
      <c r="AD461" s="96" t="s">
        <v>585</v>
      </c>
      <c r="AE461" s="96" t="s">
        <v>586</v>
      </c>
      <c r="AF461" s="96" t="s">
        <v>587</v>
      </c>
      <c r="AG461" s="96" t="s">
        <v>588</v>
      </c>
      <c r="AH461" s="96">
        <v>1994</v>
      </c>
      <c r="AI461" s="96" t="s">
        <v>589</v>
      </c>
      <c r="AJ461" s="96" t="s">
        <v>590</v>
      </c>
      <c r="AK461" s="27" t="s">
        <v>110</v>
      </c>
    </row>
    <row r="462" spans="1:37">
      <c r="A462" s="70">
        <v>457</v>
      </c>
      <c r="B462" s="70">
        <f t="shared" si="21"/>
        <v>0</v>
      </c>
      <c r="C462" s="71"/>
      <c r="D462" s="59" t="s">
        <v>1024</v>
      </c>
      <c r="E462" s="60">
        <v>13708</v>
      </c>
      <c r="F462" s="10" t="s">
        <v>411</v>
      </c>
      <c r="G462" s="60">
        <v>803</v>
      </c>
      <c r="H462" s="81">
        <v>10</v>
      </c>
      <c r="I462" s="86">
        <v>38</v>
      </c>
      <c r="J462" s="81">
        <v>10</v>
      </c>
      <c r="K462" s="86">
        <v>38</v>
      </c>
      <c r="L462" s="81">
        <v>275</v>
      </c>
      <c r="M462" s="86">
        <v>257</v>
      </c>
      <c r="N462" s="81">
        <v>34195</v>
      </c>
      <c r="O462" s="86">
        <v>34499</v>
      </c>
      <c r="P462" s="89">
        <f t="shared" si="22"/>
        <v>266</v>
      </c>
      <c r="Q462" s="89">
        <f t="shared" si="23"/>
        <v>34347</v>
      </c>
      <c r="R462" s="96" t="s">
        <v>94</v>
      </c>
      <c r="S462" s="96" t="s">
        <v>124</v>
      </c>
      <c r="T462" s="96" t="s">
        <v>94</v>
      </c>
      <c r="U462" s="96" t="s">
        <v>136</v>
      </c>
      <c r="V462" s="96" t="s">
        <v>94</v>
      </c>
      <c r="W462" s="96" t="s">
        <v>97</v>
      </c>
      <c r="X462" s="96" t="s">
        <v>98</v>
      </c>
      <c r="Y462" s="96" t="s">
        <v>110</v>
      </c>
      <c r="Z462" s="96" t="s">
        <v>148</v>
      </c>
      <c r="AA462" s="96" t="s">
        <v>412</v>
      </c>
      <c r="AB462" s="96" t="s">
        <v>413</v>
      </c>
      <c r="AC462" s="96" t="s">
        <v>414</v>
      </c>
      <c r="AD462" s="96" t="s">
        <v>415</v>
      </c>
      <c r="AE462" s="96" t="s">
        <v>416</v>
      </c>
      <c r="AF462" s="96" t="s">
        <v>417</v>
      </c>
      <c r="AG462" s="96" t="s">
        <v>110</v>
      </c>
      <c r="AH462" s="96">
        <v>2091</v>
      </c>
      <c r="AI462" s="96" t="s">
        <v>418</v>
      </c>
      <c r="AJ462" s="96" t="s">
        <v>419</v>
      </c>
      <c r="AK462" s="27" t="s">
        <v>110</v>
      </c>
    </row>
    <row r="463" spans="1:37">
      <c r="A463" s="70">
        <v>458</v>
      </c>
      <c r="B463" s="70">
        <f t="shared" si="21"/>
        <v>0</v>
      </c>
      <c r="C463" s="71"/>
      <c r="D463" s="59" t="s">
        <v>1024</v>
      </c>
      <c r="E463" s="60">
        <v>10862</v>
      </c>
      <c r="F463" s="10" t="s">
        <v>278</v>
      </c>
      <c r="G463" s="60">
        <v>801</v>
      </c>
      <c r="H463" s="81">
        <v>292</v>
      </c>
      <c r="I463" s="86">
        <v>1407</v>
      </c>
      <c r="J463" s="81">
        <v>292</v>
      </c>
      <c r="K463" s="86">
        <v>1407</v>
      </c>
      <c r="L463" s="81">
        <v>279</v>
      </c>
      <c r="M463" s="86">
        <v>249</v>
      </c>
      <c r="N463" s="81">
        <v>31709</v>
      </c>
      <c r="O463" s="86">
        <v>39303</v>
      </c>
      <c r="P463" s="89">
        <f t="shared" si="22"/>
        <v>264</v>
      </c>
      <c r="Q463" s="89">
        <f t="shared" si="23"/>
        <v>35506</v>
      </c>
      <c r="R463" s="96" t="s">
        <v>94</v>
      </c>
      <c r="S463" s="96" t="s">
        <v>124</v>
      </c>
      <c r="T463" s="96" t="s">
        <v>94</v>
      </c>
      <c r="U463" s="96" t="s">
        <v>136</v>
      </c>
      <c r="V463" s="96" t="s">
        <v>94</v>
      </c>
      <c r="W463" s="96" t="s">
        <v>97</v>
      </c>
      <c r="X463" s="96" t="s">
        <v>98</v>
      </c>
      <c r="Y463" s="96" t="s">
        <v>192</v>
      </c>
      <c r="Z463" s="96" t="s">
        <v>193</v>
      </c>
      <c r="AA463" s="96" t="s">
        <v>279</v>
      </c>
      <c r="AB463" s="96" t="s">
        <v>280</v>
      </c>
      <c r="AC463" s="96" t="s">
        <v>281</v>
      </c>
      <c r="AD463" s="96" t="s">
        <v>282</v>
      </c>
      <c r="AE463" s="96" t="s">
        <v>283</v>
      </c>
      <c r="AF463" s="96" t="s">
        <v>284</v>
      </c>
      <c r="AG463" s="96" t="s">
        <v>285</v>
      </c>
      <c r="AH463" s="96">
        <v>1410</v>
      </c>
      <c r="AI463" s="96" t="s">
        <v>286</v>
      </c>
      <c r="AJ463" s="96" t="s">
        <v>287</v>
      </c>
      <c r="AK463" s="27" t="s">
        <v>110</v>
      </c>
    </row>
    <row r="464" spans="1:37">
      <c r="A464" s="70">
        <v>459</v>
      </c>
      <c r="B464" s="70">
        <f t="shared" si="21"/>
        <v>0</v>
      </c>
      <c r="C464" s="71"/>
      <c r="D464" s="59" t="s">
        <v>1024</v>
      </c>
      <c r="E464" s="60">
        <v>13708</v>
      </c>
      <c r="F464" s="10" t="s">
        <v>411</v>
      </c>
      <c r="G464" s="60">
        <v>804</v>
      </c>
      <c r="H464" s="81">
        <v>50</v>
      </c>
      <c r="I464" s="86">
        <v>44</v>
      </c>
      <c r="J464" s="81">
        <v>50</v>
      </c>
      <c r="K464" s="86">
        <v>44</v>
      </c>
      <c r="L464" s="81">
        <v>276</v>
      </c>
      <c r="M464" s="86">
        <v>250</v>
      </c>
      <c r="N464" s="81">
        <v>33745</v>
      </c>
      <c r="O464" s="86">
        <v>38282</v>
      </c>
      <c r="P464" s="89">
        <f t="shared" si="22"/>
        <v>263</v>
      </c>
      <c r="Q464" s="89">
        <f t="shared" si="23"/>
        <v>36013.5</v>
      </c>
      <c r="R464" s="96" t="s">
        <v>94</v>
      </c>
      <c r="S464" s="96" t="s">
        <v>124</v>
      </c>
      <c r="T464" s="96" t="s">
        <v>94</v>
      </c>
      <c r="U464" s="96" t="s">
        <v>136</v>
      </c>
      <c r="V464" s="96" t="s">
        <v>94</v>
      </c>
      <c r="W464" s="96" t="s">
        <v>97</v>
      </c>
      <c r="X464" s="96" t="s">
        <v>98</v>
      </c>
      <c r="Y464" s="96" t="s">
        <v>110</v>
      </c>
      <c r="Z464" s="96" t="s">
        <v>148</v>
      </c>
      <c r="AA464" s="96" t="s">
        <v>412</v>
      </c>
      <c r="AB464" s="96" t="s">
        <v>413</v>
      </c>
      <c r="AC464" s="96" t="s">
        <v>414</v>
      </c>
      <c r="AD464" s="96" t="s">
        <v>415</v>
      </c>
      <c r="AE464" s="96" t="s">
        <v>416</v>
      </c>
      <c r="AF464" s="96" t="s">
        <v>417</v>
      </c>
      <c r="AG464" s="96" t="s">
        <v>110</v>
      </c>
      <c r="AH464" s="96">
        <v>2091</v>
      </c>
      <c r="AI464" s="96" t="s">
        <v>418</v>
      </c>
      <c r="AJ464" s="96" t="s">
        <v>419</v>
      </c>
      <c r="AK464" s="27" t="s">
        <v>110</v>
      </c>
    </row>
    <row r="465" spans="1:37">
      <c r="A465" s="70">
        <v>460</v>
      </c>
      <c r="B465" s="70">
        <f t="shared" si="21"/>
        <v>0</v>
      </c>
      <c r="C465" s="71"/>
      <c r="D465" s="59" t="s">
        <v>1024</v>
      </c>
      <c r="E465" s="60">
        <v>12957</v>
      </c>
      <c r="F465" s="10" t="s">
        <v>111</v>
      </c>
      <c r="G465" s="60">
        <v>809</v>
      </c>
      <c r="H465" s="81">
        <v>8</v>
      </c>
      <c r="I465" s="86">
        <v>53</v>
      </c>
      <c r="J465" s="81">
        <v>8</v>
      </c>
      <c r="K465" s="86">
        <v>53</v>
      </c>
      <c r="L465" s="81">
        <v>231</v>
      </c>
      <c r="M465" s="86">
        <v>353</v>
      </c>
      <c r="N465" s="81">
        <v>68788</v>
      </c>
      <c r="O465" s="86">
        <v>3924</v>
      </c>
      <c r="P465" s="89">
        <f t="shared" si="22"/>
        <v>292</v>
      </c>
      <c r="Q465" s="89">
        <f t="shared" si="23"/>
        <v>36356</v>
      </c>
      <c r="R465" s="96" t="s">
        <v>94</v>
      </c>
      <c r="S465" s="96" t="s">
        <v>95</v>
      </c>
      <c r="T465" s="96" t="s">
        <v>94</v>
      </c>
      <c r="U465" s="96" t="s">
        <v>96</v>
      </c>
      <c r="V465" s="96" t="s">
        <v>94</v>
      </c>
      <c r="W465" s="96" t="s">
        <v>97</v>
      </c>
      <c r="X465" s="96" t="s">
        <v>98</v>
      </c>
      <c r="Y465" s="96" t="s">
        <v>112</v>
      </c>
      <c r="Z465" s="96" t="s">
        <v>113</v>
      </c>
      <c r="AA465" s="96" t="s">
        <v>114</v>
      </c>
      <c r="AB465" s="96" t="s">
        <v>115</v>
      </c>
      <c r="AC465" s="96" t="s">
        <v>116</v>
      </c>
      <c r="AD465" s="96" t="s">
        <v>117</v>
      </c>
      <c r="AE465" s="96" t="s">
        <v>118</v>
      </c>
      <c r="AF465" s="96" t="s">
        <v>119</v>
      </c>
      <c r="AG465" s="96" t="s">
        <v>120</v>
      </c>
      <c r="AH465" s="96">
        <v>184</v>
      </c>
      <c r="AI465" s="96" t="s">
        <v>121</v>
      </c>
      <c r="AJ465" s="96" t="s">
        <v>122</v>
      </c>
      <c r="AK465" s="27" t="s">
        <v>110</v>
      </c>
    </row>
    <row r="466" spans="1:37">
      <c r="A466" s="70">
        <v>461</v>
      </c>
      <c r="B466" s="70">
        <f t="shared" si="21"/>
        <v>0</v>
      </c>
      <c r="C466" s="71"/>
      <c r="D466" s="59" t="s">
        <v>1024</v>
      </c>
      <c r="E466" s="60">
        <v>12743</v>
      </c>
      <c r="F466" s="10" t="s">
        <v>300</v>
      </c>
      <c r="G466" s="60">
        <v>806</v>
      </c>
      <c r="H466" s="81">
        <v>199</v>
      </c>
      <c r="I466" s="86">
        <v>129</v>
      </c>
      <c r="J466" s="81">
        <v>199</v>
      </c>
      <c r="K466" s="86">
        <v>129</v>
      </c>
      <c r="L466" s="81">
        <v>261</v>
      </c>
      <c r="M466" s="86">
        <v>269</v>
      </c>
      <c r="N466" s="81">
        <v>44475</v>
      </c>
      <c r="O466" s="86">
        <v>28286</v>
      </c>
      <c r="P466" s="89">
        <f t="shared" si="22"/>
        <v>265</v>
      </c>
      <c r="Q466" s="89">
        <f t="shared" si="23"/>
        <v>36380.5</v>
      </c>
      <c r="R466" s="96" t="s">
        <v>94</v>
      </c>
      <c r="S466" s="96" t="s">
        <v>124</v>
      </c>
      <c r="T466" s="96" t="s">
        <v>94</v>
      </c>
      <c r="U466" s="96" t="s">
        <v>136</v>
      </c>
      <c r="V466" s="96" t="s">
        <v>94</v>
      </c>
      <c r="W466" s="96" t="s">
        <v>97</v>
      </c>
      <c r="X466" s="96" t="s">
        <v>98</v>
      </c>
      <c r="Y466" s="96" t="s">
        <v>256</v>
      </c>
      <c r="Z466" s="96" t="s">
        <v>148</v>
      </c>
      <c r="AA466" s="96" t="s">
        <v>301</v>
      </c>
      <c r="AB466" s="96" t="s">
        <v>302</v>
      </c>
      <c r="AC466" s="96" t="s">
        <v>303</v>
      </c>
      <c r="AD466" s="96" t="s">
        <v>304</v>
      </c>
      <c r="AE466" s="96" t="s">
        <v>305</v>
      </c>
      <c r="AF466" s="96" t="s">
        <v>306</v>
      </c>
      <c r="AG466" s="96" t="s">
        <v>307</v>
      </c>
      <c r="AH466" s="96">
        <v>1842</v>
      </c>
      <c r="AI466" s="96" t="s">
        <v>308</v>
      </c>
      <c r="AJ466" s="96" t="s">
        <v>309</v>
      </c>
      <c r="AK466" s="27" t="s">
        <v>110</v>
      </c>
    </row>
    <row r="467" spans="1:37">
      <c r="A467" s="70">
        <v>462</v>
      </c>
      <c r="B467" s="70">
        <f t="shared" si="21"/>
        <v>0</v>
      </c>
      <c r="C467" s="71"/>
      <c r="D467" s="59" t="s">
        <v>1024</v>
      </c>
      <c r="E467" s="60">
        <v>14610</v>
      </c>
      <c r="F467" s="10" t="s">
        <v>510</v>
      </c>
      <c r="G467" s="60">
        <v>801</v>
      </c>
      <c r="H467" s="81">
        <v>60</v>
      </c>
      <c r="I467" s="86">
        <v>760</v>
      </c>
      <c r="J467" s="81">
        <v>60</v>
      </c>
      <c r="K467" s="86">
        <v>760</v>
      </c>
      <c r="L467" s="81">
        <v>284</v>
      </c>
      <c r="M467" s="86">
        <v>241</v>
      </c>
      <c r="N467" s="81">
        <v>28730</v>
      </c>
      <c r="O467" s="86">
        <v>44419</v>
      </c>
      <c r="P467" s="89">
        <f t="shared" si="22"/>
        <v>262.5</v>
      </c>
      <c r="Q467" s="89">
        <f t="shared" si="23"/>
        <v>36574.5</v>
      </c>
      <c r="R467" s="96" t="s">
        <v>94</v>
      </c>
      <c r="S467" s="96" t="s">
        <v>237</v>
      </c>
      <c r="T467" s="96" t="s">
        <v>94</v>
      </c>
      <c r="U467" s="96" t="s">
        <v>136</v>
      </c>
      <c r="V467" s="96" t="s">
        <v>94</v>
      </c>
      <c r="W467" s="96" t="s">
        <v>97</v>
      </c>
      <c r="X467" s="96" t="s">
        <v>147</v>
      </c>
      <c r="Y467" s="96" t="s">
        <v>110</v>
      </c>
      <c r="Z467" s="96" t="s">
        <v>511</v>
      </c>
      <c r="AA467" s="96" t="s">
        <v>512</v>
      </c>
      <c r="AB467" s="96" t="s">
        <v>110</v>
      </c>
      <c r="AC467" s="96" t="s">
        <v>513</v>
      </c>
      <c r="AD467" s="96" t="s">
        <v>514</v>
      </c>
      <c r="AE467" s="96" t="s">
        <v>515</v>
      </c>
      <c r="AF467" s="96" t="s">
        <v>516</v>
      </c>
      <c r="AG467" s="96" t="s">
        <v>110</v>
      </c>
      <c r="AH467" s="96">
        <v>1317</v>
      </c>
      <c r="AI467" s="96" t="s">
        <v>517</v>
      </c>
      <c r="AJ467" s="96" t="s">
        <v>518</v>
      </c>
      <c r="AK467" s="27" t="s">
        <v>110</v>
      </c>
    </row>
    <row r="468" spans="1:37">
      <c r="A468" s="70">
        <v>463</v>
      </c>
      <c r="B468" s="70">
        <f t="shared" si="21"/>
        <v>0</v>
      </c>
      <c r="C468" s="71"/>
      <c r="D468" s="59" t="s">
        <v>1024</v>
      </c>
      <c r="E468" s="60">
        <v>10862</v>
      </c>
      <c r="F468" s="10" t="s">
        <v>278</v>
      </c>
      <c r="G468" s="60">
        <v>802</v>
      </c>
      <c r="H468" s="81">
        <v>260</v>
      </c>
      <c r="I468" s="86">
        <v>368</v>
      </c>
      <c r="J468" s="81">
        <v>260</v>
      </c>
      <c r="K468" s="86">
        <v>368</v>
      </c>
      <c r="L468" s="81">
        <v>278</v>
      </c>
      <c r="M468" s="86">
        <v>245</v>
      </c>
      <c r="N468" s="81">
        <v>32144</v>
      </c>
      <c r="O468" s="86">
        <v>41660</v>
      </c>
      <c r="P468" s="89">
        <f t="shared" si="22"/>
        <v>261.5</v>
      </c>
      <c r="Q468" s="89">
        <f t="shared" si="23"/>
        <v>36902</v>
      </c>
      <c r="R468" s="96" t="s">
        <v>94</v>
      </c>
      <c r="S468" s="96" t="s">
        <v>124</v>
      </c>
      <c r="T468" s="96" t="s">
        <v>94</v>
      </c>
      <c r="U468" s="96" t="s">
        <v>136</v>
      </c>
      <c r="V468" s="96" t="s">
        <v>94</v>
      </c>
      <c r="W468" s="96" t="s">
        <v>97</v>
      </c>
      <c r="X468" s="96" t="s">
        <v>98</v>
      </c>
      <c r="Y468" s="96" t="s">
        <v>192</v>
      </c>
      <c r="Z468" s="96" t="s">
        <v>193</v>
      </c>
      <c r="AA468" s="96" t="s">
        <v>279</v>
      </c>
      <c r="AB468" s="96" t="s">
        <v>280</v>
      </c>
      <c r="AC468" s="96" t="s">
        <v>281</v>
      </c>
      <c r="AD468" s="96" t="s">
        <v>282</v>
      </c>
      <c r="AE468" s="96" t="s">
        <v>283</v>
      </c>
      <c r="AF468" s="96" t="s">
        <v>284</v>
      </c>
      <c r="AG468" s="96" t="s">
        <v>285</v>
      </c>
      <c r="AH468" s="96">
        <v>1410</v>
      </c>
      <c r="AI468" s="96" t="s">
        <v>286</v>
      </c>
      <c r="AJ468" s="96" t="s">
        <v>287</v>
      </c>
      <c r="AK468" s="27" t="s">
        <v>110</v>
      </c>
    </row>
    <row r="469" spans="1:37">
      <c r="A469" s="70">
        <v>464</v>
      </c>
      <c r="B469" s="70">
        <f t="shared" si="21"/>
        <v>0</v>
      </c>
      <c r="C469" s="71"/>
      <c r="D469" s="59" t="s">
        <v>1024</v>
      </c>
      <c r="E469" s="60">
        <v>12958</v>
      </c>
      <c r="F469" s="10" t="s">
        <v>498</v>
      </c>
      <c r="G469" s="60">
        <v>808</v>
      </c>
      <c r="H469" s="81">
        <v>210</v>
      </c>
      <c r="I469" s="86">
        <v>156</v>
      </c>
      <c r="J469" s="81">
        <v>210</v>
      </c>
      <c r="K469" s="86">
        <v>156</v>
      </c>
      <c r="L469" s="81">
        <v>269</v>
      </c>
      <c r="M469" s="86">
        <v>250</v>
      </c>
      <c r="N469" s="81">
        <v>38468</v>
      </c>
      <c r="O469" s="86">
        <v>38486</v>
      </c>
      <c r="P469" s="89">
        <f t="shared" si="22"/>
        <v>259.5</v>
      </c>
      <c r="Q469" s="89">
        <f t="shared" si="23"/>
        <v>38477</v>
      </c>
      <c r="R469" s="96" t="s">
        <v>94</v>
      </c>
      <c r="S469" s="96" t="s">
        <v>499</v>
      </c>
      <c r="T469" s="96" t="s">
        <v>94</v>
      </c>
      <c r="U469" s="96" t="s">
        <v>136</v>
      </c>
      <c r="V469" s="96" t="s">
        <v>94</v>
      </c>
      <c r="W469" s="96" t="s">
        <v>97</v>
      </c>
      <c r="X469" s="96" t="s">
        <v>500</v>
      </c>
      <c r="Y469" s="96" t="s">
        <v>225</v>
      </c>
      <c r="Z469" s="96" t="s">
        <v>226</v>
      </c>
      <c r="AA469" s="96" t="s">
        <v>501</v>
      </c>
      <c r="AB469" s="96" t="s">
        <v>502</v>
      </c>
      <c r="AC469" s="96" t="s">
        <v>503</v>
      </c>
      <c r="AD469" s="96" t="s">
        <v>504</v>
      </c>
      <c r="AE469" s="96" t="s">
        <v>505</v>
      </c>
      <c r="AF469" s="96" t="s">
        <v>506</v>
      </c>
      <c r="AG469" s="96" t="s">
        <v>507</v>
      </c>
      <c r="AH469" s="96">
        <v>1527</v>
      </c>
      <c r="AI469" s="96" t="s">
        <v>508</v>
      </c>
      <c r="AJ469" s="96" t="s">
        <v>509</v>
      </c>
      <c r="AK469" s="27" t="s">
        <v>110</v>
      </c>
    </row>
    <row r="470" spans="1:37">
      <c r="A470" s="70">
        <v>465</v>
      </c>
      <c r="B470" s="70">
        <f t="shared" si="21"/>
        <v>0</v>
      </c>
      <c r="C470" s="71"/>
      <c r="D470" s="59" t="s">
        <v>1024</v>
      </c>
      <c r="E470" s="60">
        <v>14065</v>
      </c>
      <c r="F470" s="10" t="s">
        <v>310</v>
      </c>
      <c r="G470" s="60">
        <v>803</v>
      </c>
      <c r="H470" s="81">
        <v>50</v>
      </c>
      <c r="I470" s="86">
        <v>45</v>
      </c>
      <c r="J470" s="81">
        <v>50</v>
      </c>
      <c r="K470" s="86">
        <v>45</v>
      </c>
      <c r="L470" s="81">
        <v>272</v>
      </c>
      <c r="M470" s="86">
        <v>243</v>
      </c>
      <c r="N470" s="81">
        <v>36258</v>
      </c>
      <c r="O470" s="86">
        <v>42617</v>
      </c>
      <c r="P470" s="89">
        <f t="shared" si="22"/>
        <v>257.5</v>
      </c>
      <c r="Q470" s="89">
        <f t="shared" si="23"/>
        <v>39437.5</v>
      </c>
      <c r="R470" s="96" t="s">
        <v>94</v>
      </c>
      <c r="S470" s="96" t="s">
        <v>124</v>
      </c>
      <c r="T470" s="96" t="s">
        <v>94</v>
      </c>
      <c r="U470" s="96" t="s">
        <v>136</v>
      </c>
      <c r="V470" s="96" t="s">
        <v>94</v>
      </c>
      <c r="W470" s="96" t="s">
        <v>97</v>
      </c>
      <c r="X470" s="96" t="s">
        <v>98</v>
      </c>
      <c r="Y470" s="96" t="s">
        <v>225</v>
      </c>
      <c r="Z470" s="96" t="s">
        <v>148</v>
      </c>
      <c r="AA470" s="96" t="s">
        <v>311</v>
      </c>
      <c r="AB470" s="96" t="s">
        <v>312</v>
      </c>
      <c r="AC470" s="96" t="s">
        <v>313</v>
      </c>
      <c r="AD470" s="96" t="s">
        <v>314</v>
      </c>
      <c r="AE470" s="96" t="s">
        <v>315</v>
      </c>
      <c r="AF470" s="96" t="s">
        <v>316</v>
      </c>
      <c r="AG470" s="96" t="s">
        <v>110</v>
      </c>
      <c r="AH470" s="96">
        <v>2004</v>
      </c>
      <c r="AI470" s="96" t="s">
        <v>317</v>
      </c>
      <c r="AJ470" s="96" t="s">
        <v>318</v>
      </c>
      <c r="AK470" s="27" t="s">
        <v>110</v>
      </c>
    </row>
    <row r="471" spans="1:37">
      <c r="A471" s="70">
        <v>466</v>
      </c>
      <c r="B471" s="70">
        <f t="shared" si="21"/>
        <v>0</v>
      </c>
      <c r="C471" s="71"/>
      <c r="D471" s="59" t="s">
        <v>1024</v>
      </c>
      <c r="E471" s="60">
        <v>13710</v>
      </c>
      <c r="F471" s="10" t="s">
        <v>458</v>
      </c>
      <c r="G471" s="60">
        <v>803</v>
      </c>
      <c r="H471" s="81">
        <v>50</v>
      </c>
      <c r="I471" s="86" t="s">
        <v>110</v>
      </c>
      <c r="J471" s="81">
        <v>50</v>
      </c>
      <c r="K471" s="86" t="s">
        <v>110</v>
      </c>
      <c r="L471" s="81">
        <v>266</v>
      </c>
      <c r="M471" s="86" t="s">
        <v>110</v>
      </c>
      <c r="N471" s="81">
        <v>40481</v>
      </c>
      <c r="O471" s="86" t="s">
        <v>110</v>
      </c>
      <c r="P471" s="89">
        <f t="shared" si="22"/>
        <v>266</v>
      </c>
      <c r="Q471" s="89">
        <f t="shared" si="23"/>
        <v>40481</v>
      </c>
      <c r="R471" s="96" t="s">
        <v>94</v>
      </c>
      <c r="S471" s="96" t="s">
        <v>224</v>
      </c>
      <c r="T471" s="96" t="s">
        <v>94</v>
      </c>
      <c r="U471" s="96" t="s">
        <v>136</v>
      </c>
      <c r="V471" s="96" t="s">
        <v>94</v>
      </c>
      <c r="W471" s="96" t="s">
        <v>97</v>
      </c>
      <c r="X471" s="96" t="s">
        <v>147</v>
      </c>
      <c r="Y471" s="96" t="s">
        <v>213</v>
      </c>
      <c r="Z471" s="96" t="s">
        <v>459</v>
      </c>
      <c r="AA471" s="96" t="s">
        <v>460</v>
      </c>
      <c r="AB471" s="96" t="s">
        <v>461</v>
      </c>
      <c r="AC471" s="96" t="s">
        <v>462</v>
      </c>
      <c r="AD471" s="96" t="s">
        <v>463</v>
      </c>
      <c r="AE471" s="96" t="s">
        <v>464</v>
      </c>
      <c r="AF471" s="96" t="s">
        <v>465</v>
      </c>
      <c r="AG471" s="96" t="s">
        <v>466</v>
      </c>
      <c r="AH471" s="96">
        <v>1413</v>
      </c>
      <c r="AI471" s="96" t="s">
        <v>467</v>
      </c>
      <c r="AJ471" s="96" t="s">
        <v>468</v>
      </c>
      <c r="AK471" s="27" t="s">
        <v>110</v>
      </c>
    </row>
    <row r="472" spans="1:37">
      <c r="A472" s="70">
        <v>467</v>
      </c>
      <c r="B472" s="70">
        <f t="shared" si="21"/>
        <v>0</v>
      </c>
      <c r="C472" s="71"/>
      <c r="D472" s="59" t="s">
        <v>1024</v>
      </c>
      <c r="E472" s="60">
        <v>12572</v>
      </c>
      <c r="F472" s="10" t="s">
        <v>191</v>
      </c>
      <c r="G472" s="60">
        <v>808</v>
      </c>
      <c r="H472" s="81">
        <v>70</v>
      </c>
      <c r="I472" s="86">
        <v>115</v>
      </c>
      <c r="J472" s="81">
        <v>70</v>
      </c>
      <c r="K472" s="86">
        <v>115</v>
      </c>
      <c r="L472" s="81">
        <v>265</v>
      </c>
      <c r="M472" s="86">
        <v>247</v>
      </c>
      <c r="N472" s="81">
        <v>41330</v>
      </c>
      <c r="O472" s="86">
        <v>40095</v>
      </c>
      <c r="P472" s="89">
        <f t="shared" si="22"/>
        <v>256</v>
      </c>
      <c r="Q472" s="89">
        <f t="shared" si="23"/>
        <v>40712.5</v>
      </c>
      <c r="R472" s="96" t="s">
        <v>94</v>
      </c>
      <c r="S472" s="96" t="s">
        <v>124</v>
      </c>
      <c r="T472" s="96" t="s">
        <v>94</v>
      </c>
      <c r="U472" s="96" t="s">
        <v>136</v>
      </c>
      <c r="V472" s="96" t="s">
        <v>94</v>
      </c>
      <c r="W472" s="96" t="s">
        <v>97</v>
      </c>
      <c r="X472" s="96" t="s">
        <v>98</v>
      </c>
      <c r="Y472" s="96" t="s">
        <v>192</v>
      </c>
      <c r="Z472" s="96" t="s">
        <v>193</v>
      </c>
      <c r="AA472" s="96" t="s">
        <v>194</v>
      </c>
      <c r="AB472" s="96" t="s">
        <v>195</v>
      </c>
      <c r="AC472" s="96" t="s">
        <v>196</v>
      </c>
      <c r="AD472" s="96" t="s">
        <v>197</v>
      </c>
      <c r="AE472" s="96" t="s">
        <v>198</v>
      </c>
      <c r="AF472" s="96" t="s">
        <v>199</v>
      </c>
      <c r="AG472" s="96" t="s">
        <v>200</v>
      </c>
      <c r="AH472" s="96">
        <v>1329</v>
      </c>
      <c r="AI472" s="96" t="s">
        <v>201</v>
      </c>
      <c r="AJ472" s="96" t="s">
        <v>202</v>
      </c>
      <c r="AK472" s="27" t="s">
        <v>110</v>
      </c>
    </row>
    <row r="473" spans="1:37">
      <c r="A473" s="70">
        <v>468</v>
      </c>
      <c r="B473" s="70">
        <f t="shared" si="21"/>
        <v>0</v>
      </c>
      <c r="C473" s="71"/>
      <c r="D473" s="59" t="s">
        <v>1024</v>
      </c>
      <c r="E473" s="60">
        <v>12573</v>
      </c>
      <c r="F473" s="10" t="s">
        <v>371</v>
      </c>
      <c r="G473" s="60">
        <v>802</v>
      </c>
      <c r="H473" s="81">
        <v>515</v>
      </c>
      <c r="I473" s="86">
        <v>395</v>
      </c>
      <c r="J473" s="81">
        <v>515</v>
      </c>
      <c r="K473" s="86">
        <v>395</v>
      </c>
      <c r="L473" s="81">
        <v>265</v>
      </c>
      <c r="M473" s="86">
        <v>246</v>
      </c>
      <c r="N473" s="81">
        <v>41298</v>
      </c>
      <c r="O473" s="86">
        <v>40979</v>
      </c>
      <c r="P473" s="89">
        <f t="shared" si="22"/>
        <v>255.5</v>
      </c>
      <c r="Q473" s="89">
        <f t="shared" si="23"/>
        <v>41138.5</v>
      </c>
      <c r="R473" s="96" t="s">
        <v>94</v>
      </c>
      <c r="S473" s="96" t="s">
        <v>124</v>
      </c>
      <c r="T473" s="96" t="s">
        <v>94</v>
      </c>
      <c r="U473" s="96" t="s">
        <v>136</v>
      </c>
      <c r="V473" s="96" t="s">
        <v>94</v>
      </c>
      <c r="W473" s="96" t="s">
        <v>97</v>
      </c>
      <c r="X473" s="96" t="s">
        <v>98</v>
      </c>
      <c r="Y473" s="96" t="s">
        <v>268</v>
      </c>
      <c r="Z473" s="96" t="s">
        <v>257</v>
      </c>
      <c r="AA473" s="96" t="s">
        <v>372</v>
      </c>
      <c r="AB473" s="96" t="s">
        <v>373</v>
      </c>
      <c r="AC473" s="96" t="s">
        <v>374</v>
      </c>
      <c r="AD473" s="96" t="s">
        <v>375</v>
      </c>
      <c r="AE473" s="96" t="s">
        <v>376</v>
      </c>
      <c r="AF473" s="96" t="s">
        <v>377</v>
      </c>
      <c r="AG473" s="96" t="s">
        <v>378</v>
      </c>
      <c r="AH473" s="96">
        <v>1543</v>
      </c>
      <c r="AI473" s="96" t="s">
        <v>379</v>
      </c>
      <c r="AJ473" s="96" t="s">
        <v>380</v>
      </c>
      <c r="AK473" s="27" t="s">
        <v>110</v>
      </c>
    </row>
    <row r="474" spans="1:37">
      <c r="A474" s="70">
        <v>469</v>
      </c>
      <c r="B474" s="70">
        <f t="shared" si="21"/>
        <v>0</v>
      </c>
      <c r="C474" s="71"/>
      <c r="D474" s="59" t="s">
        <v>1024</v>
      </c>
      <c r="E474" s="60">
        <v>12573</v>
      </c>
      <c r="F474" s="10" t="s">
        <v>371</v>
      </c>
      <c r="G474" s="60">
        <v>805</v>
      </c>
      <c r="H474" s="81">
        <v>67</v>
      </c>
      <c r="I474" s="86">
        <v>40</v>
      </c>
      <c r="J474" s="81">
        <v>67</v>
      </c>
      <c r="K474" s="86">
        <v>40</v>
      </c>
      <c r="L474" s="81">
        <v>257</v>
      </c>
      <c r="M474" s="86">
        <v>255</v>
      </c>
      <c r="N474" s="81">
        <v>47212</v>
      </c>
      <c r="O474" s="86">
        <v>35687</v>
      </c>
      <c r="P474" s="89">
        <f t="shared" si="22"/>
        <v>256</v>
      </c>
      <c r="Q474" s="89">
        <f t="shared" si="23"/>
        <v>41449.5</v>
      </c>
      <c r="R474" s="96" t="s">
        <v>94</v>
      </c>
      <c r="S474" s="96" t="s">
        <v>124</v>
      </c>
      <c r="T474" s="96" t="s">
        <v>94</v>
      </c>
      <c r="U474" s="96" t="s">
        <v>136</v>
      </c>
      <c r="V474" s="96" t="s">
        <v>94</v>
      </c>
      <c r="W474" s="96" t="s">
        <v>97</v>
      </c>
      <c r="X474" s="96" t="s">
        <v>98</v>
      </c>
      <c r="Y474" s="96" t="s">
        <v>268</v>
      </c>
      <c r="Z474" s="96" t="s">
        <v>257</v>
      </c>
      <c r="AA474" s="96" t="s">
        <v>372</v>
      </c>
      <c r="AB474" s="96" t="s">
        <v>373</v>
      </c>
      <c r="AC474" s="96" t="s">
        <v>374</v>
      </c>
      <c r="AD474" s="96" t="s">
        <v>375</v>
      </c>
      <c r="AE474" s="96" t="s">
        <v>376</v>
      </c>
      <c r="AF474" s="96" t="s">
        <v>377</v>
      </c>
      <c r="AG474" s="96" t="s">
        <v>378</v>
      </c>
      <c r="AH474" s="96">
        <v>1543</v>
      </c>
      <c r="AI474" s="96" t="s">
        <v>379</v>
      </c>
      <c r="AJ474" s="96" t="s">
        <v>380</v>
      </c>
      <c r="AK474" s="27" t="s">
        <v>110</v>
      </c>
    </row>
    <row r="475" spans="1:37">
      <c r="A475" s="70">
        <v>470</v>
      </c>
      <c r="B475" s="70">
        <f t="shared" si="21"/>
        <v>0</v>
      </c>
      <c r="C475" s="71"/>
      <c r="D475" s="59" t="s">
        <v>1024</v>
      </c>
      <c r="E475" s="60">
        <v>13707</v>
      </c>
      <c r="F475" s="10" t="s">
        <v>402</v>
      </c>
      <c r="G475" s="60">
        <v>807</v>
      </c>
      <c r="H475" s="81">
        <v>23</v>
      </c>
      <c r="I475" s="86">
        <v>7</v>
      </c>
      <c r="J475" s="81">
        <v>23</v>
      </c>
      <c r="K475" s="86">
        <v>7</v>
      </c>
      <c r="L475" s="81">
        <v>267</v>
      </c>
      <c r="M475" s="86">
        <v>243</v>
      </c>
      <c r="N475" s="81">
        <v>40040</v>
      </c>
      <c r="O475" s="86">
        <v>42969</v>
      </c>
      <c r="P475" s="89">
        <f t="shared" si="22"/>
        <v>255</v>
      </c>
      <c r="Q475" s="89">
        <f t="shared" si="23"/>
        <v>41504.5</v>
      </c>
      <c r="R475" s="96" t="s">
        <v>94</v>
      </c>
      <c r="S475" s="96" t="s">
        <v>124</v>
      </c>
      <c r="T475" s="96" t="s">
        <v>94</v>
      </c>
      <c r="U475" s="96" t="s">
        <v>136</v>
      </c>
      <c r="V475" s="96" t="s">
        <v>94</v>
      </c>
      <c r="W475" s="96" t="s">
        <v>97</v>
      </c>
      <c r="X475" s="96" t="s">
        <v>98</v>
      </c>
      <c r="Y475" s="96" t="s">
        <v>110</v>
      </c>
      <c r="Z475" s="96" t="s">
        <v>110</v>
      </c>
      <c r="AA475" s="96" t="s">
        <v>403</v>
      </c>
      <c r="AB475" s="96" t="s">
        <v>404</v>
      </c>
      <c r="AC475" s="96" t="s">
        <v>405</v>
      </c>
      <c r="AD475" s="96" t="s">
        <v>406</v>
      </c>
      <c r="AE475" s="96" t="s">
        <v>407</v>
      </c>
      <c r="AF475" s="96" t="s">
        <v>408</v>
      </c>
      <c r="AG475" s="96" t="s">
        <v>110</v>
      </c>
      <c r="AH475" s="96">
        <v>2421</v>
      </c>
      <c r="AI475" s="96" t="s">
        <v>409</v>
      </c>
      <c r="AJ475" s="96" t="s">
        <v>410</v>
      </c>
      <c r="AK475" s="27" t="s">
        <v>110</v>
      </c>
    </row>
    <row r="476" spans="1:37">
      <c r="A476" s="70">
        <v>471</v>
      </c>
      <c r="B476" s="70">
        <f t="shared" si="21"/>
        <v>0</v>
      </c>
      <c r="C476" s="71"/>
      <c r="D476" s="59" t="s">
        <v>1024</v>
      </c>
      <c r="E476" s="60">
        <v>13930</v>
      </c>
      <c r="F476" s="10" t="s">
        <v>525</v>
      </c>
      <c r="G476" s="60">
        <v>801</v>
      </c>
      <c r="H476" s="81">
        <v>1151</v>
      </c>
      <c r="I476" s="86">
        <v>1710</v>
      </c>
      <c r="J476" s="81">
        <v>1151</v>
      </c>
      <c r="K476" s="86">
        <v>1710</v>
      </c>
      <c r="L476" s="81">
        <v>268</v>
      </c>
      <c r="M476" s="86">
        <v>240</v>
      </c>
      <c r="N476" s="81">
        <v>39169</v>
      </c>
      <c r="O476" s="86">
        <v>44699</v>
      </c>
      <c r="P476" s="89">
        <f t="shared" si="22"/>
        <v>254</v>
      </c>
      <c r="Q476" s="89">
        <f t="shared" si="23"/>
        <v>41934</v>
      </c>
      <c r="R476" s="96" t="s">
        <v>94</v>
      </c>
      <c r="S476" s="96" t="s">
        <v>124</v>
      </c>
      <c r="T476" s="96" t="s">
        <v>94</v>
      </c>
      <c r="U476" s="96" t="s">
        <v>136</v>
      </c>
      <c r="V476" s="96" t="s">
        <v>94</v>
      </c>
      <c r="W476" s="96" t="s">
        <v>97</v>
      </c>
      <c r="X476" s="96" t="s">
        <v>98</v>
      </c>
      <c r="Y476" s="96" t="s">
        <v>349</v>
      </c>
      <c r="Z476" s="96" t="s">
        <v>226</v>
      </c>
      <c r="AA476" s="96" t="s">
        <v>526</v>
      </c>
      <c r="AB476" s="96" t="s">
        <v>527</v>
      </c>
      <c r="AC476" s="96" t="s">
        <v>528</v>
      </c>
      <c r="AD476" s="96" t="s">
        <v>529</v>
      </c>
      <c r="AE476" s="96" t="s">
        <v>530</v>
      </c>
      <c r="AF476" s="96" t="s">
        <v>531</v>
      </c>
      <c r="AG476" s="96" t="s">
        <v>110</v>
      </c>
      <c r="AH476" s="96">
        <v>1998</v>
      </c>
      <c r="AI476" s="96" t="s">
        <v>532</v>
      </c>
      <c r="AJ476" s="96" t="s">
        <v>533</v>
      </c>
      <c r="AK476" s="27" t="s">
        <v>110</v>
      </c>
    </row>
    <row r="477" spans="1:37">
      <c r="A477" s="70">
        <v>472</v>
      </c>
      <c r="B477" s="70">
        <f t="shared" si="21"/>
        <v>0</v>
      </c>
      <c r="C477" s="71"/>
      <c r="D477" s="59" t="s">
        <v>1024</v>
      </c>
      <c r="E477" s="60">
        <v>13810</v>
      </c>
      <c r="F477" s="10" t="s">
        <v>144</v>
      </c>
      <c r="G477" s="60">
        <v>802</v>
      </c>
      <c r="H477" s="81">
        <v>150</v>
      </c>
      <c r="I477" s="86">
        <v>440</v>
      </c>
      <c r="J477" s="81">
        <v>150</v>
      </c>
      <c r="K477" s="86">
        <v>440</v>
      </c>
      <c r="L477" s="81">
        <v>274</v>
      </c>
      <c r="M477" s="86">
        <v>234</v>
      </c>
      <c r="N477" s="81">
        <v>35040</v>
      </c>
      <c r="O477" s="86">
        <v>48897</v>
      </c>
      <c r="P477" s="89">
        <f t="shared" si="22"/>
        <v>254</v>
      </c>
      <c r="Q477" s="89">
        <f t="shared" si="23"/>
        <v>41968.5</v>
      </c>
      <c r="R477" s="96" t="s">
        <v>94</v>
      </c>
      <c r="S477" s="96" t="s">
        <v>145</v>
      </c>
      <c r="T477" s="96" t="s">
        <v>94</v>
      </c>
      <c r="U477" s="96" t="s">
        <v>146</v>
      </c>
      <c r="V477" s="96" t="s">
        <v>94</v>
      </c>
      <c r="W477" s="96" t="s">
        <v>97</v>
      </c>
      <c r="X477" s="96" t="s">
        <v>147</v>
      </c>
      <c r="Y477" s="96" t="s">
        <v>110</v>
      </c>
      <c r="Z477" s="96" t="s">
        <v>148</v>
      </c>
      <c r="AA477" s="96" t="s">
        <v>149</v>
      </c>
      <c r="AB477" s="96" t="s">
        <v>110</v>
      </c>
      <c r="AC477" s="96" t="s">
        <v>150</v>
      </c>
      <c r="AD477" s="96" t="s">
        <v>151</v>
      </c>
      <c r="AE477" s="96" t="s">
        <v>152</v>
      </c>
      <c r="AF477" s="96" t="s">
        <v>153</v>
      </c>
      <c r="AG477" s="96" t="s">
        <v>110</v>
      </c>
      <c r="AH477" s="96">
        <v>662</v>
      </c>
      <c r="AI477" s="96" t="s">
        <v>154</v>
      </c>
      <c r="AJ477" s="96" t="s">
        <v>155</v>
      </c>
      <c r="AK477" s="27" t="s">
        <v>110</v>
      </c>
    </row>
    <row r="478" spans="1:37">
      <c r="A478" s="70">
        <v>473</v>
      </c>
      <c r="B478" s="70">
        <f t="shared" si="21"/>
        <v>0</v>
      </c>
      <c r="C478" s="71"/>
      <c r="D478" s="59" t="s">
        <v>1024</v>
      </c>
      <c r="E478" s="60">
        <v>13707</v>
      </c>
      <c r="F478" s="10" t="s">
        <v>402</v>
      </c>
      <c r="G478" s="60">
        <v>801</v>
      </c>
      <c r="H478" s="81">
        <v>430</v>
      </c>
      <c r="I478" s="86">
        <v>56</v>
      </c>
      <c r="J478" s="81">
        <v>430</v>
      </c>
      <c r="K478" s="86">
        <v>56</v>
      </c>
      <c r="L478" s="81">
        <v>239</v>
      </c>
      <c r="M478" s="86">
        <v>279</v>
      </c>
      <c r="N478" s="81">
        <v>61848</v>
      </c>
      <c r="O478" s="86">
        <v>23796</v>
      </c>
      <c r="P478" s="89">
        <f t="shared" si="22"/>
        <v>259</v>
      </c>
      <c r="Q478" s="89">
        <f t="shared" si="23"/>
        <v>42822</v>
      </c>
      <c r="R478" s="96" t="s">
        <v>94</v>
      </c>
      <c r="S478" s="96" t="s">
        <v>124</v>
      </c>
      <c r="T478" s="96" t="s">
        <v>94</v>
      </c>
      <c r="U478" s="96" t="s">
        <v>136</v>
      </c>
      <c r="V478" s="96" t="s">
        <v>94</v>
      </c>
      <c r="W478" s="96" t="s">
        <v>97</v>
      </c>
      <c r="X478" s="96" t="s">
        <v>98</v>
      </c>
      <c r="Y478" s="96" t="s">
        <v>110</v>
      </c>
      <c r="Z478" s="96" t="s">
        <v>110</v>
      </c>
      <c r="AA478" s="96" t="s">
        <v>403</v>
      </c>
      <c r="AB478" s="96" t="s">
        <v>404</v>
      </c>
      <c r="AC478" s="96" t="s">
        <v>405</v>
      </c>
      <c r="AD478" s="96" t="s">
        <v>406</v>
      </c>
      <c r="AE478" s="96" t="s">
        <v>407</v>
      </c>
      <c r="AF478" s="96" t="s">
        <v>408</v>
      </c>
      <c r="AG478" s="96" t="s">
        <v>110</v>
      </c>
      <c r="AH478" s="96">
        <v>2421</v>
      </c>
      <c r="AI478" s="96" t="s">
        <v>409</v>
      </c>
      <c r="AJ478" s="96" t="s">
        <v>410</v>
      </c>
      <c r="AK478" s="27" t="s">
        <v>110</v>
      </c>
    </row>
    <row r="479" spans="1:37">
      <c r="A479" s="70">
        <v>474</v>
      </c>
      <c r="B479" s="70">
        <f t="shared" si="21"/>
        <v>0</v>
      </c>
      <c r="C479" s="71"/>
      <c r="D479" s="59" t="s">
        <v>1024</v>
      </c>
      <c r="E479" s="60">
        <v>13919</v>
      </c>
      <c r="F479" s="10" t="s">
        <v>348</v>
      </c>
      <c r="G479" s="60">
        <v>806</v>
      </c>
      <c r="H479" s="81">
        <v>158</v>
      </c>
      <c r="I479" s="86">
        <v>114</v>
      </c>
      <c r="J479" s="81">
        <v>158</v>
      </c>
      <c r="K479" s="86">
        <v>114</v>
      </c>
      <c r="L479" s="81">
        <v>270</v>
      </c>
      <c r="M479" s="86">
        <v>235</v>
      </c>
      <c r="N479" s="81">
        <v>37606</v>
      </c>
      <c r="O479" s="86">
        <v>48060</v>
      </c>
      <c r="P479" s="89">
        <f t="shared" si="22"/>
        <v>252.5</v>
      </c>
      <c r="Q479" s="89">
        <f t="shared" si="23"/>
        <v>42833</v>
      </c>
      <c r="R479" s="96" t="s">
        <v>94</v>
      </c>
      <c r="S479" s="96" t="s">
        <v>124</v>
      </c>
      <c r="T479" s="96" t="s">
        <v>94</v>
      </c>
      <c r="U479" s="96" t="s">
        <v>136</v>
      </c>
      <c r="V479" s="96" t="s">
        <v>94</v>
      </c>
      <c r="W479" s="96" t="s">
        <v>97</v>
      </c>
      <c r="X479" s="96" t="s">
        <v>98</v>
      </c>
      <c r="Y479" s="96" t="s">
        <v>349</v>
      </c>
      <c r="Z479" s="96" t="s">
        <v>226</v>
      </c>
      <c r="AA479" s="96" t="s">
        <v>350</v>
      </c>
      <c r="AB479" s="96" t="s">
        <v>351</v>
      </c>
      <c r="AC479" s="96" t="s">
        <v>352</v>
      </c>
      <c r="AD479" s="96" t="s">
        <v>353</v>
      </c>
      <c r="AE479" s="96" t="s">
        <v>354</v>
      </c>
      <c r="AF479" s="96" t="s">
        <v>355</v>
      </c>
      <c r="AG479" s="96" t="s">
        <v>356</v>
      </c>
      <c r="AH479" s="96">
        <v>1626</v>
      </c>
      <c r="AI479" s="96" t="s">
        <v>357</v>
      </c>
      <c r="AJ479" s="96" t="s">
        <v>358</v>
      </c>
      <c r="AK479" s="27" t="s">
        <v>110</v>
      </c>
    </row>
    <row r="480" spans="1:37">
      <c r="A480" s="70">
        <v>475</v>
      </c>
      <c r="B480" s="70">
        <f t="shared" si="21"/>
        <v>0</v>
      </c>
      <c r="C480" s="71"/>
      <c r="D480" s="59" t="s">
        <v>1024</v>
      </c>
      <c r="E480" s="60">
        <v>14065</v>
      </c>
      <c r="F480" s="10" t="s">
        <v>310</v>
      </c>
      <c r="G480" s="60">
        <v>804</v>
      </c>
      <c r="H480" s="81">
        <v>170</v>
      </c>
      <c r="I480" s="86">
        <v>230</v>
      </c>
      <c r="J480" s="81">
        <v>170</v>
      </c>
      <c r="K480" s="86">
        <v>230</v>
      </c>
      <c r="L480" s="81">
        <v>266</v>
      </c>
      <c r="M480" s="86">
        <v>235</v>
      </c>
      <c r="N480" s="81">
        <v>40227</v>
      </c>
      <c r="O480" s="86">
        <v>48174</v>
      </c>
      <c r="P480" s="89">
        <f t="shared" si="22"/>
        <v>250.5</v>
      </c>
      <c r="Q480" s="89">
        <f t="shared" si="23"/>
        <v>44200.5</v>
      </c>
      <c r="R480" s="96" t="s">
        <v>94</v>
      </c>
      <c r="S480" s="96" t="s">
        <v>124</v>
      </c>
      <c r="T480" s="96" t="s">
        <v>94</v>
      </c>
      <c r="U480" s="96" t="s">
        <v>136</v>
      </c>
      <c r="V480" s="96" t="s">
        <v>94</v>
      </c>
      <c r="W480" s="96" t="s">
        <v>97</v>
      </c>
      <c r="X480" s="96" t="s">
        <v>98</v>
      </c>
      <c r="Y480" s="96" t="s">
        <v>225</v>
      </c>
      <c r="Z480" s="96" t="s">
        <v>148</v>
      </c>
      <c r="AA480" s="96" t="s">
        <v>311</v>
      </c>
      <c r="AB480" s="96" t="s">
        <v>312</v>
      </c>
      <c r="AC480" s="96" t="s">
        <v>313</v>
      </c>
      <c r="AD480" s="96" t="s">
        <v>314</v>
      </c>
      <c r="AE480" s="96" t="s">
        <v>315</v>
      </c>
      <c r="AF480" s="96" t="s">
        <v>316</v>
      </c>
      <c r="AG480" s="96" t="s">
        <v>110</v>
      </c>
      <c r="AH480" s="96">
        <v>2004</v>
      </c>
      <c r="AI480" s="96" t="s">
        <v>317</v>
      </c>
      <c r="AJ480" s="96" t="s">
        <v>318</v>
      </c>
      <c r="AK480" s="27" t="s">
        <v>110</v>
      </c>
    </row>
    <row r="481" spans="1:37">
      <c r="A481" s="70">
        <v>476</v>
      </c>
      <c r="B481" s="70">
        <f t="shared" si="21"/>
        <v>0</v>
      </c>
      <c r="C481" s="71"/>
      <c r="D481" s="59" t="s">
        <v>1024</v>
      </c>
      <c r="E481" s="60">
        <v>14509</v>
      </c>
      <c r="F481" s="10" t="s">
        <v>490</v>
      </c>
      <c r="G481" s="60">
        <v>806</v>
      </c>
      <c r="H481" s="81">
        <v>230</v>
      </c>
      <c r="I481" s="86" t="s">
        <v>110</v>
      </c>
      <c r="J481" s="81">
        <v>230</v>
      </c>
      <c r="K481" s="86" t="s">
        <v>110</v>
      </c>
      <c r="L481" s="81">
        <v>261</v>
      </c>
      <c r="M481" s="86" t="s">
        <v>110</v>
      </c>
      <c r="N481" s="81">
        <v>44551</v>
      </c>
      <c r="O481" s="86" t="s">
        <v>110</v>
      </c>
      <c r="P481" s="89">
        <f t="shared" si="22"/>
        <v>261</v>
      </c>
      <c r="Q481" s="89">
        <f t="shared" si="23"/>
        <v>44551</v>
      </c>
      <c r="R481" s="96" t="s">
        <v>94</v>
      </c>
      <c r="S481" s="96" t="s">
        <v>124</v>
      </c>
      <c r="T481" s="96" t="s">
        <v>94</v>
      </c>
      <c r="U481" s="96" t="s">
        <v>136</v>
      </c>
      <c r="V481" s="96" t="s">
        <v>94</v>
      </c>
      <c r="W481" s="96" t="s">
        <v>97</v>
      </c>
      <c r="X481" s="96" t="s">
        <v>98</v>
      </c>
      <c r="Y481" s="96" t="s">
        <v>110</v>
      </c>
      <c r="Z481" s="96" t="s">
        <v>148</v>
      </c>
      <c r="AA481" s="96" t="s">
        <v>491</v>
      </c>
      <c r="AB481" s="96" t="s">
        <v>110</v>
      </c>
      <c r="AC481" s="96" t="s">
        <v>492</v>
      </c>
      <c r="AD481" s="96" t="s">
        <v>493</v>
      </c>
      <c r="AE481" s="96" t="s">
        <v>494</v>
      </c>
      <c r="AF481" s="96" t="s">
        <v>495</v>
      </c>
      <c r="AG481" s="96" t="s">
        <v>110</v>
      </c>
      <c r="AH481" s="96">
        <v>1977</v>
      </c>
      <c r="AI481" s="96" t="s">
        <v>496</v>
      </c>
      <c r="AJ481" s="96" t="s">
        <v>497</v>
      </c>
      <c r="AK481" s="27" t="s">
        <v>110</v>
      </c>
    </row>
    <row r="482" spans="1:37">
      <c r="A482" s="70">
        <v>477</v>
      </c>
      <c r="B482" s="70">
        <f t="shared" si="21"/>
        <v>0</v>
      </c>
      <c r="C482" s="71"/>
      <c r="D482" s="59" t="s">
        <v>1024</v>
      </c>
      <c r="E482" s="60">
        <v>10861</v>
      </c>
      <c r="F482" s="10" t="s">
        <v>359</v>
      </c>
      <c r="G482" s="60">
        <v>801</v>
      </c>
      <c r="H482" s="81">
        <v>1232</v>
      </c>
      <c r="I482" s="86">
        <v>2596</v>
      </c>
      <c r="J482" s="81">
        <v>1232</v>
      </c>
      <c r="K482" s="86">
        <v>2596</v>
      </c>
      <c r="L482" s="81">
        <v>271</v>
      </c>
      <c r="M482" s="86">
        <v>229</v>
      </c>
      <c r="N482" s="81">
        <v>36794</v>
      </c>
      <c r="O482" s="86">
        <v>52310</v>
      </c>
      <c r="P482" s="89">
        <f t="shared" si="22"/>
        <v>250</v>
      </c>
      <c r="Q482" s="89">
        <f t="shared" si="23"/>
        <v>44552</v>
      </c>
      <c r="R482" s="96" t="s">
        <v>94</v>
      </c>
      <c r="S482" s="96" t="s">
        <v>124</v>
      </c>
      <c r="T482" s="96" t="s">
        <v>94</v>
      </c>
      <c r="U482" s="96" t="s">
        <v>136</v>
      </c>
      <c r="V482" s="96" t="s">
        <v>94</v>
      </c>
      <c r="W482" s="96" t="s">
        <v>97</v>
      </c>
      <c r="X482" s="96" t="s">
        <v>98</v>
      </c>
      <c r="Y482" s="96" t="s">
        <v>360</v>
      </c>
      <c r="Z482" s="96" t="s">
        <v>361</v>
      </c>
      <c r="AA482" s="96" t="s">
        <v>362</v>
      </c>
      <c r="AB482" s="96" t="s">
        <v>363</v>
      </c>
      <c r="AC482" s="96" t="s">
        <v>364</v>
      </c>
      <c r="AD482" s="96" t="s">
        <v>365</v>
      </c>
      <c r="AE482" s="96" t="s">
        <v>366</v>
      </c>
      <c r="AF482" s="96" t="s">
        <v>367</v>
      </c>
      <c r="AG482" s="96" t="s">
        <v>368</v>
      </c>
      <c r="AH482" s="96">
        <v>1765</v>
      </c>
      <c r="AI482" s="96" t="s">
        <v>369</v>
      </c>
      <c r="AJ482" s="96" t="s">
        <v>370</v>
      </c>
      <c r="AK482" s="27" t="s">
        <v>110</v>
      </c>
    </row>
    <row r="483" spans="1:37">
      <c r="A483" s="70">
        <v>478</v>
      </c>
      <c r="B483" s="70">
        <f t="shared" si="21"/>
        <v>0</v>
      </c>
      <c r="C483" s="71"/>
      <c r="D483" s="59" t="s">
        <v>1024</v>
      </c>
      <c r="E483" s="60">
        <v>13709</v>
      </c>
      <c r="F483" s="10" t="s">
        <v>429</v>
      </c>
      <c r="G483" s="60">
        <v>802</v>
      </c>
      <c r="H483" s="81">
        <v>466</v>
      </c>
      <c r="I483" s="86">
        <v>428</v>
      </c>
      <c r="J483" s="81">
        <v>466</v>
      </c>
      <c r="K483" s="86">
        <v>428</v>
      </c>
      <c r="L483" s="81">
        <v>264</v>
      </c>
      <c r="M483" s="86">
        <v>236</v>
      </c>
      <c r="N483" s="81">
        <v>42033</v>
      </c>
      <c r="O483" s="86">
        <v>47501</v>
      </c>
      <c r="P483" s="89">
        <f t="shared" si="22"/>
        <v>250</v>
      </c>
      <c r="Q483" s="89">
        <f t="shared" si="23"/>
        <v>44767</v>
      </c>
      <c r="R483" s="96" t="s">
        <v>94</v>
      </c>
      <c r="S483" s="96" t="s">
        <v>124</v>
      </c>
      <c r="T483" s="96" t="s">
        <v>94</v>
      </c>
      <c r="U483" s="96" t="s">
        <v>136</v>
      </c>
      <c r="V483" s="96" t="s">
        <v>94</v>
      </c>
      <c r="W483" s="96" t="s">
        <v>97</v>
      </c>
      <c r="X483" s="96" t="s">
        <v>98</v>
      </c>
      <c r="Y483" s="96" t="s">
        <v>225</v>
      </c>
      <c r="Z483" s="96" t="s">
        <v>148</v>
      </c>
      <c r="AA483" s="96" t="s">
        <v>430</v>
      </c>
      <c r="AB483" s="96" t="s">
        <v>431</v>
      </c>
      <c r="AC483" s="96" t="s">
        <v>432</v>
      </c>
      <c r="AD483" s="96" t="s">
        <v>433</v>
      </c>
      <c r="AE483" s="96" t="s">
        <v>434</v>
      </c>
      <c r="AF483" s="96" t="s">
        <v>435</v>
      </c>
      <c r="AG483" s="96" t="s">
        <v>110</v>
      </c>
      <c r="AH483" s="96">
        <v>2369</v>
      </c>
      <c r="AI483" s="96" t="s">
        <v>436</v>
      </c>
      <c r="AJ483" s="96" t="s">
        <v>437</v>
      </c>
      <c r="AK483" s="27" t="s">
        <v>110</v>
      </c>
    </row>
    <row r="484" spans="1:37">
      <c r="A484" s="70">
        <v>479</v>
      </c>
      <c r="B484" s="70">
        <f t="shared" si="21"/>
        <v>0</v>
      </c>
      <c r="C484" s="71"/>
      <c r="D484" s="59" t="s">
        <v>1024</v>
      </c>
      <c r="E484" s="60">
        <v>14065</v>
      </c>
      <c r="F484" s="10" t="s">
        <v>310</v>
      </c>
      <c r="G484" s="60">
        <v>805</v>
      </c>
      <c r="H484" s="81">
        <v>210</v>
      </c>
      <c r="I484" s="86">
        <v>310</v>
      </c>
      <c r="J484" s="81">
        <v>210</v>
      </c>
      <c r="K484" s="86">
        <v>310</v>
      </c>
      <c r="L484" s="81">
        <v>266</v>
      </c>
      <c r="M484" s="86">
        <v>234</v>
      </c>
      <c r="N484" s="81">
        <v>40476</v>
      </c>
      <c r="O484" s="86">
        <v>49238</v>
      </c>
      <c r="P484" s="89">
        <f t="shared" si="22"/>
        <v>250</v>
      </c>
      <c r="Q484" s="89">
        <f t="shared" si="23"/>
        <v>44857</v>
      </c>
      <c r="R484" s="96" t="s">
        <v>94</v>
      </c>
      <c r="S484" s="96" t="s">
        <v>124</v>
      </c>
      <c r="T484" s="96" t="s">
        <v>94</v>
      </c>
      <c r="U484" s="96" t="s">
        <v>136</v>
      </c>
      <c r="V484" s="96" t="s">
        <v>94</v>
      </c>
      <c r="W484" s="96" t="s">
        <v>97</v>
      </c>
      <c r="X484" s="96" t="s">
        <v>98</v>
      </c>
      <c r="Y484" s="96" t="s">
        <v>225</v>
      </c>
      <c r="Z484" s="96" t="s">
        <v>148</v>
      </c>
      <c r="AA484" s="96" t="s">
        <v>311</v>
      </c>
      <c r="AB484" s="96" t="s">
        <v>312</v>
      </c>
      <c r="AC484" s="96" t="s">
        <v>313</v>
      </c>
      <c r="AD484" s="96" t="s">
        <v>314</v>
      </c>
      <c r="AE484" s="96" t="s">
        <v>315</v>
      </c>
      <c r="AF484" s="96" t="s">
        <v>316</v>
      </c>
      <c r="AG484" s="96" t="s">
        <v>110</v>
      </c>
      <c r="AH484" s="96">
        <v>2004</v>
      </c>
      <c r="AI484" s="96" t="s">
        <v>317</v>
      </c>
      <c r="AJ484" s="96" t="s">
        <v>318</v>
      </c>
      <c r="AK484" s="27" t="s">
        <v>110</v>
      </c>
    </row>
    <row r="485" spans="1:37">
      <c r="A485" s="70">
        <v>480</v>
      </c>
      <c r="B485" s="70">
        <f t="shared" si="21"/>
        <v>0</v>
      </c>
      <c r="C485" s="71"/>
      <c r="D485" s="59" t="s">
        <v>1024</v>
      </c>
      <c r="E485" s="60">
        <v>12958</v>
      </c>
      <c r="F485" s="10" t="s">
        <v>498</v>
      </c>
      <c r="G485" s="60">
        <v>805</v>
      </c>
      <c r="H485" s="81">
        <v>255</v>
      </c>
      <c r="I485" s="86">
        <v>205</v>
      </c>
      <c r="J485" s="81">
        <v>255</v>
      </c>
      <c r="K485" s="86">
        <v>205</v>
      </c>
      <c r="L485" s="81">
        <v>262</v>
      </c>
      <c r="M485" s="86">
        <v>238</v>
      </c>
      <c r="N485" s="81">
        <v>43409</v>
      </c>
      <c r="O485" s="86">
        <v>46377</v>
      </c>
      <c r="P485" s="89">
        <f t="shared" si="22"/>
        <v>250</v>
      </c>
      <c r="Q485" s="89">
        <f t="shared" si="23"/>
        <v>44893</v>
      </c>
      <c r="R485" s="96" t="s">
        <v>94</v>
      </c>
      <c r="S485" s="96" t="s">
        <v>499</v>
      </c>
      <c r="T485" s="96" t="s">
        <v>94</v>
      </c>
      <c r="U485" s="96" t="s">
        <v>136</v>
      </c>
      <c r="V485" s="96" t="s">
        <v>94</v>
      </c>
      <c r="W485" s="96" t="s">
        <v>97</v>
      </c>
      <c r="X485" s="96" t="s">
        <v>500</v>
      </c>
      <c r="Y485" s="96" t="s">
        <v>225</v>
      </c>
      <c r="Z485" s="96" t="s">
        <v>226</v>
      </c>
      <c r="AA485" s="96" t="s">
        <v>501</v>
      </c>
      <c r="AB485" s="96" t="s">
        <v>502</v>
      </c>
      <c r="AC485" s="96" t="s">
        <v>503</v>
      </c>
      <c r="AD485" s="96" t="s">
        <v>504</v>
      </c>
      <c r="AE485" s="96" t="s">
        <v>505</v>
      </c>
      <c r="AF485" s="96" t="s">
        <v>506</v>
      </c>
      <c r="AG485" s="96" t="s">
        <v>507</v>
      </c>
      <c r="AH485" s="96">
        <v>1527</v>
      </c>
      <c r="AI485" s="96" t="s">
        <v>508</v>
      </c>
      <c r="AJ485" s="96" t="s">
        <v>509</v>
      </c>
      <c r="AK485" s="27" t="s">
        <v>110</v>
      </c>
    </row>
    <row r="486" spans="1:37">
      <c r="A486" s="70">
        <v>481</v>
      </c>
      <c r="B486" s="70">
        <f t="shared" si="21"/>
        <v>0</v>
      </c>
      <c r="C486" s="71"/>
      <c r="D486" s="59" t="s">
        <v>1024</v>
      </c>
      <c r="E486" s="60">
        <v>12960</v>
      </c>
      <c r="F486" s="10" t="s">
        <v>381</v>
      </c>
      <c r="G486" s="60">
        <v>801</v>
      </c>
      <c r="H486" s="81">
        <v>49</v>
      </c>
      <c r="I486" s="86">
        <v>170</v>
      </c>
      <c r="J486" s="81">
        <v>49</v>
      </c>
      <c r="K486" s="86">
        <v>170</v>
      </c>
      <c r="L486" s="81">
        <v>272</v>
      </c>
      <c r="M486" s="86">
        <v>228</v>
      </c>
      <c r="N486" s="81">
        <v>36499</v>
      </c>
      <c r="O486" s="86">
        <v>53383</v>
      </c>
      <c r="P486" s="89">
        <f t="shared" si="22"/>
        <v>250</v>
      </c>
      <c r="Q486" s="89">
        <f t="shared" si="23"/>
        <v>44941</v>
      </c>
      <c r="R486" s="96" t="s">
        <v>94</v>
      </c>
      <c r="S486" s="96" t="s">
        <v>124</v>
      </c>
      <c r="T486" s="96" t="s">
        <v>94</v>
      </c>
      <c r="U486" s="96" t="s">
        <v>136</v>
      </c>
      <c r="V486" s="96" t="s">
        <v>94</v>
      </c>
      <c r="W486" s="96" t="s">
        <v>97</v>
      </c>
      <c r="X486" s="96" t="s">
        <v>98</v>
      </c>
      <c r="Y486" s="96" t="s">
        <v>382</v>
      </c>
      <c r="Z486" s="96" t="s">
        <v>110</v>
      </c>
      <c r="AA486" s="96" t="s">
        <v>383</v>
      </c>
      <c r="AB486" s="96" t="s">
        <v>384</v>
      </c>
      <c r="AC486" s="96" t="s">
        <v>385</v>
      </c>
      <c r="AD486" s="96" t="s">
        <v>386</v>
      </c>
      <c r="AE486" s="96" t="s">
        <v>387</v>
      </c>
      <c r="AF486" s="96" t="s">
        <v>388</v>
      </c>
      <c r="AG486" s="96" t="s">
        <v>110</v>
      </c>
      <c r="AH486" s="96">
        <v>1993</v>
      </c>
      <c r="AI486" s="96" t="s">
        <v>389</v>
      </c>
      <c r="AJ486" s="96" t="s">
        <v>390</v>
      </c>
      <c r="AK486" s="27" t="s">
        <v>110</v>
      </c>
    </row>
    <row r="487" spans="1:37">
      <c r="A487" s="70">
        <v>482</v>
      </c>
      <c r="B487" s="70">
        <f t="shared" si="21"/>
        <v>0</v>
      </c>
      <c r="C487" s="71"/>
      <c r="D487" s="59" t="s">
        <v>1024</v>
      </c>
      <c r="E487" s="60">
        <v>11114</v>
      </c>
      <c r="F487" s="10" t="s">
        <v>618</v>
      </c>
      <c r="G487" s="60">
        <v>801</v>
      </c>
      <c r="H487" s="81">
        <v>1000</v>
      </c>
      <c r="I487" s="86">
        <v>719</v>
      </c>
      <c r="J487" s="81">
        <v>1000</v>
      </c>
      <c r="K487" s="86">
        <v>719</v>
      </c>
      <c r="L487" s="81">
        <v>258</v>
      </c>
      <c r="M487" s="86">
        <v>241</v>
      </c>
      <c r="N487" s="81">
        <v>46270</v>
      </c>
      <c r="O487" s="86">
        <v>44253</v>
      </c>
      <c r="P487" s="89">
        <f t="shared" si="22"/>
        <v>249.5</v>
      </c>
      <c r="Q487" s="89">
        <f t="shared" si="23"/>
        <v>45261.5</v>
      </c>
      <c r="R487" s="96" t="s">
        <v>94</v>
      </c>
      <c r="S487" s="96" t="s">
        <v>124</v>
      </c>
      <c r="T487" s="96" t="s">
        <v>94</v>
      </c>
      <c r="U487" s="96" t="s">
        <v>136</v>
      </c>
      <c r="V487" s="96" t="s">
        <v>94</v>
      </c>
      <c r="W487" s="96" t="s">
        <v>97</v>
      </c>
      <c r="X487" s="96" t="s">
        <v>98</v>
      </c>
      <c r="Y487" s="96" t="s">
        <v>382</v>
      </c>
      <c r="Z487" s="96" t="s">
        <v>110</v>
      </c>
      <c r="AA487" s="96" t="s">
        <v>619</v>
      </c>
      <c r="AB487" s="96" t="s">
        <v>110</v>
      </c>
      <c r="AC487" s="96" t="s">
        <v>620</v>
      </c>
      <c r="AD487" s="96" t="s">
        <v>621</v>
      </c>
      <c r="AE487" s="96" t="s">
        <v>622</v>
      </c>
      <c r="AF487" s="96" t="s">
        <v>623</v>
      </c>
      <c r="AG487" s="96" t="s">
        <v>110</v>
      </c>
      <c r="AH487" s="96">
        <v>1978</v>
      </c>
      <c r="AI487" s="96" t="s">
        <v>624</v>
      </c>
      <c r="AJ487" s="96" t="s">
        <v>625</v>
      </c>
      <c r="AK487" s="27" t="s">
        <v>110</v>
      </c>
    </row>
    <row r="488" spans="1:37">
      <c r="A488" s="70">
        <v>483</v>
      </c>
      <c r="B488" s="70">
        <f t="shared" si="21"/>
        <v>0</v>
      </c>
      <c r="C488" s="71"/>
      <c r="D488" s="59" t="s">
        <v>1024</v>
      </c>
      <c r="E488" s="60">
        <v>14065</v>
      </c>
      <c r="F488" s="10" t="s">
        <v>310</v>
      </c>
      <c r="G488" s="60">
        <v>808</v>
      </c>
      <c r="H488" s="81">
        <v>47</v>
      </c>
      <c r="I488" s="86">
        <v>45</v>
      </c>
      <c r="J488" s="81">
        <v>47</v>
      </c>
      <c r="K488" s="86">
        <v>45</v>
      </c>
      <c r="L488" s="81">
        <v>263</v>
      </c>
      <c r="M488" s="86">
        <v>233</v>
      </c>
      <c r="N488" s="81">
        <v>42959</v>
      </c>
      <c r="O488" s="86">
        <v>49627</v>
      </c>
      <c r="P488" s="89">
        <f t="shared" si="22"/>
        <v>248</v>
      </c>
      <c r="Q488" s="89">
        <f t="shared" si="23"/>
        <v>46293</v>
      </c>
      <c r="R488" s="96" t="s">
        <v>94</v>
      </c>
      <c r="S488" s="96" t="s">
        <v>124</v>
      </c>
      <c r="T488" s="96" t="s">
        <v>94</v>
      </c>
      <c r="U488" s="96" t="s">
        <v>136</v>
      </c>
      <c r="V488" s="96" t="s">
        <v>94</v>
      </c>
      <c r="W488" s="96" t="s">
        <v>97</v>
      </c>
      <c r="X488" s="96" t="s">
        <v>98</v>
      </c>
      <c r="Y488" s="96" t="s">
        <v>225</v>
      </c>
      <c r="Z488" s="96" t="s">
        <v>148</v>
      </c>
      <c r="AA488" s="96" t="s">
        <v>311</v>
      </c>
      <c r="AB488" s="96" t="s">
        <v>312</v>
      </c>
      <c r="AC488" s="96" t="s">
        <v>313</v>
      </c>
      <c r="AD488" s="96" t="s">
        <v>314</v>
      </c>
      <c r="AE488" s="96" t="s">
        <v>315</v>
      </c>
      <c r="AF488" s="96" t="s">
        <v>316</v>
      </c>
      <c r="AG488" s="96" t="s">
        <v>110</v>
      </c>
      <c r="AH488" s="96">
        <v>2004</v>
      </c>
      <c r="AI488" s="96" t="s">
        <v>317</v>
      </c>
      <c r="AJ488" s="96" t="s">
        <v>318</v>
      </c>
      <c r="AK488" s="27" t="s">
        <v>110</v>
      </c>
    </row>
    <row r="489" spans="1:37">
      <c r="A489" s="70">
        <v>484</v>
      </c>
      <c r="B489" s="70">
        <f t="shared" si="21"/>
        <v>0</v>
      </c>
      <c r="C489" s="71"/>
      <c r="D489" s="59" t="s">
        <v>1024</v>
      </c>
      <c r="E489" s="60">
        <v>14587</v>
      </c>
      <c r="F489" s="10" t="s">
        <v>757</v>
      </c>
      <c r="G489" s="60">
        <v>805</v>
      </c>
      <c r="H489" s="81">
        <v>82</v>
      </c>
      <c r="I489" s="86">
        <v>54</v>
      </c>
      <c r="J489" s="81">
        <v>82</v>
      </c>
      <c r="K489" s="86">
        <v>54</v>
      </c>
      <c r="L489" s="81">
        <v>249</v>
      </c>
      <c r="M489" s="86">
        <v>248</v>
      </c>
      <c r="N489" s="81">
        <v>54023</v>
      </c>
      <c r="O489" s="86">
        <v>39491</v>
      </c>
      <c r="P489" s="89">
        <f t="shared" si="22"/>
        <v>248.5</v>
      </c>
      <c r="Q489" s="89">
        <f t="shared" si="23"/>
        <v>46757</v>
      </c>
      <c r="R489" s="96" t="s">
        <v>94</v>
      </c>
      <c r="S489" s="96" t="s">
        <v>320</v>
      </c>
      <c r="T489" s="96" t="s">
        <v>94</v>
      </c>
      <c r="U489" s="96" t="s">
        <v>136</v>
      </c>
      <c r="V489" s="96" t="s">
        <v>94</v>
      </c>
      <c r="W489" s="96" t="s">
        <v>97</v>
      </c>
      <c r="X489" s="96" t="s">
        <v>147</v>
      </c>
      <c r="Y489" s="96" t="s">
        <v>110</v>
      </c>
      <c r="Z489" s="96" t="s">
        <v>110</v>
      </c>
      <c r="AA489" s="96" t="s">
        <v>758</v>
      </c>
      <c r="AB489" s="96" t="s">
        <v>110</v>
      </c>
      <c r="AC489" s="96" t="s">
        <v>759</v>
      </c>
      <c r="AD489" s="96" t="s">
        <v>760</v>
      </c>
      <c r="AE489" s="96">
        <v>6686618889</v>
      </c>
      <c r="AF489" s="96" t="s">
        <v>761</v>
      </c>
      <c r="AG489" s="96" t="s">
        <v>762</v>
      </c>
      <c r="AH489" s="96">
        <v>2631</v>
      </c>
      <c r="AI489" s="96" t="s">
        <v>763</v>
      </c>
      <c r="AJ489" s="96" t="s">
        <v>764</v>
      </c>
      <c r="AK489" s="27" t="s">
        <v>110</v>
      </c>
    </row>
    <row r="490" spans="1:37">
      <c r="A490" s="70">
        <v>485</v>
      </c>
      <c r="B490" s="70">
        <f t="shared" si="21"/>
        <v>0</v>
      </c>
      <c r="C490" s="71"/>
      <c r="D490" s="59" t="s">
        <v>1024</v>
      </c>
      <c r="E490" s="60">
        <v>13930</v>
      </c>
      <c r="F490" s="10" t="s">
        <v>525</v>
      </c>
      <c r="G490" s="60">
        <v>803</v>
      </c>
      <c r="H490" s="81">
        <v>451</v>
      </c>
      <c r="I490" s="86">
        <v>280</v>
      </c>
      <c r="J490" s="81">
        <v>451</v>
      </c>
      <c r="K490" s="86">
        <v>280</v>
      </c>
      <c r="L490" s="81">
        <v>254</v>
      </c>
      <c r="M490" s="86">
        <v>242</v>
      </c>
      <c r="N490" s="81">
        <v>50022</v>
      </c>
      <c r="O490" s="86">
        <v>43689</v>
      </c>
      <c r="P490" s="89">
        <f t="shared" si="22"/>
        <v>248</v>
      </c>
      <c r="Q490" s="89">
        <f t="shared" si="23"/>
        <v>46855.5</v>
      </c>
      <c r="R490" s="96" t="s">
        <v>94</v>
      </c>
      <c r="S490" s="96" t="s">
        <v>124</v>
      </c>
      <c r="T490" s="96" t="s">
        <v>94</v>
      </c>
      <c r="U490" s="96" t="s">
        <v>136</v>
      </c>
      <c r="V490" s="96" t="s">
        <v>94</v>
      </c>
      <c r="W490" s="96" t="s">
        <v>97</v>
      </c>
      <c r="X490" s="96" t="s">
        <v>98</v>
      </c>
      <c r="Y490" s="96" t="s">
        <v>349</v>
      </c>
      <c r="Z490" s="96" t="s">
        <v>226</v>
      </c>
      <c r="AA490" s="96" t="s">
        <v>526</v>
      </c>
      <c r="AB490" s="96" t="s">
        <v>527</v>
      </c>
      <c r="AC490" s="96" t="s">
        <v>528</v>
      </c>
      <c r="AD490" s="96" t="s">
        <v>529</v>
      </c>
      <c r="AE490" s="96" t="s">
        <v>530</v>
      </c>
      <c r="AF490" s="96" t="s">
        <v>531</v>
      </c>
      <c r="AG490" s="96" t="s">
        <v>110</v>
      </c>
      <c r="AH490" s="96">
        <v>1998</v>
      </c>
      <c r="AI490" s="96" t="s">
        <v>532</v>
      </c>
      <c r="AJ490" s="96" t="s">
        <v>533</v>
      </c>
      <c r="AK490" s="27" t="s">
        <v>110</v>
      </c>
    </row>
    <row r="491" spans="1:37">
      <c r="A491" s="70">
        <v>486</v>
      </c>
      <c r="B491" s="70">
        <f t="shared" si="21"/>
        <v>0</v>
      </c>
      <c r="C491" s="71"/>
      <c r="D491" s="59" t="s">
        <v>1024</v>
      </c>
      <c r="E491" s="60">
        <v>12577</v>
      </c>
      <c r="F491" s="10" t="s">
        <v>391</v>
      </c>
      <c r="G491" s="60">
        <v>801</v>
      </c>
      <c r="H491" s="81">
        <v>1930</v>
      </c>
      <c r="I491" s="86">
        <v>820</v>
      </c>
      <c r="J491" s="81">
        <v>1930</v>
      </c>
      <c r="K491" s="86">
        <v>820</v>
      </c>
      <c r="L491" s="81">
        <v>251</v>
      </c>
      <c r="M491" s="86">
        <v>245</v>
      </c>
      <c r="N491" s="81">
        <v>52204</v>
      </c>
      <c r="O491" s="86">
        <v>41610</v>
      </c>
      <c r="P491" s="89">
        <f t="shared" si="22"/>
        <v>248</v>
      </c>
      <c r="Q491" s="89">
        <f t="shared" si="23"/>
        <v>46907</v>
      </c>
      <c r="R491" s="96" t="s">
        <v>94</v>
      </c>
      <c r="S491" s="96" t="s">
        <v>124</v>
      </c>
      <c r="T491" s="96" t="s">
        <v>94</v>
      </c>
      <c r="U491" s="96" t="s">
        <v>136</v>
      </c>
      <c r="V491" s="96" t="s">
        <v>94</v>
      </c>
      <c r="W491" s="96" t="s">
        <v>97</v>
      </c>
      <c r="X491" s="96" t="s">
        <v>98</v>
      </c>
      <c r="Y491" s="96" t="s">
        <v>382</v>
      </c>
      <c r="Z491" s="96" t="s">
        <v>392</v>
      </c>
      <c r="AA491" s="96" t="s">
        <v>393</v>
      </c>
      <c r="AB491" s="96" t="s">
        <v>394</v>
      </c>
      <c r="AC491" s="96" t="s">
        <v>395</v>
      </c>
      <c r="AD491" s="96" t="s">
        <v>396</v>
      </c>
      <c r="AE491" s="96" t="s">
        <v>397</v>
      </c>
      <c r="AF491" s="96" t="s">
        <v>398</v>
      </c>
      <c r="AG491" s="96" t="s">
        <v>399</v>
      </c>
      <c r="AH491" s="96">
        <v>1873</v>
      </c>
      <c r="AI491" s="96" t="s">
        <v>400</v>
      </c>
      <c r="AJ491" s="96" t="s">
        <v>401</v>
      </c>
      <c r="AK491" s="27" t="s">
        <v>110</v>
      </c>
    </row>
    <row r="492" spans="1:37">
      <c r="A492" s="70">
        <v>487</v>
      </c>
      <c r="B492" s="70">
        <f t="shared" si="21"/>
        <v>0</v>
      </c>
      <c r="C492" s="71"/>
      <c r="D492" s="59" t="s">
        <v>1024</v>
      </c>
      <c r="E492" s="60">
        <v>13707</v>
      </c>
      <c r="F492" s="10" t="s">
        <v>402</v>
      </c>
      <c r="G492" s="60">
        <v>808</v>
      </c>
      <c r="H492" s="81">
        <v>181</v>
      </c>
      <c r="I492" s="86">
        <v>153</v>
      </c>
      <c r="J492" s="81">
        <v>181</v>
      </c>
      <c r="K492" s="86">
        <v>153</v>
      </c>
      <c r="L492" s="81">
        <v>256</v>
      </c>
      <c r="M492" s="86">
        <v>239</v>
      </c>
      <c r="N492" s="81">
        <v>48264</v>
      </c>
      <c r="O492" s="86">
        <v>45564</v>
      </c>
      <c r="P492" s="89">
        <f t="shared" si="22"/>
        <v>247.5</v>
      </c>
      <c r="Q492" s="89">
        <f t="shared" si="23"/>
        <v>46914</v>
      </c>
      <c r="R492" s="96" t="s">
        <v>94</v>
      </c>
      <c r="S492" s="96" t="s">
        <v>124</v>
      </c>
      <c r="T492" s="96" t="s">
        <v>94</v>
      </c>
      <c r="U492" s="96" t="s">
        <v>136</v>
      </c>
      <c r="V492" s="96" t="s">
        <v>94</v>
      </c>
      <c r="W492" s="96" t="s">
        <v>97</v>
      </c>
      <c r="X492" s="96" t="s">
        <v>98</v>
      </c>
      <c r="Y492" s="96" t="s">
        <v>110</v>
      </c>
      <c r="Z492" s="96" t="s">
        <v>110</v>
      </c>
      <c r="AA492" s="96" t="s">
        <v>403</v>
      </c>
      <c r="AB492" s="96" t="s">
        <v>404</v>
      </c>
      <c r="AC492" s="96" t="s">
        <v>405</v>
      </c>
      <c r="AD492" s="96" t="s">
        <v>406</v>
      </c>
      <c r="AE492" s="96" t="s">
        <v>407</v>
      </c>
      <c r="AF492" s="96" t="s">
        <v>408</v>
      </c>
      <c r="AG492" s="96" t="s">
        <v>110</v>
      </c>
      <c r="AH492" s="96">
        <v>2421</v>
      </c>
      <c r="AI492" s="96" t="s">
        <v>409</v>
      </c>
      <c r="AJ492" s="96" t="s">
        <v>410</v>
      </c>
      <c r="AK492" s="27" t="s">
        <v>110</v>
      </c>
    </row>
    <row r="493" spans="1:37">
      <c r="A493" s="70">
        <v>488</v>
      </c>
      <c r="B493" s="70">
        <f t="shared" si="21"/>
        <v>0</v>
      </c>
      <c r="C493" s="71"/>
      <c r="D493" s="59" t="s">
        <v>1024</v>
      </c>
      <c r="E493" s="60">
        <v>12736</v>
      </c>
      <c r="F493" s="10" t="s">
        <v>572</v>
      </c>
      <c r="G493" s="60">
        <v>801</v>
      </c>
      <c r="H493" s="81">
        <v>1490</v>
      </c>
      <c r="I493" s="86">
        <v>1495</v>
      </c>
      <c r="J493" s="81">
        <v>1490</v>
      </c>
      <c r="K493" s="86">
        <v>1495</v>
      </c>
      <c r="L493" s="81">
        <v>255</v>
      </c>
      <c r="M493" s="86">
        <v>236</v>
      </c>
      <c r="N493" s="81">
        <v>48898</v>
      </c>
      <c r="O493" s="86">
        <v>47341</v>
      </c>
      <c r="P493" s="89">
        <f t="shared" si="22"/>
        <v>245.5</v>
      </c>
      <c r="Q493" s="89">
        <f t="shared" si="23"/>
        <v>48119.5</v>
      </c>
      <c r="R493" s="96" t="s">
        <v>94</v>
      </c>
      <c r="S493" s="96" t="s">
        <v>168</v>
      </c>
      <c r="T493" s="96" t="s">
        <v>94</v>
      </c>
      <c r="U493" s="96" t="s">
        <v>136</v>
      </c>
      <c r="V493" s="96" t="s">
        <v>94</v>
      </c>
      <c r="W493" s="96" t="s">
        <v>97</v>
      </c>
      <c r="X493" s="96" t="s">
        <v>169</v>
      </c>
      <c r="Y493" s="96" t="s">
        <v>573</v>
      </c>
      <c r="Z493" s="96" t="s">
        <v>110</v>
      </c>
      <c r="AA493" s="96" t="s">
        <v>574</v>
      </c>
      <c r="AB493" s="96" t="s">
        <v>110</v>
      </c>
      <c r="AC493" s="96" t="s">
        <v>575</v>
      </c>
      <c r="AD493" s="96" t="s">
        <v>576</v>
      </c>
      <c r="AE493" s="96" t="s">
        <v>577</v>
      </c>
      <c r="AF493" s="96" t="s">
        <v>578</v>
      </c>
      <c r="AG493" s="96" t="s">
        <v>110</v>
      </c>
      <c r="AH493" s="96">
        <v>1654</v>
      </c>
      <c r="AI493" s="96" t="s">
        <v>579</v>
      </c>
      <c r="AJ493" s="96" t="s">
        <v>580</v>
      </c>
      <c r="AK493" s="27" t="s">
        <v>110</v>
      </c>
    </row>
    <row r="494" spans="1:37">
      <c r="A494" s="70">
        <v>489</v>
      </c>
      <c r="B494" s="70">
        <f t="shared" si="21"/>
        <v>0</v>
      </c>
      <c r="C494" s="71"/>
      <c r="D494" s="59" t="s">
        <v>1024</v>
      </c>
      <c r="E494" s="60">
        <v>10833</v>
      </c>
      <c r="F494" s="10" t="s">
        <v>123</v>
      </c>
      <c r="G494" s="60">
        <v>803</v>
      </c>
      <c r="H494" s="81">
        <v>35</v>
      </c>
      <c r="I494" s="86">
        <v>360</v>
      </c>
      <c r="J494" s="81">
        <v>35</v>
      </c>
      <c r="K494" s="86">
        <v>360</v>
      </c>
      <c r="L494" s="81">
        <v>208</v>
      </c>
      <c r="M494" s="86">
        <v>337</v>
      </c>
      <c r="N494" s="81">
        <v>89713</v>
      </c>
      <c r="O494" s="86">
        <v>6592</v>
      </c>
      <c r="P494" s="89">
        <f t="shared" si="22"/>
        <v>272.5</v>
      </c>
      <c r="Q494" s="89">
        <f t="shared" si="23"/>
        <v>48152.5</v>
      </c>
      <c r="R494" s="96" t="s">
        <v>94</v>
      </c>
      <c r="S494" s="96" t="s">
        <v>124</v>
      </c>
      <c r="T494" s="96" t="s">
        <v>94</v>
      </c>
      <c r="U494" s="96" t="s">
        <v>96</v>
      </c>
      <c r="V494" s="96" t="s">
        <v>94</v>
      </c>
      <c r="W494" s="96" t="s">
        <v>97</v>
      </c>
      <c r="X494" s="96" t="s">
        <v>98</v>
      </c>
      <c r="Y494" s="96" t="s">
        <v>125</v>
      </c>
      <c r="Z494" s="96" t="s">
        <v>126</v>
      </c>
      <c r="AA494" s="96" t="s">
        <v>127</v>
      </c>
      <c r="AB494" s="96" t="s">
        <v>128</v>
      </c>
      <c r="AC494" s="96" t="s">
        <v>129</v>
      </c>
      <c r="AD494" s="96" t="s">
        <v>130</v>
      </c>
      <c r="AE494" s="96" t="s">
        <v>131</v>
      </c>
      <c r="AF494" s="96" t="s">
        <v>132</v>
      </c>
      <c r="AG494" s="96" t="s">
        <v>110</v>
      </c>
      <c r="AH494" s="96">
        <v>369</v>
      </c>
      <c r="AI494" s="96" t="s">
        <v>133</v>
      </c>
      <c r="AJ494" s="96" t="s">
        <v>134</v>
      </c>
      <c r="AK494" s="27" t="s">
        <v>110</v>
      </c>
    </row>
    <row r="495" spans="1:37">
      <c r="A495" s="70">
        <v>490</v>
      </c>
      <c r="B495" s="70">
        <f t="shared" si="21"/>
        <v>0</v>
      </c>
      <c r="C495" s="71"/>
      <c r="D495" s="59" t="s">
        <v>1024</v>
      </c>
      <c r="E495" s="60">
        <v>14592</v>
      </c>
      <c r="F495" s="10" t="s">
        <v>246</v>
      </c>
      <c r="G495" s="60">
        <v>802</v>
      </c>
      <c r="H495" s="81">
        <v>128</v>
      </c>
      <c r="I495" s="86">
        <v>301</v>
      </c>
      <c r="J495" s="81">
        <v>128</v>
      </c>
      <c r="K495" s="86">
        <v>301</v>
      </c>
      <c r="L495" s="81">
        <v>233</v>
      </c>
      <c r="M495" s="86">
        <v>266</v>
      </c>
      <c r="N495" s="81">
        <v>67583</v>
      </c>
      <c r="O495" s="86">
        <v>29858</v>
      </c>
      <c r="P495" s="89">
        <f t="shared" si="22"/>
        <v>249.5</v>
      </c>
      <c r="Q495" s="89">
        <f t="shared" si="23"/>
        <v>48720.5</v>
      </c>
      <c r="R495" s="96" t="s">
        <v>94</v>
      </c>
      <c r="S495" s="96" t="s">
        <v>124</v>
      </c>
      <c r="T495" s="96" t="s">
        <v>94</v>
      </c>
      <c r="U495" s="96" t="s">
        <v>136</v>
      </c>
      <c r="V495" s="96" t="s">
        <v>94</v>
      </c>
      <c r="W495" s="96" t="s">
        <v>97</v>
      </c>
      <c r="X495" s="96" t="s">
        <v>98</v>
      </c>
      <c r="Y495" s="96" t="s">
        <v>110</v>
      </c>
      <c r="Z495" s="96" t="s">
        <v>110</v>
      </c>
      <c r="AA495" s="96" t="s">
        <v>247</v>
      </c>
      <c r="AB495" s="96" t="s">
        <v>110</v>
      </c>
      <c r="AC495" s="96" t="s">
        <v>248</v>
      </c>
      <c r="AD495" s="96" t="s">
        <v>249</v>
      </c>
      <c r="AE495" s="96" t="s">
        <v>250</v>
      </c>
      <c r="AF495" s="96" t="s">
        <v>251</v>
      </c>
      <c r="AG495" s="96" t="s">
        <v>110</v>
      </c>
      <c r="AH495" s="96">
        <v>2632</v>
      </c>
      <c r="AI495" s="96" t="s">
        <v>252</v>
      </c>
      <c r="AJ495" s="96" t="s">
        <v>253</v>
      </c>
      <c r="AK495" s="27" t="s">
        <v>110</v>
      </c>
    </row>
    <row r="496" spans="1:37">
      <c r="A496" s="70">
        <v>491</v>
      </c>
      <c r="B496" s="70">
        <f t="shared" si="21"/>
        <v>0</v>
      </c>
      <c r="C496" s="71"/>
      <c r="D496" s="59" t="s">
        <v>1024</v>
      </c>
      <c r="E496" s="60">
        <v>13707</v>
      </c>
      <c r="F496" s="10" t="s">
        <v>402</v>
      </c>
      <c r="G496" s="60">
        <v>805</v>
      </c>
      <c r="H496" s="81">
        <v>53</v>
      </c>
      <c r="I496" s="86">
        <v>7</v>
      </c>
      <c r="J496" s="81">
        <v>53</v>
      </c>
      <c r="K496" s="86">
        <v>7</v>
      </c>
      <c r="L496" s="81">
        <v>228</v>
      </c>
      <c r="M496" s="86">
        <v>273</v>
      </c>
      <c r="N496" s="81">
        <v>72107</v>
      </c>
      <c r="O496" s="86">
        <v>26462</v>
      </c>
      <c r="P496" s="89">
        <f t="shared" si="22"/>
        <v>250.5</v>
      </c>
      <c r="Q496" s="89">
        <f t="shared" si="23"/>
        <v>49284.5</v>
      </c>
      <c r="R496" s="96" t="s">
        <v>94</v>
      </c>
      <c r="S496" s="96" t="s">
        <v>124</v>
      </c>
      <c r="T496" s="96" t="s">
        <v>94</v>
      </c>
      <c r="U496" s="96" t="s">
        <v>136</v>
      </c>
      <c r="V496" s="96" t="s">
        <v>94</v>
      </c>
      <c r="W496" s="96" t="s">
        <v>97</v>
      </c>
      <c r="X496" s="96" t="s">
        <v>98</v>
      </c>
      <c r="Y496" s="96" t="s">
        <v>110</v>
      </c>
      <c r="Z496" s="96" t="s">
        <v>110</v>
      </c>
      <c r="AA496" s="96" t="s">
        <v>403</v>
      </c>
      <c r="AB496" s="96" t="s">
        <v>404</v>
      </c>
      <c r="AC496" s="96" t="s">
        <v>405</v>
      </c>
      <c r="AD496" s="96" t="s">
        <v>406</v>
      </c>
      <c r="AE496" s="96" t="s">
        <v>407</v>
      </c>
      <c r="AF496" s="96" t="s">
        <v>408</v>
      </c>
      <c r="AG496" s="96" t="s">
        <v>110</v>
      </c>
      <c r="AH496" s="96">
        <v>2421</v>
      </c>
      <c r="AI496" s="96" t="s">
        <v>409</v>
      </c>
      <c r="AJ496" s="96" t="s">
        <v>410</v>
      </c>
      <c r="AK496" s="27" t="s">
        <v>110</v>
      </c>
    </row>
    <row r="497" spans="1:37">
      <c r="A497" s="70">
        <v>492</v>
      </c>
      <c r="B497" s="70">
        <f t="shared" si="21"/>
        <v>0</v>
      </c>
      <c r="C497" s="71"/>
      <c r="D497" s="59" t="s">
        <v>1024</v>
      </c>
      <c r="E497" s="60">
        <v>12953</v>
      </c>
      <c r="F497" s="10" t="s">
        <v>420</v>
      </c>
      <c r="G497" s="60">
        <v>801</v>
      </c>
      <c r="H497" s="81">
        <v>185</v>
      </c>
      <c r="I497" s="86">
        <v>156</v>
      </c>
      <c r="J497" s="81">
        <v>185</v>
      </c>
      <c r="K497" s="86">
        <v>156</v>
      </c>
      <c r="L497" s="81">
        <v>263</v>
      </c>
      <c r="M497" s="86">
        <v>223</v>
      </c>
      <c r="N497" s="81">
        <v>42469</v>
      </c>
      <c r="O497" s="86">
        <v>56731</v>
      </c>
      <c r="P497" s="89">
        <f t="shared" si="22"/>
        <v>243</v>
      </c>
      <c r="Q497" s="89">
        <f t="shared" si="23"/>
        <v>49600</v>
      </c>
      <c r="R497" s="96" t="s">
        <v>94</v>
      </c>
      <c r="S497" s="96" t="s">
        <v>124</v>
      </c>
      <c r="T497" s="96" t="s">
        <v>94</v>
      </c>
      <c r="U497" s="96" t="s">
        <v>136</v>
      </c>
      <c r="V497" s="96" t="s">
        <v>94</v>
      </c>
      <c r="W497" s="96" t="s">
        <v>97</v>
      </c>
      <c r="X497" s="96" t="s">
        <v>98</v>
      </c>
      <c r="Y497" s="96" t="s">
        <v>225</v>
      </c>
      <c r="Z497" s="96" t="s">
        <v>148</v>
      </c>
      <c r="AA497" s="96" t="s">
        <v>421</v>
      </c>
      <c r="AB497" s="96" t="s">
        <v>422</v>
      </c>
      <c r="AC497" s="96" t="s">
        <v>423</v>
      </c>
      <c r="AD497" s="96" t="s">
        <v>424</v>
      </c>
      <c r="AE497" s="96" t="s">
        <v>425</v>
      </c>
      <c r="AF497" s="96" t="s">
        <v>426</v>
      </c>
      <c r="AG497" s="96" t="s">
        <v>110</v>
      </c>
      <c r="AH497" s="96">
        <v>2506</v>
      </c>
      <c r="AI497" s="96" t="s">
        <v>427</v>
      </c>
      <c r="AJ497" s="96" t="s">
        <v>428</v>
      </c>
      <c r="AK497" s="27" t="s">
        <v>110</v>
      </c>
    </row>
    <row r="498" spans="1:37">
      <c r="A498" s="70">
        <v>493</v>
      </c>
      <c r="B498" s="70">
        <f t="shared" si="21"/>
        <v>0</v>
      </c>
      <c r="C498" s="71"/>
      <c r="D498" s="59" t="s">
        <v>1024</v>
      </c>
      <c r="E498" s="60">
        <v>10862</v>
      </c>
      <c r="F498" s="10" t="s">
        <v>278</v>
      </c>
      <c r="G498" s="60">
        <v>806</v>
      </c>
      <c r="H498" s="81">
        <v>94</v>
      </c>
      <c r="I498" s="86" t="s">
        <v>110</v>
      </c>
      <c r="J498" s="81">
        <v>94</v>
      </c>
      <c r="K498" s="86" t="s">
        <v>110</v>
      </c>
      <c r="L498" s="81">
        <v>253</v>
      </c>
      <c r="M498" s="86" t="s">
        <v>110</v>
      </c>
      <c r="N498" s="81">
        <v>50299</v>
      </c>
      <c r="O498" s="86" t="s">
        <v>110</v>
      </c>
      <c r="P498" s="89">
        <f t="shared" si="22"/>
        <v>253</v>
      </c>
      <c r="Q498" s="89">
        <f t="shared" si="23"/>
        <v>50299</v>
      </c>
      <c r="R498" s="96" t="s">
        <v>94</v>
      </c>
      <c r="S498" s="96" t="s">
        <v>124</v>
      </c>
      <c r="T498" s="96" t="s">
        <v>94</v>
      </c>
      <c r="U498" s="96" t="s">
        <v>136</v>
      </c>
      <c r="V498" s="96" t="s">
        <v>94</v>
      </c>
      <c r="W498" s="96" t="s">
        <v>97</v>
      </c>
      <c r="X498" s="96" t="s">
        <v>98</v>
      </c>
      <c r="Y498" s="96" t="s">
        <v>192</v>
      </c>
      <c r="Z498" s="96" t="s">
        <v>193</v>
      </c>
      <c r="AA498" s="96" t="s">
        <v>279</v>
      </c>
      <c r="AB498" s="96" t="s">
        <v>280</v>
      </c>
      <c r="AC498" s="96" t="s">
        <v>281</v>
      </c>
      <c r="AD498" s="96" t="s">
        <v>282</v>
      </c>
      <c r="AE498" s="96" t="s">
        <v>283</v>
      </c>
      <c r="AF498" s="96" t="s">
        <v>284</v>
      </c>
      <c r="AG498" s="96" t="s">
        <v>285</v>
      </c>
      <c r="AH498" s="96">
        <v>1410</v>
      </c>
      <c r="AI498" s="96" t="s">
        <v>286</v>
      </c>
      <c r="AJ498" s="96" t="s">
        <v>287</v>
      </c>
      <c r="AK498" s="27" t="s">
        <v>110</v>
      </c>
    </row>
    <row r="499" spans="1:37">
      <c r="A499" s="70">
        <v>494</v>
      </c>
      <c r="B499" s="70">
        <f t="shared" si="21"/>
        <v>0</v>
      </c>
      <c r="C499" s="71"/>
      <c r="D499" s="59" t="s">
        <v>1024</v>
      </c>
      <c r="E499" s="60">
        <v>14667</v>
      </c>
      <c r="F499" s="10" t="s">
        <v>626</v>
      </c>
      <c r="G499" s="60">
        <v>806</v>
      </c>
      <c r="H499" s="81">
        <v>120</v>
      </c>
      <c r="I499" s="86">
        <v>107</v>
      </c>
      <c r="J499" s="81">
        <v>120</v>
      </c>
      <c r="K499" s="86">
        <v>107</v>
      </c>
      <c r="L499" s="81">
        <v>253</v>
      </c>
      <c r="M499" s="86">
        <v>232</v>
      </c>
      <c r="N499" s="81">
        <v>50898</v>
      </c>
      <c r="O499" s="86">
        <v>50200</v>
      </c>
      <c r="P499" s="89">
        <f t="shared" si="22"/>
        <v>242.5</v>
      </c>
      <c r="Q499" s="89">
        <f t="shared" si="23"/>
        <v>50549</v>
      </c>
      <c r="R499" s="96" t="s">
        <v>94</v>
      </c>
      <c r="S499" s="96" t="s">
        <v>499</v>
      </c>
      <c r="T499" s="96" t="s">
        <v>94</v>
      </c>
      <c r="U499" s="96" t="s">
        <v>136</v>
      </c>
      <c r="V499" s="96" t="s">
        <v>94</v>
      </c>
      <c r="W499" s="96" t="s">
        <v>97</v>
      </c>
      <c r="X499" s="96" t="s">
        <v>500</v>
      </c>
      <c r="Y499" s="96" t="s">
        <v>382</v>
      </c>
      <c r="Z499" s="96" t="s">
        <v>110</v>
      </c>
      <c r="AA499" s="96" t="s">
        <v>627</v>
      </c>
      <c r="AB499" s="96" t="s">
        <v>110</v>
      </c>
      <c r="AC499" s="96" t="s">
        <v>628</v>
      </c>
      <c r="AD499" s="96" t="s">
        <v>629</v>
      </c>
      <c r="AE499" s="96" t="s">
        <v>630</v>
      </c>
      <c r="AF499" s="96" t="s">
        <v>631</v>
      </c>
      <c r="AG499" s="96" t="s">
        <v>110</v>
      </c>
      <c r="AH499" s="96">
        <v>1912</v>
      </c>
      <c r="AI499" s="96" t="s">
        <v>632</v>
      </c>
      <c r="AJ499" s="96" t="s">
        <v>633</v>
      </c>
      <c r="AK499" s="27" t="s">
        <v>110</v>
      </c>
    </row>
    <row r="500" spans="1:37">
      <c r="A500" s="70">
        <v>495</v>
      </c>
      <c r="B500" s="70">
        <f t="shared" si="21"/>
        <v>0</v>
      </c>
      <c r="C500" s="71"/>
      <c r="D500" s="59" t="s">
        <v>1024</v>
      </c>
      <c r="E500" s="60">
        <v>14756</v>
      </c>
      <c r="F500" s="10" t="s">
        <v>519</v>
      </c>
      <c r="G500" s="60">
        <v>805</v>
      </c>
      <c r="H500" s="81">
        <v>20</v>
      </c>
      <c r="I500" s="86">
        <v>20</v>
      </c>
      <c r="J500" s="81">
        <v>20</v>
      </c>
      <c r="K500" s="86">
        <v>20</v>
      </c>
      <c r="L500" s="81">
        <v>223</v>
      </c>
      <c r="M500" s="86">
        <v>274</v>
      </c>
      <c r="N500" s="81">
        <v>75992</v>
      </c>
      <c r="O500" s="86">
        <v>25837</v>
      </c>
      <c r="P500" s="89">
        <f t="shared" si="22"/>
        <v>248.5</v>
      </c>
      <c r="Q500" s="89">
        <f t="shared" si="23"/>
        <v>50914.5</v>
      </c>
      <c r="R500" s="96" t="s">
        <v>94</v>
      </c>
      <c r="S500" s="96" t="s">
        <v>124</v>
      </c>
      <c r="T500" s="96" t="s">
        <v>94</v>
      </c>
      <c r="U500" s="96" t="s">
        <v>136</v>
      </c>
      <c r="V500" s="96" t="s">
        <v>94</v>
      </c>
      <c r="W500" s="96" t="s">
        <v>97</v>
      </c>
      <c r="X500" s="96" t="s">
        <v>98</v>
      </c>
      <c r="Y500" s="96" t="s">
        <v>110</v>
      </c>
      <c r="Z500" s="96" t="s">
        <v>110</v>
      </c>
      <c r="AA500" s="96" t="s">
        <v>520</v>
      </c>
      <c r="AB500" s="96" t="s">
        <v>110</v>
      </c>
      <c r="AC500" s="96" t="s">
        <v>110</v>
      </c>
      <c r="AD500" s="96" t="s">
        <v>110</v>
      </c>
      <c r="AE500" s="96" t="s">
        <v>521</v>
      </c>
      <c r="AF500" s="96" t="s">
        <v>522</v>
      </c>
      <c r="AG500" s="96" t="s">
        <v>110</v>
      </c>
      <c r="AH500" s="96">
        <v>2685</v>
      </c>
      <c r="AI500" s="96" t="s">
        <v>523</v>
      </c>
      <c r="AJ500" s="96" t="s">
        <v>524</v>
      </c>
      <c r="AK500" s="27" t="s">
        <v>110</v>
      </c>
    </row>
    <row r="501" spans="1:37">
      <c r="A501" s="70">
        <v>496</v>
      </c>
      <c r="B501" s="70">
        <f t="shared" si="21"/>
        <v>0</v>
      </c>
      <c r="C501" s="71"/>
      <c r="D501" s="59" t="s">
        <v>1024</v>
      </c>
      <c r="E501" s="60">
        <v>14756</v>
      </c>
      <c r="F501" s="10" t="s">
        <v>519</v>
      </c>
      <c r="G501" s="60">
        <v>804</v>
      </c>
      <c r="H501" s="81">
        <v>50</v>
      </c>
      <c r="I501" s="86">
        <v>50</v>
      </c>
      <c r="J501" s="81">
        <v>50</v>
      </c>
      <c r="K501" s="86">
        <v>50</v>
      </c>
      <c r="L501" s="81">
        <v>236</v>
      </c>
      <c r="M501" s="86">
        <v>250</v>
      </c>
      <c r="N501" s="81">
        <v>64982</v>
      </c>
      <c r="O501" s="86">
        <v>38248</v>
      </c>
      <c r="P501" s="89">
        <f t="shared" si="22"/>
        <v>243</v>
      </c>
      <c r="Q501" s="89">
        <f t="shared" si="23"/>
        <v>51615</v>
      </c>
      <c r="R501" s="96" t="s">
        <v>94</v>
      </c>
      <c r="S501" s="96" t="s">
        <v>124</v>
      </c>
      <c r="T501" s="96" t="s">
        <v>94</v>
      </c>
      <c r="U501" s="96" t="s">
        <v>136</v>
      </c>
      <c r="V501" s="96" t="s">
        <v>94</v>
      </c>
      <c r="W501" s="96" t="s">
        <v>97</v>
      </c>
      <c r="X501" s="96" t="s">
        <v>98</v>
      </c>
      <c r="Y501" s="96" t="s">
        <v>110</v>
      </c>
      <c r="Z501" s="96" t="s">
        <v>110</v>
      </c>
      <c r="AA501" s="96" t="s">
        <v>520</v>
      </c>
      <c r="AB501" s="96" t="s">
        <v>110</v>
      </c>
      <c r="AC501" s="96" t="s">
        <v>110</v>
      </c>
      <c r="AD501" s="96" t="s">
        <v>110</v>
      </c>
      <c r="AE501" s="96" t="s">
        <v>521</v>
      </c>
      <c r="AF501" s="96" t="s">
        <v>522</v>
      </c>
      <c r="AG501" s="96" t="s">
        <v>110</v>
      </c>
      <c r="AH501" s="96">
        <v>2685</v>
      </c>
      <c r="AI501" s="96" t="s">
        <v>523</v>
      </c>
      <c r="AJ501" s="96" t="s">
        <v>524</v>
      </c>
      <c r="AK501" s="27" t="s">
        <v>110</v>
      </c>
    </row>
    <row r="502" spans="1:37">
      <c r="A502" s="70">
        <v>497</v>
      </c>
      <c r="B502" s="70">
        <f t="shared" si="21"/>
        <v>0</v>
      </c>
      <c r="C502" s="71"/>
      <c r="D502" s="59" t="s">
        <v>1024</v>
      </c>
      <c r="E502" s="60">
        <v>12953</v>
      </c>
      <c r="F502" s="10" t="s">
        <v>420</v>
      </c>
      <c r="G502" s="60">
        <v>803</v>
      </c>
      <c r="H502" s="81">
        <v>240</v>
      </c>
      <c r="I502" s="86">
        <v>365</v>
      </c>
      <c r="J502" s="81">
        <v>240</v>
      </c>
      <c r="K502" s="86">
        <v>365</v>
      </c>
      <c r="L502" s="81">
        <v>252</v>
      </c>
      <c r="M502" s="86">
        <v>229</v>
      </c>
      <c r="N502" s="81">
        <v>51367</v>
      </c>
      <c r="O502" s="86">
        <v>52463</v>
      </c>
      <c r="P502" s="89">
        <f t="shared" si="22"/>
        <v>240.5</v>
      </c>
      <c r="Q502" s="89">
        <f t="shared" si="23"/>
        <v>51915</v>
      </c>
      <c r="R502" s="96" t="s">
        <v>94</v>
      </c>
      <c r="S502" s="96" t="s">
        <v>124</v>
      </c>
      <c r="T502" s="96" t="s">
        <v>94</v>
      </c>
      <c r="U502" s="96" t="s">
        <v>136</v>
      </c>
      <c r="V502" s="96" t="s">
        <v>94</v>
      </c>
      <c r="W502" s="96" t="s">
        <v>97</v>
      </c>
      <c r="X502" s="96" t="s">
        <v>98</v>
      </c>
      <c r="Y502" s="96" t="s">
        <v>225</v>
      </c>
      <c r="Z502" s="96" t="s">
        <v>148</v>
      </c>
      <c r="AA502" s="96" t="s">
        <v>421</v>
      </c>
      <c r="AB502" s="96" t="s">
        <v>422</v>
      </c>
      <c r="AC502" s="96" t="s">
        <v>423</v>
      </c>
      <c r="AD502" s="96" t="s">
        <v>424</v>
      </c>
      <c r="AE502" s="96" t="s">
        <v>425</v>
      </c>
      <c r="AF502" s="96" t="s">
        <v>426</v>
      </c>
      <c r="AG502" s="96" t="s">
        <v>110</v>
      </c>
      <c r="AH502" s="96">
        <v>2506</v>
      </c>
      <c r="AI502" s="96" t="s">
        <v>427</v>
      </c>
      <c r="AJ502" s="96" t="s">
        <v>428</v>
      </c>
      <c r="AK502" s="27" t="s">
        <v>110</v>
      </c>
    </row>
    <row r="503" spans="1:37">
      <c r="A503" s="70">
        <v>498</v>
      </c>
      <c r="B503" s="70">
        <f t="shared" si="21"/>
        <v>0</v>
      </c>
      <c r="C503" s="71"/>
      <c r="D503" s="59" t="s">
        <v>1024</v>
      </c>
      <c r="E503" s="60">
        <v>14509</v>
      </c>
      <c r="F503" s="10" t="s">
        <v>490</v>
      </c>
      <c r="G503" s="60">
        <v>804</v>
      </c>
      <c r="H503" s="81">
        <v>250</v>
      </c>
      <c r="I503" s="86">
        <v>309</v>
      </c>
      <c r="J503" s="81">
        <v>250</v>
      </c>
      <c r="K503" s="86">
        <v>309</v>
      </c>
      <c r="L503" s="81">
        <v>257</v>
      </c>
      <c r="M503" s="86">
        <v>224</v>
      </c>
      <c r="N503" s="81">
        <v>47351</v>
      </c>
      <c r="O503" s="86">
        <v>56598</v>
      </c>
      <c r="P503" s="89">
        <f t="shared" si="22"/>
        <v>240.5</v>
      </c>
      <c r="Q503" s="89">
        <f t="shared" si="23"/>
        <v>51974.5</v>
      </c>
      <c r="R503" s="96" t="s">
        <v>94</v>
      </c>
      <c r="S503" s="96" t="s">
        <v>124</v>
      </c>
      <c r="T503" s="96" t="s">
        <v>94</v>
      </c>
      <c r="U503" s="96" t="s">
        <v>136</v>
      </c>
      <c r="V503" s="96" t="s">
        <v>94</v>
      </c>
      <c r="W503" s="96" t="s">
        <v>97</v>
      </c>
      <c r="X503" s="96" t="s">
        <v>98</v>
      </c>
      <c r="Y503" s="96" t="s">
        <v>110</v>
      </c>
      <c r="Z503" s="96" t="s">
        <v>148</v>
      </c>
      <c r="AA503" s="96" t="s">
        <v>491</v>
      </c>
      <c r="AB503" s="96" t="s">
        <v>110</v>
      </c>
      <c r="AC503" s="96" t="s">
        <v>492</v>
      </c>
      <c r="AD503" s="96" t="s">
        <v>493</v>
      </c>
      <c r="AE503" s="96" t="s">
        <v>494</v>
      </c>
      <c r="AF503" s="96" t="s">
        <v>495</v>
      </c>
      <c r="AG503" s="96" t="s">
        <v>110</v>
      </c>
      <c r="AH503" s="96">
        <v>1977</v>
      </c>
      <c r="AI503" s="96" t="s">
        <v>496</v>
      </c>
      <c r="AJ503" s="96" t="s">
        <v>497</v>
      </c>
      <c r="AK503" s="27" t="s">
        <v>110</v>
      </c>
    </row>
    <row r="504" spans="1:37">
      <c r="A504" s="70">
        <v>499</v>
      </c>
      <c r="B504" s="70">
        <f t="shared" si="21"/>
        <v>0</v>
      </c>
      <c r="C504" s="71"/>
      <c r="D504" s="59" t="s">
        <v>1024</v>
      </c>
      <c r="E504" s="60">
        <v>12743</v>
      </c>
      <c r="F504" s="10" t="s">
        <v>300</v>
      </c>
      <c r="G504" s="60">
        <v>805</v>
      </c>
      <c r="H504" s="81">
        <v>47</v>
      </c>
      <c r="I504" s="86">
        <v>73</v>
      </c>
      <c r="J504" s="81">
        <v>47</v>
      </c>
      <c r="K504" s="86">
        <v>73</v>
      </c>
      <c r="L504" s="81">
        <v>223</v>
      </c>
      <c r="M504" s="86">
        <v>269</v>
      </c>
      <c r="N504" s="81">
        <v>76232</v>
      </c>
      <c r="O504" s="86">
        <v>28085</v>
      </c>
      <c r="P504" s="89">
        <f t="shared" si="22"/>
        <v>246</v>
      </c>
      <c r="Q504" s="89">
        <f t="shared" si="23"/>
        <v>52158.5</v>
      </c>
      <c r="R504" s="96" t="s">
        <v>94</v>
      </c>
      <c r="S504" s="96" t="s">
        <v>124</v>
      </c>
      <c r="T504" s="96" t="s">
        <v>94</v>
      </c>
      <c r="U504" s="96" t="s">
        <v>136</v>
      </c>
      <c r="V504" s="96" t="s">
        <v>94</v>
      </c>
      <c r="W504" s="96" t="s">
        <v>97</v>
      </c>
      <c r="X504" s="96" t="s">
        <v>98</v>
      </c>
      <c r="Y504" s="96" t="s">
        <v>256</v>
      </c>
      <c r="Z504" s="96" t="s">
        <v>148</v>
      </c>
      <c r="AA504" s="96" t="s">
        <v>301</v>
      </c>
      <c r="AB504" s="96" t="s">
        <v>302</v>
      </c>
      <c r="AC504" s="96" t="s">
        <v>303</v>
      </c>
      <c r="AD504" s="96" t="s">
        <v>304</v>
      </c>
      <c r="AE504" s="96" t="s">
        <v>305</v>
      </c>
      <c r="AF504" s="96" t="s">
        <v>306</v>
      </c>
      <c r="AG504" s="96" t="s">
        <v>307</v>
      </c>
      <c r="AH504" s="96">
        <v>1842</v>
      </c>
      <c r="AI504" s="96" t="s">
        <v>308</v>
      </c>
      <c r="AJ504" s="96" t="s">
        <v>309</v>
      </c>
      <c r="AK504" s="27" t="s">
        <v>110</v>
      </c>
    </row>
    <row r="505" spans="1:37">
      <c r="A505" s="70">
        <v>500</v>
      </c>
      <c r="B505" s="70">
        <f t="shared" si="21"/>
        <v>0</v>
      </c>
      <c r="C505" s="71"/>
      <c r="D505" s="59" t="s">
        <v>1024</v>
      </c>
      <c r="E505" s="60">
        <v>10862</v>
      </c>
      <c r="F505" s="10" t="s">
        <v>278</v>
      </c>
      <c r="G505" s="60">
        <v>809</v>
      </c>
      <c r="H505" s="81">
        <v>240</v>
      </c>
      <c r="I505" s="86">
        <v>39</v>
      </c>
      <c r="J505" s="81">
        <v>240</v>
      </c>
      <c r="K505" s="86">
        <v>39</v>
      </c>
      <c r="L505" s="81">
        <v>271</v>
      </c>
      <c r="M505" s="86">
        <v>210</v>
      </c>
      <c r="N505" s="81">
        <v>36937</v>
      </c>
      <c r="O505" s="86">
        <v>67809</v>
      </c>
      <c r="P505" s="89">
        <f t="shared" si="22"/>
        <v>240.5</v>
      </c>
      <c r="Q505" s="89">
        <f t="shared" si="23"/>
        <v>52373</v>
      </c>
      <c r="R505" s="96" t="s">
        <v>94</v>
      </c>
      <c r="S505" s="96" t="s">
        <v>124</v>
      </c>
      <c r="T505" s="96" t="s">
        <v>94</v>
      </c>
      <c r="U505" s="96" t="s">
        <v>136</v>
      </c>
      <c r="V505" s="96" t="s">
        <v>94</v>
      </c>
      <c r="W505" s="96" t="s">
        <v>97</v>
      </c>
      <c r="X505" s="96" t="s">
        <v>98</v>
      </c>
      <c r="Y505" s="96" t="s">
        <v>192</v>
      </c>
      <c r="Z505" s="96" t="s">
        <v>193</v>
      </c>
      <c r="AA505" s="96" t="s">
        <v>279</v>
      </c>
      <c r="AB505" s="96" t="s">
        <v>280</v>
      </c>
      <c r="AC505" s="96" t="s">
        <v>281</v>
      </c>
      <c r="AD505" s="96" t="s">
        <v>282</v>
      </c>
      <c r="AE505" s="96" t="s">
        <v>283</v>
      </c>
      <c r="AF505" s="96" t="s">
        <v>284</v>
      </c>
      <c r="AG505" s="96" t="s">
        <v>285</v>
      </c>
      <c r="AH505" s="96">
        <v>1410</v>
      </c>
      <c r="AI505" s="96" t="s">
        <v>286</v>
      </c>
      <c r="AJ505" s="96" t="s">
        <v>287</v>
      </c>
      <c r="AK505" s="27" t="s">
        <v>110</v>
      </c>
    </row>
    <row r="506" spans="1:37">
      <c r="A506" s="70">
        <v>501</v>
      </c>
      <c r="B506" s="70">
        <f t="shared" si="21"/>
        <v>0</v>
      </c>
      <c r="C506" s="71"/>
      <c r="D506" s="59" t="s">
        <v>1024</v>
      </c>
      <c r="E506" s="60">
        <v>14065</v>
      </c>
      <c r="F506" s="10" t="s">
        <v>310</v>
      </c>
      <c r="G506" s="60">
        <v>802</v>
      </c>
      <c r="H506" s="81">
        <v>50</v>
      </c>
      <c r="I506" s="86">
        <v>90</v>
      </c>
      <c r="J506" s="81">
        <v>50</v>
      </c>
      <c r="K506" s="86">
        <v>90</v>
      </c>
      <c r="L506" s="81">
        <v>252</v>
      </c>
      <c r="M506" s="86">
        <v>226</v>
      </c>
      <c r="N506" s="81">
        <v>51564</v>
      </c>
      <c r="O506" s="86">
        <v>54563</v>
      </c>
      <c r="P506" s="89">
        <f t="shared" si="22"/>
        <v>239</v>
      </c>
      <c r="Q506" s="89">
        <f t="shared" si="23"/>
        <v>53063.5</v>
      </c>
      <c r="R506" s="96" t="s">
        <v>94</v>
      </c>
      <c r="S506" s="96" t="s">
        <v>124</v>
      </c>
      <c r="T506" s="96" t="s">
        <v>94</v>
      </c>
      <c r="U506" s="96" t="s">
        <v>136</v>
      </c>
      <c r="V506" s="96" t="s">
        <v>94</v>
      </c>
      <c r="W506" s="96" t="s">
        <v>97</v>
      </c>
      <c r="X506" s="96" t="s">
        <v>98</v>
      </c>
      <c r="Y506" s="96" t="s">
        <v>225</v>
      </c>
      <c r="Z506" s="96" t="s">
        <v>148</v>
      </c>
      <c r="AA506" s="96" t="s">
        <v>311</v>
      </c>
      <c r="AB506" s="96" t="s">
        <v>312</v>
      </c>
      <c r="AC506" s="96" t="s">
        <v>313</v>
      </c>
      <c r="AD506" s="96" t="s">
        <v>314</v>
      </c>
      <c r="AE506" s="96" t="s">
        <v>315</v>
      </c>
      <c r="AF506" s="96" t="s">
        <v>316</v>
      </c>
      <c r="AG506" s="96" t="s">
        <v>110</v>
      </c>
      <c r="AH506" s="96">
        <v>2004</v>
      </c>
      <c r="AI506" s="96" t="s">
        <v>317</v>
      </c>
      <c r="AJ506" s="96" t="s">
        <v>318</v>
      </c>
      <c r="AK506" s="27" t="s">
        <v>110</v>
      </c>
    </row>
    <row r="507" spans="1:37">
      <c r="A507" s="70">
        <v>502</v>
      </c>
      <c r="B507" s="70">
        <f t="shared" si="21"/>
        <v>0</v>
      </c>
      <c r="C507" s="71"/>
      <c r="D507" s="59" t="s">
        <v>1024</v>
      </c>
      <c r="E507" s="60">
        <v>14408</v>
      </c>
      <c r="F507" s="10" t="s">
        <v>328</v>
      </c>
      <c r="G507" s="60">
        <v>801</v>
      </c>
      <c r="H507" s="81">
        <v>385</v>
      </c>
      <c r="I507" s="86">
        <v>330</v>
      </c>
      <c r="J507" s="81">
        <v>385</v>
      </c>
      <c r="K507" s="86">
        <v>330</v>
      </c>
      <c r="L507" s="81">
        <v>254</v>
      </c>
      <c r="M507" s="86">
        <v>224</v>
      </c>
      <c r="N507" s="81">
        <v>50024</v>
      </c>
      <c r="O507" s="86">
        <v>56335</v>
      </c>
      <c r="P507" s="89">
        <f t="shared" si="22"/>
        <v>239</v>
      </c>
      <c r="Q507" s="89">
        <f t="shared" si="23"/>
        <v>53179.5</v>
      </c>
      <c r="R507" s="96" t="s">
        <v>94</v>
      </c>
      <c r="S507" s="96" t="s">
        <v>329</v>
      </c>
      <c r="T507" s="96" t="s">
        <v>94</v>
      </c>
      <c r="U507" s="96" t="s">
        <v>136</v>
      </c>
      <c r="V507" s="96" t="s">
        <v>94</v>
      </c>
      <c r="W507" s="96" t="s">
        <v>97</v>
      </c>
      <c r="X507" s="96" t="s">
        <v>290</v>
      </c>
      <c r="Y507" s="96" t="s">
        <v>110</v>
      </c>
      <c r="Z507" s="96" t="s">
        <v>110</v>
      </c>
      <c r="AA507" s="96" t="s">
        <v>330</v>
      </c>
      <c r="AB507" s="96" t="s">
        <v>110</v>
      </c>
      <c r="AC507" s="96" t="s">
        <v>331</v>
      </c>
      <c r="AD507" s="96" t="s">
        <v>332</v>
      </c>
      <c r="AE507" s="96" t="s">
        <v>333</v>
      </c>
      <c r="AF507" s="96" t="s">
        <v>334</v>
      </c>
      <c r="AG507" s="96" t="s">
        <v>335</v>
      </c>
      <c r="AH507" s="96">
        <v>1996</v>
      </c>
      <c r="AI507" s="96" t="s">
        <v>336</v>
      </c>
      <c r="AJ507" s="96" t="s">
        <v>337</v>
      </c>
      <c r="AK507" s="27" t="s">
        <v>110</v>
      </c>
    </row>
    <row r="508" spans="1:37">
      <c r="A508" s="70">
        <v>503</v>
      </c>
      <c r="B508" s="70">
        <f t="shared" si="21"/>
        <v>0</v>
      </c>
      <c r="C508" s="71"/>
      <c r="D508" s="59" t="s">
        <v>1024</v>
      </c>
      <c r="E508" s="60">
        <v>13711</v>
      </c>
      <c r="F508" s="10" t="s">
        <v>236</v>
      </c>
      <c r="G508" s="60">
        <v>802</v>
      </c>
      <c r="H508" s="81">
        <v>745</v>
      </c>
      <c r="I508" s="86">
        <v>558</v>
      </c>
      <c r="J508" s="81">
        <v>745</v>
      </c>
      <c r="K508" s="86">
        <v>558</v>
      </c>
      <c r="L508" s="81">
        <v>250</v>
      </c>
      <c r="M508" s="86">
        <v>228</v>
      </c>
      <c r="N508" s="81">
        <v>53257</v>
      </c>
      <c r="O508" s="86">
        <v>53277</v>
      </c>
      <c r="P508" s="89">
        <f t="shared" si="22"/>
        <v>239</v>
      </c>
      <c r="Q508" s="89">
        <f t="shared" si="23"/>
        <v>53267</v>
      </c>
      <c r="R508" s="96" t="s">
        <v>94</v>
      </c>
      <c r="S508" s="96" t="s">
        <v>237</v>
      </c>
      <c r="T508" s="96" t="s">
        <v>94</v>
      </c>
      <c r="U508" s="96" t="s">
        <v>136</v>
      </c>
      <c r="V508" s="96" t="s">
        <v>94</v>
      </c>
      <c r="W508" s="96" t="s">
        <v>97</v>
      </c>
      <c r="X508" s="96" t="s">
        <v>147</v>
      </c>
      <c r="Y508" s="96" t="s">
        <v>110</v>
      </c>
      <c r="Z508" s="96" t="s">
        <v>110</v>
      </c>
      <c r="AA508" s="96" t="s">
        <v>238</v>
      </c>
      <c r="AB508" s="96" t="s">
        <v>239</v>
      </c>
      <c r="AC508" s="96" t="s">
        <v>240</v>
      </c>
      <c r="AD508" s="96" t="s">
        <v>241</v>
      </c>
      <c r="AE508" s="96" t="s">
        <v>242</v>
      </c>
      <c r="AF508" s="96" t="s">
        <v>243</v>
      </c>
      <c r="AG508" s="96" t="s">
        <v>110</v>
      </c>
      <c r="AH508" s="96">
        <v>1606</v>
      </c>
      <c r="AI508" s="96" t="s">
        <v>244</v>
      </c>
      <c r="AJ508" s="96" t="s">
        <v>245</v>
      </c>
      <c r="AK508" s="27" t="s">
        <v>110</v>
      </c>
    </row>
    <row r="509" spans="1:37">
      <c r="A509" s="70">
        <v>504</v>
      </c>
      <c r="B509" s="70">
        <f t="shared" si="21"/>
        <v>0</v>
      </c>
      <c r="C509" s="71"/>
      <c r="D509" s="59" t="s">
        <v>1024</v>
      </c>
      <c r="E509" s="60">
        <v>14592</v>
      </c>
      <c r="F509" s="10" t="s">
        <v>246</v>
      </c>
      <c r="G509" s="60">
        <v>803</v>
      </c>
      <c r="H509" s="81">
        <v>87</v>
      </c>
      <c r="I509" s="86">
        <v>55</v>
      </c>
      <c r="J509" s="81">
        <v>87</v>
      </c>
      <c r="K509" s="86">
        <v>55</v>
      </c>
      <c r="L509" s="81">
        <v>212</v>
      </c>
      <c r="M509" s="86">
        <v>285</v>
      </c>
      <c r="N509" s="81">
        <v>85867</v>
      </c>
      <c r="O509" s="86">
        <v>21155</v>
      </c>
      <c r="P509" s="89">
        <f t="shared" si="22"/>
        <v>248.5</v>
      </c>
      <c r="Q509" s="89">
        <f t="shared" si="23"/>
        <v>53511</v>
      </c>
      <c r="R509" s="96" t="s">
        <v>94</v>
      </c>
      <c r="S509" s="96" t="s">
        <v>124</v>
      </c>
      <c r="T509" s="96" t="s">
        <v>94</v>
      </c>
      <c r="U509" s="96" t="s">
        <v>136</v>
      </c>
      <c r="V509" s="96" t="s">
        <v>94</v>
      </c>
      <c r="W509" s="96" t="s">
        <v>97</v>
      </c>
      <c r="X509" s="96" t="s">
        <v>98</v>
      </c>
      <c r="Y509" s="96" t="s">
        <v>110</v>
      </c>
      <c r="Z509" s="96" t="s">
        <v>110</v>
      </c>
      <c r="AA509" s="96" t="s">
        <v>247</v>
      </c>
      <c r="AB509" s="96" t="s">
        <v>110</v>
      </c>
      <c r="AC509" s="96" t="s">
        <v>248</v>
      </c>
      <c r="AD509" s="96" t="s">
        <v>249</v>
      </c>
      <c r="AE509" s="96" t="s">
        <v>250</v>
      </c>
      <c r="AF509" s="96" t="s">
        <v>251</v>
      </c>
      <c r="AG509" s="96" t="s">
        <v>110</v>
      </c>
      <c r="AH509" s="96">
        <v>2632</v>
      </c>
      <c r="AI509" s="96" t="s">
        <v>252</v>
      </c>
      <c r="AJ509" s="96" t="s">
        <v>253</v>
      </c>
      <c r="AK509" s="27" t="s">
        <v>110</v>
      </c>
    </row>
    <row r="510" spans="1:37">
      <c r="A510" s="70">
        <v>505</v>
      </c>
      <c r="B510" s="70">
        <f t="shared" si="21"/>
        <v>0</v>
      </c>
      <c r="C510" s="71"/>
      <c r="D510" s="59" t="s">
        <v>1024</v>
      </c>
      <c r="E510" s="60">
        <v>14760</v>
      </c>
      <c r="F510" s="10" t="s">
        <v>544</v>
      </c>
      <c r="G510" s="60">
        <v>803</v>
      </c>
      <c r="H510" s="81">
        <v>53</v>
      </c>
      <c r="I510" s="86">
        <v>47</v>
      </c>
      <c r="J510" s="81">
        <v>53</v>
      </c>
      <c r="K510" s="86">
        <v>47</v>
      </c>
      <c r="L510" s="81">
        <v>248</v>
      </c>
      <c r="M510" s="86">
        <v>229</v>
      </c>
      <c r="N510" s="81">
        <v>54374</v>
      </c>
      <c r="O510" s="86">
        <v>52712</v>
      </c>
      <c r="P510" s="89">
        <f t="shared" si="22"/>
        <v>238.5</v>
      </c>
      <c r="Q510" s="89">
        <f t="shared" si="23"/>
        <v>53543</v>
      </c>
      <c r="R510" s="96" t="s">
        <v>94</v>
      </c>
      <c r="S510" s="96" t="s">
        <v>447</v>
      </c>
      <c r="T510" s="96" t="s">
        <v>94</v>
      </c>
      <c r="U510" s="96" t="s">
        <v>136</v>
      </c>
      <c r="V510" s="96" t="s">
        <v>94</v>
      </c>
      <c r="W510" s="96" t="s">
        <v>97</v>
      </c>
      <c r="X510" s="96" t="s">
        <v>448</v>
      </c>
      <c r="Y510" s="96" t="s">
        <v>110</v>
      </c>
      <c r="Z510" s="96" t="s">
        <v>110</v>
      </c>
      <c r="AA510" s="96" t="s">
        <v>545</v>
      </c>
      <c r="AB510" s="96" t="s">
        <v>110</v>
      </c>
      <c r="AC510" s="96" t="s">
        <v>546</v>
      </c>
      <c r="AD510" s="96" t="s">
        <v>547</v>
      </c>
      <c r="AE510" s="96" t="s">
        <v>548</v>
      </c>
      <c r="AF510" s="96" t="s">
        <v>549</v>
      </c>
      <c r="AG510" s="96" t="s">
        <v>110</v>
      </c>
      <c r="AH510" s="96">
        <v>2689</v>
      </c>
      <c r="AI510" s="96" t="s">
        <v>550</v>
      </c>
      <c r="AJ510" s="96" t="s">
        <v>551</v>
      </c>
      <c r="AK510" s="27" t="s">
        <v>110</v>
      </c>
    </row>
    <row r="511" spans="1:37">
      <c r="A511" s="70">
        <v>506</v>
      </c>
      <c r="B511" s="70">
        <f t="shared" si="21"/>
        <v>0</v>
      </c>
      <c r="C511" s="71"/>
      <c r="D511" s="59" t="s">
        <v>1024</v>
      </c>
      <c r="E511" s="60">
        <v>13710</v>
      </c>
      <c r="F511" s="10" t="s">
        <v>458</v>
      </c>
      <c r="G511" s="60">
        <v>802</v>
      </c>
      <c r="H511" s="81">
        <v>100</v>
      </c>
      <c r="I511" s="86">
        <v>60</v>
      </c>
      <c r="J511" s="81">
        <v>100</v>
      </c>
      <c r="K511" s="86">
        <v>60</v>
      </c>
      <c r="L511" s="81">
        <v>249</v>
      </c>
      <c r="M511" s="86">
        <v>228</v>
      </c>
      <c r="N511" s="81">
        <v>53703</v>
      </c>
      <c r="O511" s="86">
        <v>53510</v>
      </c>
      <c r="P511" s="89">
        <f t="shared" si="22"/>
        <v>238.5</v>
      </c>
      <c r="Q511" s="89">
        <f t="shared" si="23"/>
        <v>53606.5</v>
      </c>
      <c r="R511" s="96" t="s">
        <v>94</v>
      </c>
      <c r="S511" s="96" t="s">
        <v>224</v>
      </c>
      <c r="T511" s="96" t="s">
        <v>94</v>
      </c>
      <c r="U511" s="96" t="s">
        <v>136</v>
      </c>
      <c r="V511" s="96" t="s">
        <v>94</v>
      </c>
      <c r="W511" s="96" t="s">
        <v>97</v>
      </c>
      <c r="X511" s="96" t="s">
        <v>147</v>
      </c>
      <c r="Y511" s="96" t="s">
        <v>213</v>
      </c>
      <c r="Z511" s="96" t="s">
        <v>459</v>
      </c>
      <c r="AA511" s="96" t="s">
        <v>460</v>
      </c>
      <c r="AB511" s="96" t="s">
        <v>461</v>
      </c>
      <c r="AC511" s="96" t="s">
        <v>462</v>
      </c>
      <c r="AD511" s="96" t="s">
        <v>463</v>
      </c>
      <c r="AE511" s="96" t="s">
        <v>464</v>
      </c>
      <c r="AF511" s="96" t="s">
        <v>465</v>
      </c>
      <c r="AG511" s="96" t="s">
        <v>466</v>
      </c>
      <c r="AH511" s="96">
        <v>1413</v>
      </c>
      <c r="AI511" s="96" t="s">
        <v>467</v>
      </c>
      <c r="AJ511" s="96" t="s">
        <v>468</v>
      </c>
      <c r="AK511" s="27" t="s">
        <v>110</v>
      </c>
    </row>
    <row r="512" spans="1:37">
      <c r="A512" s="70">
        <v>507</v>
      </c>
      <c r="B512" s="70">
        <f t="shared" si="21"/>
        <v>0</v>
      </c>
      <c r="C512" s="71"/>
      <c r="D512" s="59" t="s">
        <v>1024</v>
      </c>
      <c r="E512" s="60">
        <v>12953</v>
      </c>
      <c r="F512" s="10" t="s">
        <v>420</v>
      </c>
      <c r="G512" s="60">
        <v>802</v>
      </c>
      <c r="H512" s="81">
        <v>160</v>
      </c>
      <c r="I512" s="86">
        <v>208</v>
      </c>
      <c r="J512" s="81">
        <v>160</v>
      </c>
      <c r="K512" s="86">
        <v>208</v>
      </c>
      <c r="L512" s="81">
        <v>257</v>
      </c>
      <c r="M512" s="86">
        <v>219</v>
      </c>
      <c r="N512" s="81">
        <v>47491</v>
      </c>
      <c r="O512" s="86">
        <v>60056</v>
      </c>
      <c r="P512" s="89">
        <f t="shared" si="22"/>
        <v>238</v>
      </c>
      <c r="Q512" s="89">
        <f t="shared" si="23"/>
        <v>53773.5</v>
      </c>
      <c r="R512" s="96" t="s">
        <v>94</v>
      </c>
      <c r="S512" s="96" t="s">
        <v>124</v>
      </c>
      <c r="T512" s="96" t="s">
        <v>94</v>
      </c>
      <c r="U512" s="96" t="s">
        <v>136</v>
      </c>
      <c r="V512" s="96" t="s">
        <v>94</v>
      </c>
      <c r="W512" s="96" t="s">
        <v>97</v>
      </c>
      <c r="X512" s="96" t="s">
        <v>98</v>
      </c>
      <c r="Y512" s="96" t="s">
        <v>225</v>
      </c>
      <c r="Z512" s="96" t="s">
        <v>148</v>
      </c>
      <c r="AA512" s="96" t="s">
        <v>421</v>
      </c>
      <c r="AB512" s="96" t="s">
        <v>422</v>
      </c>
      <c r="AC512" s="96" t="s">
        <v>423</v>
      </c>
      <c r="AD512" s="96" t="s">
        <v>424</v>
      </c>
      <c r="AE512" s="96" t="s">
        <v>425</v>
      </c>
      <c r="AF512" s="96" t="s">
        <v>426</v>
      </c>
      <c r="AG512" s="96" t="s">
        <v>110</v>
      </c>
      <c r="AH512" s="96">
        <v>2506</v>
      </c>
      <c r="AI512" s="96" t="s">
        <v>427</v>
      </c>
      <c r="AJ512" s="96" t="s">
        <v>428</v>
      </c>
      <c r="AK512" s="27" t="s">
        <v>110</v>
      </c>
    </row>
    <row r="513" spans="1:37">
      <c r="A513" s="70">
        <v>508</v>
      </c>
      <c r="B513" s="70">
        <f t="shared" si="21"/>
        <v>0</v>
      </c>
      <c r="C513" s="71"/>
      <c r="D513" s="59" t="s">
        <v>1024</v>
      </c>
      <c r="E513" s="60">
        <v>12962</v>
      </c>
      <c r="F513" s="10" t="s">
        <v>691</v>
      </c>
      <c r="G513" s="60">
        <v>807</v>
      </c>
      <c r="H513" s="81">
        <v>20</v>
      </c>
      <c r="I513" s="86">
        <v>70</v>
      </c>
      <c r="J513" s="81">
        <v>20</v>
      </c>
      <c r="K513" s="86">
        <v>70</v>
      </c>
      <c r="L513" s="81">
        <v>247</v>
      </c>
      <c r="M513" s="86">
        <v>230</v>
      </c>
      <c r="N513" s="81">
        <v>55749</v>
      </c>
      <c r="O513" s="86">
        <v>51801</v>
      </c>
      <c r="P513" s="89">
        <f t="shared" si="22"/>
        <v>238.5</v>
      </c>
      <c r="Q513" s="89">
        <f t="shared" si="23"/>
        <v>53775</v>
      </c>
      <c r="R513" s="96" t="s">
        <v>94</v>
      </c>
      <c r="S513" s="96" t="s">
        <v>124</v>
      </c>
      <c r="T513" s="96" t="s">
        <v>94</v>
      </c>
      <c r="U513" s="96" t="s">
        <v>136</v>
      </c>
      <c r="V513" s="96" t="s">
        <v>94</v>
      </c>
      <c r="W513" s="96" t="s">
        <v>97</v>
      </c>
      <c r="X513" s="96" t="s">
        <v>98</v>
      </c>
      <c r="Y513" s="96" t="s">
        <v>382</v>
      </c>
      <c r="Z513" s="96" t="s">
        <v>110</v>
      </c>
      <c r="AA513" s="96" t="s">
        <v>692</v>
      </c>
      <c r="AB513" s="96" t="s">
        <v>693</v>
      </c>
      <c r="AC513" s="96" t="s">
        <v>694</v>
      </c>
      <c r="AD513" s="96" t="s">
        <v>695</v>
      </c>
      <c r="AE513" s="96" t="s">
        <v>696</v>
      </c>
      <c r="AF513" s="96" t="s">
        <v>697</v>
      </c>
      <c r="AG513" s="96" t="s">
        <v>698</v>
      </c>
      <c r="AH513" s="96">
        <v>1491</v>
      </c>
      <c r="AI513" s="96" t="s">
        <v>699</v>
      </c>
      <c r="AJ513" s="96" t="s">
        <v>700</v>
      </c>
      <c r="AK513" s="27" t="s">
        <v>110</v>
      </c>
    </row>
    <row r="514" spans="1:37">
      <c r="A514" s="70">
        <v>509</v>
      </c>
      <c r="B514" s="70">
        <f t="shared" si="21"/>
        <v>0</v>
      </c>
      <c r="C514" s="71"/>
      <c r="D514" s="59" t="s">
        <v>1024</v>
      </c>
      <c r="E514" s="60">
        <v>14609</v>
      </c>
      <c r="F514" s="10" t="s">
        <v>591</v>
      </c>
      <c r="G514" s="60">
        <v>801</v>
      </c>
      <c r="H514" s="81">
        <v>760</v>
      </c>
      <c r="I514" s="86">
        <v>650</v>
      </c>
      <c r="J514" s="81">
        <v>760</v>
      </c>
      <c r="K514" s="86">
        <v>650</v>
      </c>
      <c r="L514" s="81">
        <v>250</v>
      </c>
      <c r="M514" s="86">
        <v>225</v>
      </c>
      <c r="N514" s="81">
        <v>52609</v>
      </c>
      <c r="O514" s="86">
        <v>55639</v>
      </c>
      <c r="P514" s="89">
        <f t="shared" si="22"/>
        <v>237.5</v>
      </c>
      <c r="Q514" s="89">
        <f t="shared" si="23"/>
        <v>54124</v>
      </c>
      <c r="R514" s="96" t="s">
        <v>94</v>
      </c>
      <c r="S514" s="96" t="s">
        <v>329</v>
      </c>
      <c r="T514" s="96" t="s">
        <v>94</v>
      </c>
      <c r="U514" s="96" t="s">
        <v>136</v>
      </c>
      <c r="V514" s="96" t="s">
        <v>94</v>
      </c>
      <c r="W514" s="96" t="s">
        <v>97</v>
      </c>
      <c r="X514" s="96" t="s">
        <v>290</v>
      </c>
      <c r="Y514" s="96" t="s">
        <v>110</v>
      </c>
      <c r="Z514" s="96" t="s">
        <v>511</v>
      </c>
      <c r="AA514" s="96" t="s">
        <v>592</v>
      </c>
      <c r="AB514" s="96" t="s">
        <v>110</v>
      </c>
      <c r="AC514" s="96" t="s">
        <v>593</v>
      </c>
      <c r="AD514" s="96" t="s">
        <v>594</v>
      </c>
      <c r="AE514" s="96" t="s">
        <v>595</v>
      </c>
      <c r="AF514" s="96" t="s">
        <v>596</v>
      </c>
      <c r="AG514" s="96" t="s">
        <v>597</v>
      </c>
      <c r="AH514" s="96">
        <v>1316</v>
      </c>
      <c r="AI514" s="96" t="s">
        <v>598</v>
      </c>
      <c r="AJ514" s="96" t="s">
        <v>599</v>
      </c>
      <c r="AK514" s="27" t="s">
        <v>110</v>
      </c>
    </row>
    <row r="515" spans="1:37">
      <c r="A515" s="70">
        <v>510</v>
      </c>
      <c r="B515" s="70">
        <f t="shared" si="21"/>
        <v>0</v>
      </c>
      <c r="C515" s="71"/>
      <c r="D515" s="59" t="s">
        <v>1024</v>
      </c>
      <c r="E515" s="60">
        <v>14066</v>
      </c>
      <c r="F515" s="10" t="s">
        <v>223</v>
      </c>
      <c r="G515" s="60">
        <v>806</v>
      </c>
      <c r="H515" s="81">
        <v>30</v>
      </c>
      <c r="I515" s="86">
        <v>130</v>
      </c>
      <c r="J515" s="81">
        <v>30</v>
      </c>
      <c r="K515" s="86">
        <v>130</v>
      </c>
      <c r="L515" s="81">
        <v>217</v>
      </c>
      <c r="M515" s="86">
        <v>272</v>
      </c>
      <c r="N515" s="81">
        <v>81862</v>
      </c>
      <c r="O515" s="86">
        <v>26807</v>
      </c>
      <c r="P515" s="89">
        <f t="shared" si="22"/>
        <v>244.5</v>
      </c>
      <c r="Q515" s="89">
        <f t="shared" si="23"/>
        <v>54334.5</v>
      </c>
      <c r="R515" s="96" t="s">
        <v>94</v>
      </c>
      <c r="S515" s="96" t="s">
        <v>224</v>
      </c>
      <c r="T515" s="96" t="s">
        <v>94</v>
      </c>
      <c r="U515" s="96" t="s">
        <v>136</v>
      </c>
      <c r="V515" s="96" t="s">
        <v>94</v>
      </c>
      <c r="W515" s="96" t="s">
        <v>97</v>
      </c>
      <c r="X515" s="96" t="s">
        <v>147</v>
      </c>
      <c r="Y515" s="96" t="s">
        <v>225</v>
      </c>
      <c r="Z515" s="96" t="s">
        <v>226</v>
      </c>
      <c r="AA515" s="96" t="s">
        <v>227</v>
      </c>
      <c r="AB515" s="96" t="s">
        <v>228</v>
      </c>
      <c r="AC515" s="96" t="s">
        <v>229</v>
      </c>
      <c r="AD515" s="96" t="s">
        <v>230</v>
      </c>
      <c r="AE515" s="96" t="s">
        <v>231</v>
      </c>
      <c r="AF515" s="96" t="s">
        <v>232</v>
      </c>
      <c r="AG515" s="96" t="s">
        <v>233</v>
      </c>
      <c r="AH515" s="96">
        <v>1464</v>
      </c>
      <c r="AI515" s="96" t="s">
        <v>234</v>
      </c>
      <c r="AJ515" s="96" t="s">
        <v>235</v>
      </c>
      <c r="AK515" s="27" t="s">
        <v>110</v>
      </c>
    </row>
    <row r="516" spans="1:37">
      <c r="A516" s="70">
        <v>511</v>
      </c>
      <c r="B516" s="70">
        <f t="shared" si="21"/>
        <v>0</v>
      </c>
      <c r="C516" s="71"/>
      <c r="D516" s="59" t="s">
        <v>1024</v>
      </c>
      <c r="E516" s="60">
        <v>12958</v>
      </c>
      <c r="F516" s="10" t="s">
        <v>498</v>
      </c>
      <c r="G516" s="60">
        <v>807</v>
      </c>
      <c r="H516" s="81">
        <v>232</v>
      </c>
      <c r="I516" s="86">
        <v>162</v>
      </c>
      <c r="J516" s="81">
        <v>232</v>
      </c>
      <c r="K516" s="86">
        <v>162</v>
      </c>
      <c r="L516" s="81">
        <v>241</v>
      </c>
      <c r="M516" s="86">
        <v>235</v>
      </c>
      <c r="N516" s="81">
        <v>60332</v>
      </c>
      <c r="O516" s="86">
        <v>48348</v>
      </c>
      <c r="P516" s="89">
        <f t="shared" si="22"/>
        <v>238</v>
      </c>
      <c r="Q516" s="89">
        <f t="shared" si="23"/>
        <v>54340</v>
      </c>
      <c r="R516" s="96" t="s">
        <v>94</v>
      </c>
      <c r="S516" s="96" t="s">
        <v>499</v>
      </c>
      <c r="T516" s="96" t="s">
        <v>94</v>
      </c>
      <c r="U516" s="96" t="s">
        <v>136</v>
      </c>
      <c r="V516" s="96" t="s">
        <v>94</v>
      </c>
      <c r="W516" s="96" t="s">
        <v>97</v>
      </c>
      <c r="X516" s="96" t="s">
        <v>500</v>
      </c>
      <c r="Y516" s="96" t="s">
        <v>225</v>
      </c>
      <c r="Z516" s="96" t="s">
        <v>226</v>
      </c>
      <c r="AA516" s="96" t="s">
        <v>501</v>
      </c>
      <c r="AB516" s="96" t="s">
        <v>502</v>
      </c>
      <c r="AC516" s="96" t="s">
        <v>503</v>
      </c>
      <c r="AD516" s="96" t="s">
        <v>504</v>
      </c>
      <c r="AE516" s="96" t="s">
        <v>505</v>
      </c>
      <c r="AF516" s="96" t="s">
        <v>506</v>
      </c>
      <c r="AG516" s="96" t="s">
        <v>507</v>
      </c>
      <c r="AH516" s="96">
        <v>1527</v>
      </c>
      <c r="AI516" s="96" t="s">
        <v>508</v>
      </c>
      <c r="AJ516" s="96" t="s">
        <v>509</v>
      </c>
      <c r="AK516" s="27" t="s">
        <v>110</v>
      </c>
    </row>
    <row r="517" spans="1:37">
      <c r="A517" s="70">
        <v>512</v>
      </c>
      <c r="B517" s="70">
        <f t="shared" si="21"/>
        <v>0</v>
      </c>
      <c r="C517" s="71"/>
      <c r="D517" s="59" t="s">
        <v>1024</v>
      </c>
      <c r="E517" s="60">
        <v>14667</v>
      </c>
      <c r="F517" s="10" t="s">
        <v>626</v>
      </c>
      <c r="G517" s="60">
        <v>802</v>
      </c>
      <c r="H517" s="81">
        <v>608</v>
      </c>
      <c r="I517" s="86">
        <v>315</v>
      </c>
      <c r="J517" s="81">
        <v>608</v>
      </c>
      <c r="K517" s="86">
        <v>315</v>
      </c>
      <c r="L517" s="81">
        <v>250</v>
      </c>
      <c r="M517" s="86">
        <v>225</v>
      </c>
      <c r="N517" s="81">
        <v>53028</v>
      </c>
      <c r="O517" s="86">
        <v>55882</v>
      </c>
      <c r="P517" s="89">
        <f t="shared" si="22"/>
        <v>237.5</v>
      </c>
      <c r="Q517" s="89">
        <f t="shared" si="23"/>
        <v>54455</v>
      </c>
      <c r="R517" s="96" t="s">
        <v>94</v>
      </c>
      <c r="S517" s="96" t="s">
        <v>499</v>
      </c>
      <c r="T517" s="96" t="s">
        <v>94</v>
      </c>
      <c r="U517" s="96" t="s">
        <v>136</v>
      </c>
      <c r="V517" s="96" t="s">
        <v>94</v>
      </c>
      <c r="W517" s="96" t="s">
        <v>97</v>
      </c>
      <c r="X517" s="96" t="s">
        <v>500</v>
      </c>
      <c r="Y517" s="96" t="s">
        <v>382</v>
      </c>
      <c r="Z517" s="96" t="s">
        <v>110</v>
      </c>
      <c r="AA517" s="96" t="s">
        <v>627</v>
      </c>
      <c r="AB517" s="96" t="s">
        <v>110</v>
      </c>
      <c r="AC517" s="96" t="s">
        <v>628</v>
      </c>
      <c r="AD517" s="96" t="s">
        <v>629</v>
      </c>
      <c r="AE517" s="96" t="s">
        <v>630</v>
      </c>
      <c r="AF517" s="96" t="s">
        <v>631</v>
      </c>
      <c r="AG517" s="96" t="s">
        <v>110</v>
      </c>
      <c r="AH517" s="96">
        <v>1912</v>
      </c>
      <c r="AI517" s="96" t="s">
        <v>632</v>
      </c>
      <c r="AJ517" s="96" t="s">
        <v>633</v>
      </c>
      <c r="AK517" s="27" t="s">
        <v>110</v>
      </c>
    </row>
    <row r="518" spans="1:37">
      <c r="A518" s="70">
        <v>513</v>
      </c>
      <c r="B518" s="70">
        <f t="shared" ref="B518:B581" si="24">C518</f>
        <v>0</v>
      </c>
      <c r="C518" s="71"/>
      <c r="D518" s="59" t="s">
        <v>1024</v>
      </c>
      <c r="E518" s="60">
        <v>10861</v>
      </c>
      <c r="F518" s="10" t="s">
        <v>359</v>
      </c>
      <c r="G518" s="60">
        <v>802</v>
      </c>
      <c r="H518" s="81">
        <v>746</v>
      </c>
      <c r="I518" s="86">
        <v>1469</v>
      </c>
      <c r="J518" s="81">
        <v>746</v>
      </c>
      <c r="K518" s="86">
        <v>1469</v>
      </c>
      <c r="L518" s="81">
        <v>255</v>
      </c>
      <c r="M518" s="86">
        <v>219</v>
      </c>
      <c r="N518" s="81">
        <v>48961</v>
      </c>
      <c r="O518" s="86">
        <v>60001</v>
      </c>
      <c r="P518" s="89">
        <f t="shared" si="22"/>
        <v>237</v>
      </c>
      <c r="Q518" s="89">
        <f t="shared" si="23"/>
        <v>54481</v>
      </c>
      <c r="R518" s="96" t="s">
        <v>94</v>
      </c>
      <c r="S518" s="96" t="s">
        <v>124</v>
      </c>
      <c r="T518" s="96" t="s">
        <v>94</v>
      </c>
      <c r="U518" s="96" t="s">
        <v>136</v>
      </c>
      <c r="V518" s="96" t="s">
        <v>94</v>
      </c>
      <c r="W518" s="96" t="s">
        <v>97</v>
      </c>
      <c r="X518" s="96" t="s">
        <v>98</v>
      </c>
      <c r="Y518" s="96" t="s">
        <v>360</v>
      </c>
      <c r="Z518" s="96" t="s">
        <v>361</v>
      </c>
      <c r="AA518" s="96" t="s">
        <v>362</v>
      </c>
      <c r="AB518" s="96" t="s">
        <v>363</v>
      </c>
      <c r="AC518" s="96" t="s">
        <v>364</v>
      </c>
      <c r="AD518" s="96" t="s">
        <v>365</v>
      </c>
      <c r="AE518" s="96" t="s">
        <v>366</v>
      </c>
      <c r="AF518" s="96" t="s">
        <v>367</v>
      </c>
      <c r="AG518" s="96" t="s">
        <v>368</v>
      </c>
      <c r="AH518" s="96">
        <v>1765</v>
      </c>
      <c r="AI518" s="96" t="s">
        <v>369</v>
      </c>
      <c r="AJ518" s="96" t="s">
        <v>370</v>
      </c>
      <c r="AK518" s="27" t="s">
        <v>110</v>
      </c>
    </row>
    <row r="519" spans="1:37">
      <c r="A519" s="70">
        <v>514</v>
      </c>
      <c r="B519" s="70">
        <f t="shared" si="24"/>
        <v>0</v>
      </c>
      <c r="C519" s="71"/>
      <c r="D519" s="59" t="s">
        <v>1024</v>
      </c>
      <c r="E519" s="60">
        <v>14065</v>
      </c>
      <c r="F519" s="10" t="s">
        <v>310</v>
      </c>
      <c r="G519" s="60">
        <v>806</v>
      </c>
      <c r="H519" s="81">
        <v>130</v>
      </c>
      <c r="I519" s="86">
        <v>160</v>
      </c>
      <c r="J519" s="81">
        <v>130</v>
      </c>
      <c r="K519" s="86">
        <v>160</v>
      </c>
      <c r="L519" s="81">
        <v>243</v>
      </c>
      <c r="M519" s="86">
        <v>231</v>
      </c>
      <c r="N519" s="81">
        <v>58472</v>
      </c>
      <c r="O519" s="86">
        <v>50958</v>
      </c>
      <c r="P519" s="89">
        <f t="shared" ref="P519:P582" si="25">IFERROR(AVERAGE(L519:M519),"/")</f>
        <v>237</v>
      </c>
      <c r="Q519" s="89">
        <f t="shared" ref="Q519:Q582" si="26">IFERROR(AVERAGE(N519:O519),"/")</f>
        <v>54715</v>
      </c>
      <c r="R519" s="96" t="s">
        <v>94</v>
      </c>
      <c r="S519" s="96" t="s">
        <v>124</v>
      </c>
      <c r="T519" s="96" t="s">
        <v>94</v>
      </c>
      <c r="U519" s="96" t="s">
        <v>136</v>
      </c>
      <c r="V519" s="96" t="s">
        <v>94</v>
      </c>
      <c r="W519" s="96" t="s">
        <v>97</v>
      </c>
      <c r="X519" s="96" t="s">
        <v>98</v>
      </c>
      <c r="Y519" s="96" t="s">
        <v>225</v>
      </c>
      <c r="Z519" s="96" t="s">
        <v>148</v>
      </c>
      <c r="AA519" s="96" t="s">
        <v>311</v>
      </c>
      <c r="AB519" s="96" t="s">
        <v>312</v>
      </c>
      <c r="AC519" s="96" t="s">
        <v>313</v>
      </c>
      <c r="AD519" s="96" t="s">
        <v>314</v>
      </c>
      <c r="AE519" s="96" t="s">
        <v>315</v>
      </c>
      <c r="AF519" s="96" t="s">
        <v>316</v>
      </c>
      <c r="AG519" s="96" t="s">
        <v>110</v>
      </c>
      <c r="AH519" s="96">
        <v>2004</v>
      </c>
      <c r="AI519" s="96" t="s">
        <v>317</v>
      </c>
      <c r="AJ519" s="96" t="s">
        <v>318</v>
      </c>
      <c r="AK519" s="27" t="s">
        <v>110</v>
      </c>
    </row>
    <row r="520" spans="1:37">
      <c r="A520" s="70">
        <v>515</v>
      </c>
      <c r="B520" s="70">
        <f t="shared" si="24"/>
        <v>0</v>
      </c>
      <c r="C520" s="71"/>
      <c r="D520" s="59" t="s">
        <v>1024</v>
      </c>
      <c r="E520" s="60">
        <v>10862</v>
      </c>
      <c r="F520" s="10" t="s">
        <v>278</v>
      </c>
      <c r="G520" s="60">
        <v>804</v>
      </c>
      <c r="H520" s="81">
        <v>152</v>
      </c>
      <c r="I520" s="86">
        <v>65</v>
      </c>
      <c r="J520" s="81">
        <v>152</v>
      </c>
      <c r="K520" s="86">
        <v>65</v>
      </c>
      <c r="L520" s="81">
        <v>270</v>
      </c>
      <c r="M520" s="86">
        <v>205</v>
      </c>
      <c r="N520" s="81">
        <v>37615</v>
      </c>
      <c r="O520" s="86">
        <v>72219</v>
      </c>
      <c r="P520" s="89">
        <f t="shared" si="25"/>
        <v>237.5</v>
      </c>
      <c r="Q520" s="89">
        <f t="shared" si="26"/>
        <v>54917</v>
      </c>
      <c r="R520" s="96" t="s">
        <v>94</v>
      </c>
      <c r="S520" s="96" t="s">
        <v>124</v>
      </c>
      <c r="T520" s="96" t="s">
        <v>94</v>
      </c>
      <c r="U520" s="96" t="s">
        <v>136</v>
      </c>
      <c r="V520" s="96" t="s">
        <v>94</v>
      </c>
      <c r="W520" s="96" t="s">
        <v>97</v>
      </c>
      <c r="X520" s="96" t="s">
        <v>98</v>
      </c>
      <c r="Y520" s="96" t="s">
        <v>192</v>
      </c>
      <c r="Z520" s="96" t="s">
        <v>193</v>
      </c>
      <c r="AA520" s="96" t="s">
        <v>279</v>
      </c>
      <c r="AB520" s="96" t="s">
        <v>280</v>
      </c>
      <c r="AC520" s="96" t="s">
        <v>281</v>
      </c>
      <c r="AD520" s="96" t="s">
        <v>282</v>
      </c>
      <c r="AE520" s="96" t="s">
        <v>283</v>
      </c>
      <c r="AF520" s="96" t="s">
        <v>284</v>
      </c>
      <c r="AG520" s="96" t="s">
        <v>285</v>
      </c>
      <c r="AH520" s="96">
        <v>1410</v>
      </c>
      <c r="AI520" s="96" t="s">
        <v>286</v>
      </c>
      <c r="AJ520" s="96" t="s">
        <v>287</v>
      </c>
      <c r="AK520" s="27" t="s">
        <v>110</v>
      </c>
    </row>
    <row r="521" spans="1:37">
      <c r="A521" s="70">
        <v>516</v>
      </c>
      <c r="B521" s="70">
        <f t="shared" si="24"/>
        <v>0</v>
      </c>
      <c r="C521" s="71"/>
      <c r="D521" s="59" t="s">
        <v>1024</v>
      </c>
      <c r="E521" s="60">
        <v>14509</v>
      </c>
      <c r="F521" s="10" t="s">
        <v>490</v>
      </c>
      <c r="G521" s="60">
        <v>803</v>
      </c>
      <c r="H521" s="81">
        <v>290</v>
      </c>
      <c r="I521" s="86">
        <v>350</v>
      </c>
      <c r="J521" s="81">
        <v>290</v>
      </c>
      <c r="K521" s="86">
        <v>350</v>
      </c>
      <c r="L521" s="81">
        <v>256</v>
      </c>
      <c r="M521" s="86">
        <v>217</v>
      </c>
      <c r="N521" s="81">
        <v>48237</v>
      </c>
      <c r="O521" s="86">
        <v>61664</v>
      </c>
      <c r="P521" s="89">
        <f t="shared" si="25"/>
        <v>236.5</v>
      </c>
      <c r="Q521" s="89">
        <f t="shared" si="26"/>
        <v>54950.5</v>
      </c>
      <c r="R521" s="96" t="s">
        <v>94</v>
      </c>
      <c r="S521" s="96" t="s">
        <v>124</v>
      </c>
      <c r="T521" s="96" t="s">
        <v>94</v>
      </c>
      <c r="U521" s="96" t="s">
        <v>136</v>
      </c>
      <c r="V521" s="96" t="s">
        <v>94</v>
      </c>
      <c r="W521" s="96" t="s">
        <v>97</v>
      </c>
      <c r="X521" s="96" t="s">
        <v>98</v>
      </c>
      <c r="Y521" s="96" t="s">
        <v>110</v>
      </c>
      <c r="Z521" s="96" t="s">
        <v>148</v>
      </c>
      <c r="AA521" s="96" t="s">
        <v>491</v>
      </c>
      <c r="AB521" s="96" t="s">
        <v>110</v>
      </c>
      <c r="AC521" s="96" t="s">
        <v>492</v>
      </c>
      <c r="AD521" s="96" t="s">
        <v>493</v>
      </c>
      <c r="AE521" s="96" t="s">
        <v>494</v>
      </c>
      <c r="AF521" s="96" t="s">
        <v>495</v>
      </c>
      <c r="AG521" s="96" t="s">
        <v>110</v>
      </c>
      <c r="AH521" s="96">
        <v>1977</v>
      </c>
      <c r="AI521" s="96" t="s">
        <v>496</v>
      </c>
      <c r="AJ521" s="96" t="s">
        <v>497</v>
      </c>
      <c r="AK521" s="27" t="s">
        <v>110</v>
      </c>
    </row>
    <row r="522" spans="1:37">
      <c r="A522" s="70">
        <v>517</v>
      </c>
      <c r="B522" s="70">
        <f t="shared" si="24"/>
        <v>0</v>
      </c>
      <c r="C522" s="71"/>
      <c r="D522" s="59" t="s">
        <v>1024</v>
      </c>
      <c r="E522" s="60">
        <v>14756</v>
      </c>
      <c r="F522" s="10" t="s">
        <v>519</v>
      </c>
      <c r="G522" s="60">
        <v>803</v>
      </c>
      <c r="H522" s="81">
        <v>50</v>
      </c>
      <c r="I522" s="86">
        <v>50</v>
      </c>
      <c r="J522" s="81">
        <v>50</v>
      </c>
      <c r="K522" s="86">
        <v>50</v>
      </c>
      <c r="L522" s="81">
        <v>217</v>
      </c>
      <c r="M522" s="86">
        <v>268</v>
      </c>
      <c r="N522" s="81">
        <v>81708</v>
      </c>
      <c r="O522" s="86">
        <v>28980</v>
      </c>
      <c r="P522" s="89">
        <f t="shared" si="25"/>
        <v>242.5</v>
      </c>
      <c r="Q522" s="89">
        <f t="shared" si="26"/>
        <v>55344</v>
      </c>
      <c r="R522" s="96" t="s">
        <v>94</v>
      </c>
      <c r="S522" s="96" t="s">
        <v>124</v>
      </c>
      <c r="T522" s="96" t="s">
        <v>94</v>
      </c>
      <c r="U522" s="96" t="s">
        <v>136</v>
      </c>
      <c r="V522" s="96" t="s">
        <v>94</v>
      </c>
      <c r="W522" s="96" t="s">
        <v>97</v>
      </c>
      <c r="X522" s="96" t="s">
        <v>98</v>
      </c>
      <c r="Y522" s="96" t="s">
        <v>110</v>
      </c>
      <c r="Z522" s="96" t="s">
        <v>110</v>
      </c>
      <c r="AA522" s="96" t="s">
        <v>520</v>
      </c>
      <c r="AB522" s="96" t="s">
        <v>110</v>
      </c>
      <c r="AC522" s="96" t="s">
        <v>110</v>
      </c>
      <c r="AD522" s="96" t="s">
        <v>110</v>
      </c>
      <c r="AE522" s="96" t="s">
        <v>521</v>
      </c>
      <c r="AF522" s="96" t="s">
        <v>522</v>
      </c>
      <c r="AG522" s="96" t="s">
        <v>110</v>
      </c>
      <c r="AH522" s="96">
        <v>2685</v>
      </c>
      <c r="AI522" s="96" t="s">
        <v>523</v>
      </c>
      <c r="AJ522" s="96" t="s">
        <v>524</v>
      </c>
      <c r="AK522" s="27" t="s">
        <v>110</v>
      </c>
    </row>
    <row r="523" spans="1:37">
      <c r="A523" s="70">
        <v>518</v>
      </c>
      <c r="B523" s="70">
        <f t="shared" si="24"/>
        <v>0</v>
      </c>
      <c r="C523" s="71"/>
      <c r="D523" s="59" t="s">
        <v>1024</v>
      </c>
      <c r="E523" s="60">
        <v>14510</v>
      </c>
      <c r="F523" s="10" t="s">
        <v>609</v>
      </c>
      <c r="G523" s="60">
        <v>803</v>
      </c>
      <c r="H523" s="81">
        <v>180</v>
      </c>
      <c r="I523" s="86" t="s">
        <v>110</v>
      </c>
      <c r="J523" s="81">
        <v>180</v>
      </c>
      <c r="K523" s="86" t="s">
        <v>110</v>
      </c>
      <c r="L523" s="81">
        <v>247</v>
      </c>
      <c r="M523" s="86" t="s">
        <v>110</v>
      </c>
      <c r="N523" s="81">
        <v>55473</v>
      </c>
      <c r="O523" s="86" t="s">
        <v>110</v>
      </c>
      <c r="P523" s="89">
        <f t="shared" si="25"/>
        <v>247</v>
      </c>
      <c r="Q523" s="89">
        <f t="shared" si="26"/>
        <v>55473</v>
      </c>
      <c r="R523" s="96" t="s">
        <v>94</v>
      </c>
      <c r="S523" s="96" t="s">
        <v>329</v>
      </c>
      <c r="T523" s="96" t="s">
        <v>94</v>
      </c>
      <c r="U523" s="96" t="s">
        <v>136</v>
      </c>
      <c r="V523" s="96" t="s">
        <v>94</v>
      </c>
      <c r="W523" s="96" t="s">
        <v>97</v>
      </c>
      <c r="X523" s="96" t="s">
        <v>290</v>
      </c>
      <c r="Y523" s="96" t="s">
        <v>110</v>
      </c>
      <c r="Z523" s="96" t="s">
        <v>110</v>
      </c>
      <c r="AA523" s="96" t="s">
        <v>610</v>
      </c>
      <c r="AB523" s="96" t="s">
        <v>110</v>
      </c>
      <c r="AC523" s="96" t="s">
        <v>611</v>
      </c>
      <c r="AD523" s="96" t="s">
        <v>612</v>
      </c>
      <c r="AE523" s="96" t="s">
        <v>613</v>
      </c>
      <c r="AF523" s="96" t="s">
        <v>614</v>
      </c>
      <c r="AG523" s="96" t="s">
        <v>615</v>
      </c>
      <c r="AH523" s="96">
        <v>2357</v>
      </c>
      <c r="AI523" s="96" t="s">
        <v>616</v>
      </c>
      <c r="AJ523" s="96" t="s">
        <v>617</v>
      </c>
      <c r="AK523" s="27" t="s">
        <v>110</v>
      </c>
    </row>
    <row r="524" spans="1:37">
      <c r="A524" s="70">
        <v>519</v>
      </c>
      <c r="B524" s="70">
        <f t="shared" si="24"/>
        <v>0</v>
      </c>
      <c r="C524" s="71"/>
      <c r="D524" s="59" t="s">
        <v>1024</v>
      </c>
      <c r="E524" s="60">
        <v>14667</v>
      </c>
      <c r="F524" s="10" t="s">
        <v>626</v>
      </c>
      <c r="G524" s="60">
        <v>801</v>
      </c>
      <c r="H524" s="81">
        <v>1226</v>
      </c>
      <c r="I524" s="86">
        <v>667</v>
      </c>
      <c r="J524" s="81">
        <v>1226</v>
      </c>
      <c r="K524" s="86">
        <v>667</v>
      </c>
      <c r="L524" s="81">
        <v>246</v>
      </c>
      <c r="M524" s="86">
        <v>226</v>
      </c>
      <c r="N524" s="81">
        <v>55959</v>
      </c>
      <c r="O524" s="86">
        <v>55073</v>
      </c>
      <c r="P524" s="89">
        <f t="shared" si="25"/>
        <v>236</v>
      </c>
      <c r="Q524" s="89">
        <f t="shared" si="26"/>
        <v>55516</v>
      </c>
      <c r="R524" s="96" t="s">
        <v>94</v>
      </c>
      <c r="S524" s="96" t="s">
        <v>499</v>
      </c>
      <c r="T524" s="96" t="s">
        <v>94</v>
      </c>
      <c r="U524" s="96" t="s">
        <v>136</v>
      </c>
      <c r="V524" s="96" t="s">
        <v>94</v>
      </c>
      <c r="W524" s="96" t="s">
        <v>97</v>
      </c>
      <c r="X524" s="96" t="s">
        <v>500</v>
      </c>
      <c r="Y524" s="96" t="s">
        <v>382</v>
      </c>
      <c r="Z524" s="96" t="s">
        <v>110</v>
      </c>
      <c r="AA524" s="96" t="s">
        <v>627</v>
      </c>
      <c r="AB524" s="96" t="s">
        <v>110</v>
      </c>
      <c r="AC524" s="96" t="s">
        <v>628</v>
      </c>
      <c r="AD524" s="96" t="s">
        <v>629</v>
      </c>
      <c r="AE524" s="96" t="s">
        <v>630</v>
      </c>
      <c r="AF524" s="96" t="s">
        <v>631</v>
      </c>
      <c r="AG524" s="96" t="s">
        <v>110</v>
      </c>
      <c r="AH524" s="96">
        <v>1912</v>
      </c>
      <c r="AI524" s="96" t="s">
        <v>632</v>
      </c>
      <c r="AJ524" s="96" t="s">
        <v>633</v>
      </c>
      <c r="AK524" s="27" t="s">
        <v>110</v>
      </c>
    </row>
    <row r="525" spans="1:37">
      <c r="A525" s="70">
        <v>520</v>
      </c>
      <c r="B525" s="70">
        <f t="shared" si="24"/>
        <v>0</v>
      </c>
      <c r="C525" s="71"/>
      <c r="D525" s="59" t="s">
        <v>1024</v>
      </c>
      <c r="E525" s="60">
        <v>14759</v>
      </c>
      <c r="F525" s="10" t="s">
        <v>552</v>
      </c>
      <c r="G525" s="60">
        <v>801</v>
      </c>
      <c r="H525" s="81">
        <v>700</v>
      </c>
      <c r="I525" s="86">
        <v>492</v>
      </c>
      <c r="J525" s="81">
        <v>700</v>
      </c>
      <c r="K525" s="86">
        <v>492</v>
      </c>
      <c r="L525" s="81">
        <v>239</v>
      </c>
      <c r="M525" s="86">
        <v>234</v>
      </c>
      <c r="N525" s="81">
        <v>62095</v>
      </c>
      <c r="O525" s="86">
        <v>49151</v>
      </c>
      <c r="P525" s="89">
        <f t="shared" si="25"/>
        <v>236.5</v>
      </c>
      <c r="Q525" s="89">
        <f t="shared" si="26"/>
        <v>55623</v>
      </c>
      <c r="R525" s="96" t="s">
        <v>94</v>
      </c>
      <c r="S525" s="96" t="s">
        <v>553</v>
      </c>
      <c r="T525" s="96" t="s">
        <v>94</v>
      </c>
      <c r="U525" s="96" t="s">
        <v>136</v>
      </c>
      <c r="V525" s="96" t="s">
        <v>94</v>
      </c>
      <c r="W525" s="96" t="s">
        <v>97</v>
      </c>
      <c r="X525" s="96" t="s">
        <v>500</v>
      </c>
      <c r="Y525" s="96" t="s">
        <v>110</v>
      </c>
      <c r="Z525" s="96" t="s">
        <v>110</v>
      </c>
      <c r="AA525" s="96" t="s">
        <v>554</v>
      </c>
      <c r="AB525" s="96" t="s">
        <v>110</v>
      </c>
      <c r="AC525" s="96" t="s">
        <v>555</v>
      </c>
      <c r="AD525" s="96" t="s">
        <v>556</v>
      </c>
      <c r="AE525" s="96" t="s">
        <v>557</v>
      </c>
      <c r="AF525" s="96" t="s">
        <v>558</v>
      </c>
      <c r="AG525" s="96" t="s">
        <v>110</v>
      </c>
      <c r="AH525" s="96">
        <v>2688</v>
      </c>
      <c r="AI525" s="96" t="s">
        <v>559</v>
      </c>
      <c r="AJ525" s="96" t="s">
        <v>560</v>
      </c>
      <c r="AK525" s="27" t="s">
        <v>110</v>
      </c>
    </row>
    <row r="526" spans="1:37">
      <c r="A526" s="70">
        <v>521</v>
      </c>
      <c r="B526" s="70">
        <f t="shared" si="24"/>
        <v>0</v>
      </c>
      <c r="C526" s="71"/>
      <c r="D526" s="59" t="s">
        <v>1024</v>
      </c>
      <c r="E526" s="60">
        <v>14065</v>
      </c>
      <c r="F526" s="10" t="s">
        <v>310</v>
      </c>
      <c r="G526" s="60">
        <v>807</v>
      </c>
      <c r="H526" s="81">
        <v>428</v>
      </c>
      <c r="I526" s="86">
        <v>650</v>
      </c>
      <c r="J526" s="81">
        <v>428</v>
      </c>
      <c r="K526" s="86">
        <v>650</v>
      </c>
      <c r="L526" s="81">
        <v>245</v>
      </c>
      <c r="M526" s="86">
        <v>225</v>
      </c>
      <c r="N526" s="81">
        <v>56853</v>
      </c>
      <c r="O526" s="86">
        <v>55624</v>
      </c>
      <c r="P526" s="89">
        <f t="shared" si="25"/>
        <v>235</v>
      </c>
      <c r="Q526" s="89">
        <f t="shared" si="26"/>
        <v>56238.5</v>
      </c>
      <c r="R526" s="96" t="s">
        <v>94</v>
      </c>
      <c r="S526" s="96" t="s">
        <v>124</v>
      </c>
      <c r="T526" s="96" t="s">
        <v>94</v>
      </c>
      <c r="U526" s="96" t="s">
        <v>136</v>
      </c>
      <c r="V526" s="96" t="s">
        <v>94</v>
      </c>
      <c r="W526" s="96" t="s">
        <v>97</v>
      </c>
      <c r="X526" s="96" t="s">
        <v>98</v>
      </c>
      <c r="Y526" s="96" t="s">
        <v>225</v>
      </c>
      <c r="Z526" s="96" t="s">
        <v>148</v>
      </c>
      <c r="AA526" s="96" t="s">
        <v>311</v>
      </c>
      <c r="AB526" s="96" t="s">
        <v>312</v>
      </c>
      <c r="AC526" s="96" t="s">
        <v>313</v>
      </c>
      <c r="AD526" s="96" t="s">
        <v>314</v>
      </c>
      <c r="AE526" s="96" t="s">
        <v>315</v>
      </c>
      <c r="AF526" s="96" t="s">
        <v>316</v>
      </c>
      <c r="AG526" s="96" t="s">
        <v>110</v>
      </c>
      <c r="AH526" s="96">
        <v>2004</v>
      </c>
      <c r="AI526" s="96" t="s">
        <v>317</v>
      </c>
      <c r="AJ526" s="96" t="s">
        <v>318</v>
      </c>
      <c r="AK526" s="27" t="s">
        <v>110</v>
      </c>
    </row>
    <row r="527" spans="1:37">
      <c r="A527" s="70">
        <v>522</v>
      </c>
      <c r="B527" s="70">
        <f t="shared" si="24"/>
        <v>0</v>
      </c>
      <c r="C527" s="71"/>
      <c r="D527" s="59" t="s">
        <v>1024</v>
      </c>
      <c r="E527" s="60">
        <v>12962</v>
      </c>
      <c r="F527" s="10" t="s">
        <v>691</v>
      </c>
      <c r="G527" s="60">
        <v>802</v>
      </c>
      <c r="H527" s="81">
        <v>415</v>
      </c>
      <c r="I527" s="86">
        <v>140</v>
      </c>
      <c r="J527" s="81">
        <v>415</v>
      </c>
      <c r="K527" s="86">
        <v>140</v>
      </c>
      <c r="L527" s="81">
        <v>224</v>
      </c>
      <c r="M527" s="86">
        <v>251</v>
      </c>
      <c r="N527" s="81">
        <v>75058</v>
      </c>
      <c r="O527" s="86">
        <v>37648</v>
      </c>
      <c r="P527" s="89">
        <f t="shared" si="25"/>
        <v>237.5</v>
      </c>
      <c r="Q527" s="89">
        <f t="shared" si="26"/>
        <v>56353</v>
      </c>
      <c r="R527" s="96" t="s">
        <v>94</v>
      </c>
      <c r="S527" s="96" t="s">
        <v>124</v>
      </c>
      <c r="T527" s="96" t="s">
        <v>94</v>
      </c>
      <c r="U527" s="96" t="s">
        <v>136</v>
      </c>
      <c r="V527" s="96" t="s">
        <v>94</v>
      </c>
      <c r="W527" s="96" t="s">
        <v>97</v>
      </c>
      <c r="X527" s="96" t="s">
        <v>98</v>
      </c>
      <c r="Y527" s="96" t="s">
        <v>382</v>
      </c>
      <c r="Z527" s="96" t="s">
        <v>110</v>
      </c>
      <c r="AA527" s="96" t="s">
        <v>692</v>
      </c>
      <c r="AB527" s="96" t="s">
        <v>693</v>
      </c>
      <c r="AC527" s="96" t="s">
        <v>694</v>
      </c>
      <c r="AD527" s="96" t="s">
        <v>695</v>
      </c>
      <c r="AE527" s="96" t="s">
        <v>696</v>
      </c>
      <c r="AF527" s="96" t="s">
        <v>697</v>
      </c>
      <c r="AG527" s="96" t="s">
        <v>698</v>
      </c>
      <c r="AH527" s="96">
        <v>1491</v>
      </c>
      <c r="AI527" s="96" t="s">
        <v>699</v>
      </c>
      <c r="AJ527" s="96" t="s">
        <v>700</v>
      </c>
      <c r="AK527" s="27" t="s">
        <v>110</v>
      </c>
    </row>
    <row r="528" spans="1:37">
      <c r="A528" s="70">
        <v>523</v>
      </c>
      <c r="B528" s="70">
        <f t="shared" si="24"/>
        <v>0</v>
      </c>
      <c r="C528" s="71"/>
      <c r="D528" s="59" t="s">
        <v>1024</v>
      </c>
      <c r="E528" s="60">
        <v>13709</v>
      </c>
      <c r="F528" s="10" t="s">
        <v>429</v>
      </c>
      <c r="G528" s="60">
        <v>801</v>
      </c>
      <c r="H528" s="81">
        <v>226</v>
      </c>
      <c r="I528" s="86">
        <v>322</v>
      </c>
      <c r="J528" s="81">
        <v>226</v>
      </c>
      <c r="K528" s="86">
        <v>322</v>
      </c>
      <c r="L528" s="81">
        <v>245</v>
      </c>
      <c r="M528" s="86">
        <v>225</v>
      </c>
      <c r="N528" s="81">
        <v>56835</v>
      </c>
      <c r="O528" s="86">
        <v>55902</v>
      </c>
      <c r="P528" s="89">
        <f t="shared" si="25"/>
        <v>235</v>
      </c>
      <c r="Q528" s="89">
        <f t="shared" si="26"/>
        <v>56368.5</v>
      </c>
      <c r="R528" s="96" t="s">
        <v>94</v>
      </c>
      <c r="S528" s="96" t="s">
        <v>124</v>
      </c>
      <c r="T528" s="96" t="s">
        <v>94</v>
      </c>
      <c r="U528" s="96" t="s">
        <v>136</v>
      </c>
      <c r="V528" s="96" t="s">
        <v>94</v>
      </c>
      <c r="W528" s="96" t="s">
        <v>97</v>
      </c>
      <c r="X528" s="96" t="s">
        <v>98</v>
      </c>
      <c r="Y528" s="96" t="s">
        <v>225</v>
      </c>
      <c r="Z528" s="96" t="s">
        <v>148</v>
      </c>
      <c r="AA528" s="96" t="s">
        <v>430</v>
      </c>
      <c r="AB528" s="96" t="s">
        <v>431</v>
      </c>
      <c r="AC528" s="96" t="s">
        <v>432</v>
      </c>
      <c r="AD528" s="96" t="s">
        <v>433</v>
      </c>
      <c r="AE528" s="96" t="s">
        <v>434</v>
      </c>
      <c r="AF528" s="96" t="s">
        <v>435</v>
      </c>
      <c r="AG528" s="96" t="s">
        <v>110</v>
      </c>
      <c r="AH528" s="96">
        <v>2369</v>
      </c>
      <c r="AI528" s="96" t="s">
        <v>436</v>
      </c>
      <c r="AJ528" s="96" t="s">
        <v>437</v>
      </c>
      <c r="AK528" s="27" t="s">
        <v>110</v>
      </c>
    </row>
    <row r="529" spans="1:37">
      <c r="A529" s="70">
        <v>524</v>
      </c>
      <c r="B529" s="70">
        <f t="shared" si="24"/>
        <v>0</v>
      </c>
      <c r="C529" s="71"/>
      <c r="D529" s="59" t="s">
        <v>1024</v>
      </c>
      <c r="E529" s="60">
        <v>13711</v>
      </c>
      <c r="F529" s="10" t="s">
        <v>236</v>
      </c>
      <c r="G529" s="60">
        <v>801</v>
      </c>
      <c r="H529" s="81">
        <v>427</v>
      </c>
      <c r="I529" s="86">
        <v>362</v>
      </c>
      <c r="J529" s="81">
        <v>427</v>
      </c>
      <c r="K529" s="86">
        <v>362</v>
      </c>
      <c r="L529" s="81">
        <v>242</v>
      </c>
      <c r="M529" s="86">
        <v>228</v>
      </c>
      <c r="N529" s="81">
        <v>59628</v>
      </c>
      <c r="O529" s="86">
        <v>53400</v>
      </c>
      <c r="P529" s="89">
        <f t="shared" si="25"/>
        <v>235</v>
      </c>
      <c r="Q529" s="89">
        <f t="shared" si="26"/>
        <v>56514</v>
      </c>
      <c r="R529" s="96" t="s">
        <v>94</v>
      </c>
      <c r="S529" s="96" t="s">
        <v>237</v>
      </c>
      <c r="T529" s="96" t="s">
        <v>94</v>
      </c>
      <c r="U529" s="96" t="s">
        <v>136</v>
      </c>
      <c r="V529" s="96" t="s">
        <v>94</v>
      </c>
      <c r="W529" s="96" t="s">
        <v>97</v>
      </c>
      <c r="X529" s="96" t="s">
        <v>147</v>
      </c>
      <c r="Y529" s="96" t="s">
        <v>110</v>
      </c>
      <c r="Z529" s="96" t="s">
        <v>110</v>
      </c>
      <c r="AA529" s="96" t="s">
        <v>238</v>
      </c>
      <c r="AB529" s="96" t="s">
        <v>239</v>
      </c>
      <c r="AC529" s="96" t="s">
        <v>240</v>
      </c>
      <c r="AD529" s="96" t="s">
        <v>241</v>
      </c>
      <c r="AE529" s="96" t="s">
        <v>242</v>
      </c>
      <c r="AF529" s="96" t="s">
        <v>243</v>
      </c>
      <c r="AG529" s="96" t="s">
        <v>110</v>
      </c>
      <c r="AH529" s="96">
        <v>1606</v>
      </c>
      <c r="AI529" s="96" t="s">
        <v>244</v>
      </c>
      <c r="AJ529" s="96" t="s">
        <v>245</v>
      </c>
      <c r="AK529" s="27" t="s">
        <v>110</v>
      </c>
    </row>
    <row r="530" spans="1:37">
      <c r="A530" s="70">
        <v>525</v>
      </c>
      <c r="B530" s="70">
        <f t="shared" si="24"/>
        <v>0</v>
      </c>
      <c r="C530" s="71"/>
      <c r="D530" s="59" t="s">
        <v>1024</v>
      </c>
      <c r="E530" s="60">
        <v>12958</v>
      </c>
      <c r="F530" s="10" t="s">
        <v>498</v>
      </c>
      <c r="G530" s="60">
        <v>809</v>
      </c>
      <c r="H530" s="81">
        <v>236</v>
      </c>
      <c r="I530" s="86">
        <v>222</v>
      </c>
      <c r="J530" s="81">
        <v>236</v>
      </c>
      <c r="K530" s="86">
        <v>222</v>
      </c>
      <c r="L530" s="81">
        <v>242</v>
      </c>
      <c r="M530" s="86">
        <v>226</v>
      </c>
      <c r="N530" s="81">
        <v>59797</v>
      </c>
      <c r="O530" s="86">
        <v>54814</v>
      </c>
      <c r="P530" s="89">
        <f t="shared" si="25"/>
        <v>234</v>
      </c>
      <c r="Q530" s="89">
        <f t="shared" si="26"/>
        <v>57305.5</v>
      </c>
      <c r="R530" s="96" t="s">
        <v>94</v>
      </c>
      <c r="S530" s="96" t="s">
        <v>499</v>
      </c>
      <c r="T530" s="96" t="s">
        <v>94</v>
      </c>
      <c r="U530" s="96" t="s">
        <v>136</v>
      </c>
      <c r="V530" s="96" t="s">
        <v>94</v>
      </c>
      <c r="W530" s="96" t="s">
        <v>97</v>
      </c>
      <c r="X530" s="96" t="s">
        <v>500</v>
      </c>
      <c r="Y530" s="96" t="s">
        <v>225</v>
      </c>
      <c r="Z530" s="96" t="s">
        <v>226</v>
      </c>
      <c r="AA530" s="96" t="s">
        <v>501</v>
      </c>
      <c r="AB530" s="96" t="s">
        <v>502</v>
      </c>
      <c r="AC530" s="96" t="s">
        <v>503</v>
      </c>
      <c r="AD530" s="96" t="s">
        <v>504</v>
      </c>
      <c r="AE530" s="96" t="s">
        <v>505</v>
      </c>
      <c r="AF530" s="96" t="s">
        <v>506</v>
      </c>
      <c r="AG530" s="96" t="s">
        <v>507</v>
      </c>
      <c r="AH530" s="96">
        <v>1527</v>
      </c>
      <c r="AI530" s="96" t="s">
        <v>508</v>
      </c>
      <c r="AJ530" s="96" t="s">
        <v>509</v>
      </c>
      <c r="AK530" s="27" t="s">
        <v>110</v>
      </c>
    </row>
    <row r="531" spans="1:37">
      <c r="A531" s="70">
        <v>526</v>
      </c>
      <c r="B531" s="70">
        <f t="shared" si="24"/>
        <v>0</v>
      </c>
      <c r="C531" s="71"/>
      <c r="D531" s="59" t="s">
        <v>1024</v>
      </c>
      <c r="E531" s="60">
        <v>12958</v>
      </c>
      <c r="F531" s="10" t="s">
        <v>498</v>
      </c>
      <c r="G531" s="60">
        <v>810</v>
      </c>
      <c r="H531" s="81">
        <v>45</v>
      </c>
      <c r="I531" s="86">
        <v>45</v>
      </c>
      <c r="J531" s="81">
        <v>45</v>
      </c>
      <c r="K531" s="86">
        <v>45</v>
      </c>
      <c r="L531" s="81">
        <v>237</v>
      </c>
      <c r="M531" s="86">
        <v>230</v>
      </c>
      <c r="N531" s="81">
        <v>63901</v>
      </c>
      <c r="O531" s="86">
        <v>51834</v>
      </c>
      <c r="P531" s="89">
        <f t="shared" si="25"/>
        <v>233.5</v>
      </c>
      <c r="Q531" s="89">
        <f t="shared" si="26"/>
        <v>57867.5</v>
      </c>
      <c r="R531" s="96" t="s">
        <v>94</v>
      </c>
      <c r="S531" s="96" t="s">
        <v>499</v>
      </c>
      <c r="T531" s="96" t="s">
        <v>94</v>
      </c>
      <c r="U531" s="96" t="s">
        <v>136</v>
      </c>
      <c r="V531" s="96" t="s">
        <v>94</v>
      </c>
      <c r="W531" s="96" t="s">
        <v>97</v>
      </c>
      <c r="X531" s="96" t="s">
        <v>500</v>
      </c>
      <c r="Y531" s="96" t="s">
        <v>225</v>
      </c>
      <c r="Z531" s="96" t="s">
        <v>226</v>
      </c>
      <c r="AA531" s="96" t="s">
        <v>501</v>
      </c>
      <c r="AB531" s="96" t="s">
        <v>502</v>
      </c>
      <c r="AC531" s="96" t="s">
        <v>503</v>
      </c>
      <c r="AD531" s="96" t="s">
        <v>504</v>
      </c>
      <c r="AE531" s="96" t="s">
        <v>505</v>
      </c>
      <c r="AF531" s="96" t="s">
        <v>506</v>
      </c>
      <c r="AG531" s="96" t="s">
        <v>507</v>
      </c>
      <c r="AH531" s="96">
        <v>1527</v>
      </c>
      <c r="AI531" s="96" t="s">
        <v>508</v>
      </c>
      <c r="AJ531" s="96" t="s">
        <v>509</v>
      </c>
      <c r="AK531" s="27" t="s">
        <v>110</v>
      </c>
    </row>
    <row r="532" spans="1:37">
      <c r="A532" s="70">
        <v>527</v>
      </c>
      <c r="B532" s="70">
        <f t="shared" si="24"/>
        <v>0</v>
      </c>
      <c r="C532" s="71"/>
      <c r="D532" s="59" t="s">
        <v>1024</v>
      </c>
      <c r="E532" s="60">
        <v>10862</v>
      </c>
      <c r="F532" s="10" t="s">
        <v>278</v>
      </c>
      <c r="G532" s="60">
        <v>808</v>
      </c>
      <c r="H532" s="81">
        <v>325</v>
      </c>
      <c r="I532" s="86">
        <v>17</v>
      </c>
      <c r="J532" s="81">
        <v>325</v>
      </c>
      <c r="K532" s="86">
        <v>17</v>
      </c>
      <c r="L532" s="81">
        <v>280</v>
      </c>
      <c r="M532" s="86">
        <v>192</v>
      </c>
      <c r="N532" s="81">
        <v>31188</v>
      </c>
      <c r="O532" s="86">
        <v>84710</v>
      </c>
      <c r="P532" s="89">
        <f t="shared" si="25"/>
        <v>236</v>
      </c>
      <c r="Q532" s="89">
        <f t="shared" si="26"/>
        <v>57949</v>
      </c>
      <c r="R532" s="96" t="s">
        <v>94</v>
      </c>
      <c r="S532" s="96" t="s">
        <v>124</v>
      </c>
      <c r="T532" s="96" t="s">
        <v>94</v>
      </c>
      <c r="U532" s="96" t="s">
        <v>136</v>
      </c>
      <c r="V532" s="96" t="s">
        <v>94</v>
      </c>
      <c r="W532" s="96" t="s">
        <v>97</v>
      </c>
      <c r="X532" s="96" t="s">
        <v>98</v>
      </c>
      <c r="Y532" s="96" t="s">
        <v>192</v>
      </c>
      <c r="Z532" s="96" t="s">
        <v>193</v>
      </c>
      <c r="AA532" s="96" t="s">
        <v>279</v>
      </c>
      <c r="AB532" s="96" t="s">
        <v>280</v>
      </c>
      <c r="AC532" s="96" t="s">
        <v>281</v>
      </c>
      <c r="AD532" s="96" t="s">
        <v>282</v>
      </c>
      <c r="AE532" s="96" t="s">
        <v>283</v>
      </c>
      <c r="AF532" s="96" t="s">
        <v>284</v>
      </c>
      <c r="AG532" s="96" t="s">
        <v>285</v>
      </c>
      <c r="AH532" s="96">
        <v>1410</v>
      </c>
      <c r="AI532" s="96" t="s">
        <v>286</v>
      </c>
      <c r="AJ532" s="96" t="s">
        <v>287</v>
      </c>
      <c r="AK532" s="27" t="s">
        <v>110</v>
      </c>
    </row>
    <row r="533" spans="1:37">
      <c r="A533" s="70">
        <v>528</v>
      </c>
      <c r="B533" s="70">
        <f t="shared" si="24"/>
        <v>0</v>
      </c>
      <c r="C533" s="71"/>
      <c r="D533" s="59" t="s">
        <v>1024</v>
      </c>
      <c r="E533" s="60">
        <v>12772</v>
      </c>
      <c r="F533" s="10" t="s">
        <v>561</v>
      </c>
      <c r="G533" s="60">
        <v>802</v>
      </c>
      <c r="H533" s="81">
        <v>419</v>
      </c>
      <c r="I533" s="86">
        <v>415</v>
      </c>
      <c r="J533" s="81">
        <v>419</v>
      </c>
      <c r="K533" s="86">
        <v>415</v>
      </c>
      <c r="L533" s="81">
        <v>245</v>
      </c>
      <c r="M533" s="86">
        <v>220</v>
      </c>
      <c r="N533" s="81">
        <v>56898</v>
      </c>
      <c r="O533" s="86">
        <v>59644</v>
      </c>
      <c r="P533" s="89">
        <f t="shared" si="25"/>
        <v>232.5</v>
      </c>
      <c r="Q533" s="89">
        <f t="shared" si="26"/>
        <v>58271</v>
      </c>
      <c r="R533" s="96" t="s">
        <v>94</v>
      </c>
      <c r="S533" s="96" t="s">
        <v>562</v>
      </c>
      <c r="T533" s="96" t="s">
        <v>94</v>
      </c>
      <c r="U533" s="96" t="s">
        <v>136</v>
      </c>
      <c r="V533" s="96" t="s">
        <v>94</v>
      </c>
      <c r="W533" s="96" t="s">
        <v>97</v>
      </c>
      <c r="X533" s="96" t="s">
        <v>500</v>
      </c>
      <c r="Y533" s="96" t="s">
        <v>225</v>
      </c>
      <c r="Z533" s="96" t="s">
        <v>226</v>
      </c>
      <c r="AA533" s="96" t="s">
        <v>563</v>
      </c>
      <c r="AB533" s="96" t="s">
        <v>564</v>
      </c>
      <c r="AC533" s="96" t="s">
        <v>565</v>
      </c>
      <c r="AD533" s="96" t="s">
        <v>566</v>
      </c>
      <c r="AE533" s="96" t="s">
        <v>567</v>
      </c>
      <c r="AF533" s="96" t="s">
        <v>568</v>
      </c>
      <c r="AG533" s="96" t="s">
        <v>569</v>
      </c>
      <c r="AH533" s="96">
        <v>1839</v>
      </c>
      <c r="AI533" s="96" t="s">
        <v>570</v>
      </c>
      <c r="AJ533" s="96" t="s">
        <v>571</v>
      </c>
      <c r="AK533" s="27" t="s">
        <v>110</v>
      </c>
    </row>
    <row r="534" spans="1:37">
      <c r="A534" s="70">
        <v>529</v>
      </c>
      <c r="B534" s="70">
        <f t="shared" si="24"/>
        <v>0</v>
      </c>
      <c r="C534" s="71"/>
      <c r="D534" s="59" t="s">
        <v>1024</v>
      </c>
      <c r="E534" s="60">
        <v>14065</v>
      </c>
      <c r="F534" s="10" t="s">
        <v>310</v>
      </c>
      <c r="G534" s="60">
        <v>810</v>
      </c>
      <c r="H534" s="81">
        <v>147</v>
      </c>
      <c r="I534" s="86" t="s">
        <v>110</v>
      </c>
      <c r="J534" s="81">
        <v>147</v>
      </c>
      <c r="K534" s="86" t="s">
        <v>110</v>
      </c>
      <c r="L534" s="81">
        <v>243</v>
      </c>
      <c r="M534" s="86" t="s">
        <v>110</v>
      </c>
      <c r="N534" s="81">
        <v>58388</v>
      </c>
      <c r="O534" s="86" t="s">
        <v>110</v>
      </c>
      <c r="P534" s="89">
        <f t="shared" si="25"/>
        <v>243</v>
      </c>
      <c r="Q534" s="89">
        <f t="shared" si="26"/>
        <v>58388</v>
      </c>
      <c r="R534" s="96" t="s">
        <v>94</v>
      </c>
      <c r="S534" s="96" t="s">
        <v>124</v>
      </c>
      <c r="T534" s="96" t="s">
        <v>94</v>
      </c>
      <c r="U534" s="96" t="s">
        <v>136</v>
      </c>
      <c r="V534" s="96" t="s">
        <v>94</v>
      </c>
      <c r="W534" s="96" t="s">
        <v>97</v>
      </c>
      <c r="X534" s="96" t="s">
        <v>98</v>
      </c>
      <c r="Y534" s="96" t="s">
        <v>225</v>
      </c>
      <c r="Z534" s="96" t="s">
        <v>148</v>
      </c>
      <c r="AA534" s="96" t="s">
        <v>311</v>
      </c>
      <c r="AB534" s="96" t="s">
        <v>312</v>
      </c>
      <c r="AC534" s="96" t="s">
        <v>313</v>
      </c>
      <c r="AD534" s="96" t="s">
        <v>314</v>
      </c>
      <c r="AE534" s="96" t="s">
        <v>315</v>
      </c>
      <c r="AF534" s="96" t="s">
        <v>316</v>
      </c>
      <c r="AG534" s="96" t="s">
        <v>110</v>
      </c>
      <c r="AH534" s="96">
        <v>2004</v>
      </c>
      <c r="AI534" s="96" t="s">
        <v>317</v>
      </c>
      <c r="AJ534" s="96" t="s">
        <v>318</v>
      </c>
      <c r="AK534" s="27" t="s">
        <v>110</v>
      </c>
    </row>
    <row r="535" spans="1:37">
      <c r="A535" s="70">
        <v>530</v>
      </c>
      <c r="B535" s="70">
        <f t="shared" si="24"/>
        <v>0</v>
      </c>
      <c r="C535" s="71"/>
      <c r="D535" s="59" t="s">
        <v>1024</v>
      </c>
      <c r="E535" s="60">
        <v>14510</v>
      </c>
      <c r="F535" s="10" t="s">
        <v>609</v>
      </c>
      <c r="G535" s="60">
        <v>805</v>
      </c>
      <c r="H535" s="81">
        <v>170</v>
      </c>
      <c r="I535" s="86" t="s">
        <v>110</v>
      </c>
      <c r="J535" s="81">
        <v>170</v>
      </c>
      <c r="K535" s="86" t="s">
        <v>110</v>
      </c>
      <c r="L535" s="81">
        <v>243</v>
      </c>
      <c r="M535" s="86" t="s">
        <v>110</v>
      </c>
      <c r="N535" s="81">
        <v>58582</v>
      </c>
      <c r="O535" s="86" t="s">
        <v>110</v>
      </c>
      <c r="P535" s="89">
        <f t="shared" si="25"/>
        <v>243</v>
      </c>
      <c r="Q535" s="89">
        <f t="shared" si="26"/>
        <v>58582</v>
      </c>
      <c r="R535" s="96" t="s">
        <v>94</v>
      </c>
      <c r="S535" s="96" t="s">
        <v>329</v>
      </c>
      <c r="T535" s="96" t="s">
        <v>94</v>
      </c>
      <c r="U535" s="96" t="s">
        <v>136</v>
      </c>
      <c r="V535" s="96" t="s">
        <v>94</v>
      </c>
      <c r="W535" s="96" t="s">
        <v>97</v>
      </c>
      <c r="X535" s="96" t="s">
        <v>290</v>
      </c>
      <c r="Y535" s="96" t="s">
        <v>110</v>
      </c>
      <c r="Z535" s="96" t="s">
        <v>110</v>
      </c>
      <c r="AA535" s="96" t="s">
        <v>610</v>
      </c>
      <c r="AB535" s="96" t="s">
        <v>110</v>
      </c>
      <c r="AC535" s="96" t="s">
        <v>611</v>
      </c>
      <c r="AD535" s="96" t="s">
        <v>612</v>
      </c>
      <c r="AE535" s="96" t="s">
        <v>613</v>
      </c>
      <c r="AF535" s="96" t="s">
        <v>614</v>
      </c>
      <c r="AG535" s="96" t="s">
        <v>615</v>
      </c>
      <c r="AH535" s="96">
        <v>2357</v>
      </c>
      <c r="AI535" s="96" t="s">
        <v>616</v>
      </c>
      <c r="AJ535" s="96" t="s">
        <v>617</v>
      </c>
      <c r="AK535" s="27" t="s">
        <v>110</v>
      </c>
    </row>
    <row r="536" spans="1:37">
      <c r="A536" s="70">
        <v>531</v>
      </c>
      <c r="B536" s="70">
        <f t="shared" si="24"/>
        <v>0</v>
      </c>
      <c r="C536" s="71"/>
      <c r="D536" s="59" t="s">
        <v>1024</v>
      </c>
      <c r="E536" s="60">
        <v>14263</v>
      </c>
      <c r="F536" s="10" t="s">
        <v>254</v>
      </c>
      <c r="G536" s="60">
        <v>812</v>
      </c>
      <c r="H536" s="81">
        <v>30</v>
      </c>
      <c r="I536" s="86" t="s">
        <v>110</v>
      </c>
      <c r="J536" s="81">
        <v>30</v>
      </c>
      <c r="K536" s="86" t="s">
        <v>110</v>
      </c>
      <c r="L536" s="81">
        <v>243</v>
      </c>
      <c r="M536" s="86" t="s">
        <v>110</v>
      </c>
      <c r="N536" s="81">
        <v>58866</v>
      </c>
      <c r="O536" s="86" t="s">
        <v>110</v>
      </c>
      <c r="P536" s="89">
        <f t="shared" si="25"/>
        <v>243</v>
      </c>
      <c r="Q536" s="89">
        <f t="shared" si="26"/>
        <v>58866</v>
      </c>
      <c r="R536" s="96" t="s">
        <v>94</v>
      </c>
      <c r="S536" s="96" t="s">
        <v>255</v>
      </c>
      <c r="T536" s="96" t="s">
        <v>94</v>
      </c>
      <c r="U536" s="96" t="s">
        <v>136</v>
      </c>
      <c r="V536" s="96" t="s">
        <v>94</v>
      </c>
      <c r="W536" s="96" t="s">
        <v>97</v>
      </c>
      <c r="X536" s="96" t="s">
        <v>169</v>
      </c>
      <c r="Y536" s="96" t="s">
        <v>256</v>
      </c>
      <c r="Z536" s="96" t="s">
        <v>257</v>
      </c>
      <c r="AA536" s="96" t="s">
        <v>258</v>
      </c>
      <c r="AB536" s="96" t="s">
        <v>259</v>
      </c>
      <c r="AC536" s="96" t="s">
        <v>260</v>
      </c>
      <c r="AD536" s="96" t="s">
        <v>261</v>
      </c>
      <c r="AE536" s="96" t="s">
        <v>262</v>
      </c>
      <c r="AF536" s="96" t="s">
        <v>263</v>
      </c>
      <c r="AG536" s="96" t="s">
        <v>264</v>
      </c>
      <c r="AH536" s="96">
        <v>1642</v>
      </c>
      <c r="AI536" s="96" t="s">
        <v>265</v>
      </c>
      <c r="AJ536" s="96" t="s">
        <v>266</v>
      </c>
      <c r="AK536" s="27" t="s">
        <v>110</v>
      </c>
    </row>
    <row r="537" spans="1:37">
      <c r="A537" s="70">
        <v>532</v>
      </c>
      <c r="B537" s="70">
        <f t="shared" si="24"/>
        <v>0</v>
      </c>
      <c r="C537" s="71"/>
      <c r="D537" s="59" t="s">
        <v>1024</v>
      </c>
      <c r="E537" s="60">
        <v>14311</v>
      </c>
      <c r="F537" s="10" t="s">
        <v>654</v>
      </c>
      <c r="G537" s="60">
        <v>801</v>
      </c>
      <c r="H537" s="81">
        <v>309</v>
      </c>
      <c r="I537" s="86">
        <v>37</v>
      </c>
      <c r="J537" s="81">
        <v>309</v>
      </c>
      <c r="K537" s="86">
        <v>37</v>
      </c>
      <c r="L537" s="81">
        <v>237</v>
      </c>
      <c r="M537" s="86">
        <v>226</v>
      </c>
      <c r="N537" s="81">
        <v>63901</v>
      </c>
      <c r="O537" s="86">
        <v>54757</v>
      </c>
      <c r="P537" s="89">
        <f t="shared" si="25"/>
        <v>231.5</v>
      </c>
      <c r="Q537" s="89">
        <f t="shared" si="26"/>
        <v>59329</v>
      </c>
      <c r="R537" s="96" t="s">
        <v>94</v>
      </c>
      <c r="S537" s="96" t="s">
        <v>168</v>
      </c>
      <c r="T537" s="96" t="s">
        <v>94</v>
      </c>
      <c r="U537" s="96" t="s">
        <v>136</v>
      </c>
      <c r="V537" s="96" t="s">
        <v>94</v>
      </c>
      <c r="W537" s="96" t="s">
        <v>97</v>
      </c>
      <c r="X537" s="96" t="s">
        <v>169</v>
      </c>
      <c r="Y537" s="96" t="s">
        <v>349</v>
      </c>
      <c r="Z537" s="96" t="s">
        <v>226</v>
      </c>
      <c r="AA537" s="96" t="s">
        <v>655</v>
      </c>
      <c r="AB537" s="96" t="s">
        <v>656</v>
      </c>
      <c r="AC537" s="96" t="s">
        <v>657</v>
      </c>
      <c r="AD537" s="96" t="s">
        <v>658</v>
      </c>
      <c r="AE537" s="96" t="s">
        <v>659</v>
      </c>
      <c r="AF537" s="96" t="s">
        <v>660</v>
      </c>
      <c r="AG537" s="96" t="s">
        <v>661</v>
      </c>
      <c r="AH537" s="96">
        <v>2106</v>
      </c>
      <c r="AI537" s="96" t="s">
        <v>662</v>
      </c>
      <c r="AJ537" s="96" t="s">
        <v>663</v>
      </c>
      <c r="AK537" s="27" t="s">
        <v>110</v>
      </c>
    </row>
    <row r="538" spans="1:37">
      <c r="A538" s="70">
        <v>533</v>
      </c>
      <c r="B538" s="70">
        <f t="shared" si="24"/>
        <v>0</v>
      </c>
      <c r="C538" s="71"/>
      <c r="D538" s="59" t="s">
        <v>1024</v>
      </c>
      <c r="E538" s="60">
        <v>10862</v>
      </c>
      <c r="F538" s="10" t="s">
        <v>278</v>
      </c>
      <c r="G538" s="60">
        <v>810</v>
      </c>
      <c r="H538" s="81">
        <v>215</v>
      </c>
      <c r="I538" s="86">
        <v>60</v>
      </c>
      <c r="J538" s="81">
        <v>215</v>
      </c>
      <c r="K538" s="86">
        <v>60</v>
      </c>
      <c r="L538" s="81">
        <v>260</v>
      </c>
      <c r="M538" s="86">
        <v>203</v>
      </c>
      <c r="N538" s="81">
        <v>45152</v>
      </c>
      <c r="O538" s="86">
        <v>73555</v>
      </c>
      <c r="P538" s="89">
        <f t="shared" si="25"/>
        <v>231.5</v>
      </c>
      <c r="Q538" s="89">
        <f t="shared" si="26"/>
        <v>59353.5</v>
      </c>
      <c r="R538" s="96" t="s">
        <v>94</v>
      </c>
      <c r="S538" s="96" t="s">
        <v>124</v>
      </c>
      <c r="T538" s="96" t="s">
        <v>94</v>
      </c>
      <c r="U538" s="96" t="s">
        <v>136</v>
      </c>
      <c r="V538" s="96" t="s">
        <v>94</v>
      </c>
      <c r="W538" s="96" t="s">
        <v>97</v>
      </c>
      <c r="X538" s="96" t="s">
        <v>98</v>
      </c>
      <c r="Y538" s="96" t="s">
        <v>192</v>
      </c>
      <c r="Z538" s="96" t="s">
        <v>193</v>
      </c>
      <c r="AA538" s="96" t="s">
        <v>279</v>
      </c>
      <c r="AB538" s="96" t="s">
        <v>280</v>
      </c>
      <c r="AC538" s="96" t="s">
        <v>281</v>
      </c>
      <c r="AD538" s="96" t="s">
        <v>282</v>
      </c>
      <c r="AE538" s="96" t="s">
        <v>283</v>
      </c>
      <c r="AF538" s="96" t="s">
        <v>284</v>
      </c>
      <c r="AG538" s="96" t="s">
        <v>285</v>
      </c>
      <c r="AH538" s="96">
        <v>1410</v>
      </c>
      <c r="AI538" s="96" t="s">
        <v>286</v>
      </c>
      <c r="AJ538" s="96" t="s">
        <v>287</v>
      </c>
      <c r="AK538" s="27" t="s">
        <v>110</v>
      </c>
    </row>
    <row r="539" spans="1:37">
      <c r="A539" s="70">
        <v>534</v>
      </c>
      <c r="B539" s="70">
        <f t="shared" si="24"/>
        <v>0</v>
      </c>
      <c r="C539" s="71"/>
      <c r="D539" s="59" t="s">
        <v>1024</v>
      </c>
      <c r="E539" s="60">
        <v>12765</v>
      </c>
      <c r="F539" s="10" t="s">
        <v>644</v>
      </c>
      <c r="G539" s="60">
        <v>811</v>
      </c>
      <c r="H539" s="81">
        <v>40</v>
      </c>
      <c r="I539" s="86" t="s">
        <v>110</v>
      </c>
      <c r="J539" s="81">
        <v>40</v>
      </c>
      <c r="K539" s="86" t="s">
        <v>110</v>
      </c>
      <c r="L539" s="81">
        <v>242</v>
      </c>
      <c r="M539" s="86" t="s">
        <v>110</v>
      </c>
      <c r="N539" s="81">
        <v>59394</v>
      </c>
      <c r="O539" s="86" t="s">
        <v>110</v>
      </c>
      <c r="P539" s="89">
        <f t="shared" si="25"/>
        <v>242</v>
      </c>
      <c r="Q539" s="89">
        <f t="shared" si="26"/>
        <v>59394</v>
      </c>
      <c r="R539" s="96" t="s">
        <v>94</v>
      </c>
      <c r="S539" s="96" t="s">
        <v>645</v>
      </c>
      <c r="T539" s="96" t="s">
        <v>94</v>
      </c>
      <c r="U539" s="96" t="s">
        <v>136</v>
      </c>
      <c r="V539" s="96" t="s">
        <v>94</v>
      </c>
      <c r="W539" s="96" t="s">
        <v>97</v>
      </c>
      <c r="X539" s="96" t="s">
        <v>500</v>
      </c>
      <c r="Y539" s="96" t="s">
        <v>110</v>
      </c>
      <c r="Z539" s="96" t="s">
        <v>148</v>
      </c>
      <c r="AA539" s="96" t="s">
        <v>646</v>
      </c>
      <c r="AB539" s="96" t="s">
        <v>647</v>
      </c>
      <c r="AC539" s="96" t="s">
        <v>648</v>
      </c>
      <c r="AD539" s="96" t="s">
        <v>649</v>
      </c>
      <c r="AE539" s="96" t="s">
        <v>650</v>
      </c>
      <c r="AF539" s="96" t="s">
        <v>651</v>
      </c>
      <c r="AG539" s="96" t="s">
        <v>110</v>
      </c>
      <c r="AH539" s="96">
        <v>2220</v>
      </c>
      <c r="AI539" s="96" t="s">
        <v>652</v>
      </c>
      <c r="AJ539" s="96" t="s">
        <v>653</v>
      </c>
      <c r="AK539" s="27" t="s">
        <v>110</v>
      </c>
    </row>
    <row r="540" spans="1:37">
      <c r="A540" s="70">
        <v>535</v>
      </c>
      <c r="B540" s="70">
        <f t="shared" si="24"/>
        <v>0</v>
      </c>
      <c r="C540" s="71"/>
      <c r="D540" s="59" t="s">
        <v>1024</v>
      </c>
      <c r="E540" s="60">
        <v>10862</v>
      </c>
      <c r="F540" s="10" t="s">
        <v>278</v>
      </c>
      <c r="G540" s="60">
        <v>812</v>
      </c>
      <c r="H540" s="81">
        <v>25</v>
      </c>
      <c r="I540" s="86" t="s">
        <v>110</v>
      </c>
      <c r="J540" s="81">
        <v>25</v>
      </c>
      <c r="K540" s="86" t="s">
        <v>110</v>
      </c>
      <c r="L540" s="81">
        <v>242</v>
      </c>
      <c r="M540" s="86" t="s">
        <v>110</v>
      </c>
      <c r="N540" s="81">
        <v>59487</v>
      </c>
      <c r="O540" s="86" t="s">
        <v>110</v>
      </c>
      <c r="P540" s="89">
        <f t="shared" si="25"/>
        <v>242</v>
      </c>
      <c r="Q540" s="89">
        <f t="shared" si="26"/>
        <v>59487</v>
      </c>
      <c r="R540" s="96" t="s">
        <v>94</v>
      </c>
      <c r="S540" s="96" t="s">
        <v>124</v>
      </c>
      <c r="T540" s="96" t="s">
        <v>94</v>
      </c>
      <c r="U540" s="96" t="s">
        <v>136</v>
      </c>
      <c r="V540" s="96" t="s">
        <v>94</v>
      </c>
      <c r="W540" s="96" t="s">
        <v>97</v>
      </c>
      <c r="X540" s="96" t="s">
        <v>98</v>
      </c>
      <c r="Y540" s="96" t="s">
        <v>192</v>
      </c>
      <c r="Z540" s="96" t="s">
        <v>193</v>
      </c>
      <c r="AA540" s="96" t="s">
        <v>279</v>
      </c>
      <c r="AB540" s="96" t="s">
        <v>280</v>
      </c>
      <c r="AC540" s="96" t="s">
        <v>281</v>
      </c>
      <c r="AD540" s="96" t="s">
        <v>282</v>
      </c>
      <c r="AE540" s="96" t="s">
        <v>283</v>
      </c>
      <c r="AF540" s="96" t="s">
        <v>284</v>
      </c>
      <c r="AG540" s="96" t="s">
        <v>285</v>
      </c>
      <c r="AH540" s="96">
        <v>1410</v>
      </c>
      <c r="AI540" s="96" t="s">
        <v>286</v>
      </c>
      <c r="AJ540" s="96" t="s">
        <v>287</v>
      </c>
      <c r="AK540" s="27" t="s">
        <v>110</v>
      </c>
    </row>
    <row r="541" spans="1:37">
      <c r="A541" s="70">
        <v>536</v>
      </c>
      <c r="B541" s="70">
        <f t="shared" si="24"/>
        <v>0</v>
      </c>
      <c r="C541" s="71"/>
      <c r="D541" s="59" t="s">
        <v>1024</v>
      </c>
      <c r="E541" s="60">
        <v>14587</v>
      </c>
      <c r="F541" s="10" t="s">
        <v>757</v>
      </c>
      <c r="G541" s="60">
        <v>802</v>
      </c>
      <c r="H541" s="81">
        <v>13</v>
      </c>
      <c r="I541" s="86">
        <v>40</v>
      </c>
      <c r="J541" s="81">
        <v>13</v>
      </c>
      <c r="K541" s="86">
        <v>40</v>
      </c>
      <c r="L541" s="81">
        <v>244</v>
      </c>
      <c r="M541" s="86">
        <v>218</v>
      </c>
      <c r="N541" s="81">
        <v>57998</v>
      </c>
      <c r="O541" s="86">
        <v>61094</v>
      </c>
      <c r="P541" s="89">
        <f t="shared" si="25"/>
        <v>231</v>
      </c>
      <c r="Q541" s="89">
        <f t="shared" si="26"/>
        <v>59546</v>
      </c>
      <c r="R541" s="96" t="s">
        <v>94</v>
      </c>
      <c r="S541" s="96" t="s">
        <v>320</v>
      </c>
      <c r="T541" s="96" t="s">
        <v>94</v>
      </c>
      <c r="U541" s="96" t="s">
        <v>136</v>
      </c>
      <c r="V541" s="96" t="s">
        <v>94</v>
      </c>
      <c r="W541" s="96" t="s">
        <v>97</v>
      </c>
      <c r="X541" s="96" t="s">
        <v>147</v>
      </c>
      <c r="Y541" s="96" t="s">
        <v>110</v>
      </c>
      <c r="Z541" s="96" t="s">
        <v>110</v>
      </c>
      <c r="AA541" s="96" t="s">
        <v>758</v>
      </c>
      <c r="AB541" s="96" t="s">
        <v>110</v>
      </c>
      <c r="AC541" s="96" t="s">
        <v>759</v>
      </c>
      <c r="AD541" s="96" t="s">
        <v>760</v>
      </c>
      <c r="AE541" s="96">
        <v>6686618889</v>
      </c>
      <c r="AF541" s="96" t="s">
        <v>761</v>
      </c>
      <c r="AG541" s="96" t="s">
        <v>762</v>
      </c>
      <c r="AH541" s="96">
        <v>2631</v>
      </c>
      <c r="AI541" s="96" t="s">
        <v>763</v>
      </c>
      <c r="AJ541" s="96" t="s">
        <v>764</v>
      </c>
      <c r="AK541" s="27" t="s">
        <v>110</v>
      </c>
    </row>
    <row r="542" spans="1:37">
      <c r="A542" s="70">
        <v>537</v>
      </c>
      <c r="B542" s="70">
        <f t="shared" si="24"/>
        <v>0</v>
      </c>
      <c r="C542" s="71"/>
      <c r="D542" s="59" t="s">
        <v>1024</v>
      </c>
      <c r="E542" s="60">
        <v>10862</v>
      </c>
      <c r="F542" s="10" t="s">
        <v>278</v>
      </c>
      <c r="G542" s="60">
        <v>803</v>
      </c>
      <c r="H542" s="81">
        <v>204</v>
      </c>
      <c r="I542" s="86">
        <v>42</v>
      </c>
      <c r="J542" s="81">
        <v>204</v>
      </c>
      <c r="K542" s="86">
        <v>42</v>
      </c>
      <c r="L542" s="81">
        <v>251</v>
      </c>
      <c r="M542" s="86">
        <v>210</v>
      </c>
      <c r="N542" s="81">
        <v>51846</v>
      </c>
      <c r="O542" s="86">
        <v>67621</v>
      </c>
      <c r="P542" s="89">
        <f t="shared" si="25"/>
        <v>230.5</v>
      </c>
      <c r="Q542" s="89">
        <f t="shared" si="26"/>
        <v>59733.5</v>
      </c>
      <c r="R542" s="96" t="s">
        <v>94</v>
      </c>
      <c r="S542" s="96" t="s">
        <v>124</v>
      </c>
      <c r="T542" s="96" t="s">
        <v>94</v>
      </c>
      <c r="U542" s="96" t="s">
        <v>136</v>
      </c>
      <c r="V542" s="96" t="s">
        <v>94</v>
      </c>
      <c r="W542" s="96" t="s">
        <v>97</v>
      </c>
      <c r="X542" s="96" t="s">
        <v>98</v>
      </c>
      <c r="Y542" s="96" t="s">
        <v>192</v>
      </c>
      <c r="Z542" s="96" t="s">
        <v>193</v>
      </c>
      <c r="AA542" s="96" t="s">
        <v>279</v>
      </c>
      <c r="AB542" s="96" t="s">
        <v>280</v>
      </c>
      <c r="AC542" s="96" t="s">
        <v>281</v>
      </c>
      <c r="AD542" s="96" t="s">
        <v>282</v>
      </c>
      <c r="AE542" s="96" t="s">
        <v>283</v>
      </c>
      <c r="AF542" s="96" t="s">
        <v>284</v>
      </c>
      <c r="AG542" s="96" t="s">
        <v>285</v>
      </c>
      <c r="AH542" s="96">
        <v>1410</v>
      </c>
      <c r="AI542" s="96" t="s">
        <v>286</v>
      </c>
      <c r="AJ542" s="96" t="s">
        <v>287</v>
      </c>
      <c r="AK542" s="27" t="s">
        <v>110</v>
      </c>
    </row>
    <row r="543" spans="1:37">
      <c r="A543" s="70">
        <v>538</v>
      </c>
      <c r="B543" s="70">
        <f t="shared" si="24"/>
        <v>0</v>
      </c>
      <c r="C543" s="71"/>
      <c r="D543" s="59" t="s">
        <v>1024</v>
      </c>
      <c r="E543" s="60">
        <v>14311</v>
      </c>
      <c r="F543" s="10" t="s">
        <v>654</v>
      </c>
      <c r="G543" s="60">
        <v>802</v>
      </c>
      <c r="H543" s="81">
        <v>299</v>
      </c>
      <c r="I543" s="86">
        <v>767</v>
      </c>
      <c r="J543" s="81">
        <v>299</v>
      </c>
      <c r="K543" s="86">
        <v>767</v>
      </c>
      <c r="L543" s="81">
        <v>245</v>
      </c>
      <c r="M543" s="86">
        <v>217</v>
      </c>
      <c r="N543" s="81">
        <v>57474</v>
      </c>
      <c r="O543" s="86">
        <v>62035</v>
      </c>
      <c r="P543" s="89">
        <f t="shared" si="25"/>
        <v>231</v>
      </c>
      <c r="Q543" s="89">
        <f t="shared" si="26"/>
        <v>59754.5</v>
      </c>
      <c r="R543" s="96" t="s">
        <v>94</v>
      </c>
      <c r="S543" s="96" t="s">
        <v>168</v>
      </c>
      <c r="T543" s="96" t="s">
        <v>94</v>
      </c>
      <c r="U543" s="96" t="s">
        <v>136</v>
      </c>
      <c r="V543" s="96" t="s">
        <v>94</v>
      </c>
      <c r="W543" s="96" t="s">
        <v>97</v>
      </c>
      <c r="X543" s="96" t="s">
        <v>169</v>
      </c>
      <c r="Y543" s="96" t="s">
        <v>349</v>
      </c>
      <c r="Z543" s="96" t="s">
        <v>226</v>
      </c>
      <c r="AA543" s="96" t="s">
        <v>655</v>
      </c>
      <c r="AB543" s="96" t="s">
        <v>656</v>
      </c>
      <c r="AC543" s="96" t="s">
        <v>657</v>
      </c>
      <c r="AD543" s="96" t="s">
        <v>658</v>
      </c>
      <c r="AE543" s="96" t="s">
        <v>659</v>
      </c>
      <c r="AF543" s="96" t="s">
        <v>660</v>
      </c>
      <c r="AG543" s="96" t="s">
        <v>661</v>
      </c>
      <c r="AH543" s="96">
        <v>2106</v>
      </c>
      <c r="AI543" s="96" t="s">
        <v>662</v>
      </c>
      <c r="AJ543" s="96" t="s">
        <v>663</v>
      </c>
      <c r="AK543" s="27" t="s">
        <v>110</v>
      </c>
    </row>
    <row r="544" spans="1:37">
      <c r="A544" s="70">
        <v>539</v>
      </c>
      <c r="B544" s="70">
        <f t="shared" si="24"/>
        <v>0</v>
      </c>
      <c r="C544" s="71"/>
      <c r="D544" s="59" t="s">
        <v>1024</v>
      </c>
      <c r="E544" s="60">
        <v>14760</v>
      </c>
      <c r="F544" s="10" t="s">
        <v>544</v>
      </c>
      <c r="G544" s="60">
        <v>802</v>
      </c>
      <c r="H544" s="81">
        <v>124</v>
      </c>
      <c r="I544" s="86">
        <v>320</v>
      </c>
      <c r="J544" s="81">
        <v>124</v>
      </c>
      <c r="K544" s="86">
        <v>320</v>
      </c>
      <c r="L544" s="81">
        <v>246</v>
      </c>
      <c r="M544" s="86">
        <v>215</v>
      </c>
      <c r="N544" s="81">
        <v>56454</v>
      </c>
      <c r="O544" s="86">
        <v>63094</v>
      </c>
      <c r="P544" s="89">
        <f t="shared" si="25"/>
        <v>230.5</v>
      </c>
      <c r="Q544" s="89">
        <f t="shared" si="26"/>
        <v>59774</v>
      </c>
      <c r="R544" s="96" t="s">
        <v>94</v>
      </c>
      <c r="S544" s="96" t="s">
        <v>447</v>
      </c>
      <c r="T544" s="96" t="s">
        <v>94</v>
      </c>
      <c r="U544" s="96" t="s">
        <v>136</v>
      </c>
      <c r="V544" s="96" t="s">
        <v>94</v>
      </c>
      <c r="W544" s="96" t="s">
        <v>97</v>
      </c>
      <c r="X544" s="96" t="s">
        <v>448</v>
      </c>
      <c r="Y544" s="96" t="s">
        <v>110</v>
      </c>
      <c r="Z544" s="96" t="s">
        <v>110</v>
      </c>
      <c r="AA544" s="96" t="s">
        <v>545</v>
      </c>
      <c r="AB544" s="96" t="s">
        <v>110</v>
      </c>
      <c r="AC544" s="96" t="s">
        <v>546</v>
      </c>
      <c r="AD544" s="96" t="s">
        <v>547</v>
      </c>
      <c r="AE544" s="96" t="s">
        <v>548</v>
      </c>
      <c r="AF544" s="96" t="s">
        <v>549</v>
      </c>
      <c r="AG544" s="96" t="s">
        <v>110</v>
      </c>
      <c r="AH544" s="96">
        <v>2689</v>
      </c>
      <c r="AI544" s="96" t="s">
        <v>550</v>
      </c>
      <c r="AJ544" s="96" t="s">
        <v>551</v>
      </c>
      <c r="AK544" s="27" t="s">
        <v>110</v>
      </c>
    </row>
    <row r="545" spans="1:37">
      <c r="A545" s="70">
        <v>540</v>
      </c>
      <c r="B545" s="70">
        <f t="shared" si="24"/>
        <v>0</v>
      </c>
      <c r="C545" s="71"/>
      <c r="D545" s="59" t="s">
        <v>1024</v>
      </c>
      <c r="E545" s="60">
        <v>12953</v>
      </c>
      <c r="F545" s="10" t="s">
        <v>420</v>
      </c>
      <c r="G545" s="60">
        <v>804</v>
      </c>
      <c r="H545" s="81">
        <v>150</v>
      </c>
      <c r="I545" s="86" t="s">
        <v>110</v>
      </c>
      <c r="J545" s="81">
        <v>150</v>
      </c>
      <c r="K545" s="86" t="s">
        <v>110</v>
      </c>
      <c r="L545" s="81">
        <v>242</v>
      </c>
      <c r="M545" s="86" t="s">
        <v>110</v>
      </c>
      <c r="N545" s="81">
        <v>59829</v>
      </c>
      <c r="O545" s="86" t="s">
        <v>110</v>
      </c>
      <c r="P545" s="89">
        <f t="shared" si="25"/>
        <v>242</v>
      </c>
      <c r="Q545" s="89">
        <f t="shared" si="26"/>
        <v>59829</v>
      </c>
      <c r="R545" s="96" t="s">
        <v>94</v>
      </c>
      <c r="S545" s="96" t="s">
        <v>124</v>
      </c>
      <c r="T545" s="96" t="s">
        <v>94</v>
      </c>
      <c r="U545" s="96" t="s">
        <v>136</v>
      </c>
      <c r="V545" s="96" t="s">
        <v>94</v>
      </c>
      <c r="W545" s="96" t="s">
        <v>97</v>
      </c>
      <c r="X545" s="96" t="s">
        <v>98</v>
      </c>
      <c r="Y545" s="96" t="s">
        <v>225</v>
      </c>
      <c r="Z545" s="96" t="s">
        <v>148</v>
      </c>
      <c r="AA545" s="96" t="s">
        <v>421</v>
      </c>
      <c r="AB545" s="96" t="s">
        <v>422</v>
      </c>
      <c r="AC545" s="96" t="s">
        <v>423</v>
      </c>
      <c r="AD545" s="96" t="s">
        <v>424</v>
      </c>
      <c r="AE545" s="96" t="s">
        <v>425</v>
      </c>
      <c r="AF545" s="96" t="s">
        <v>426</v>
      </c>
      <c r="AG545" s="96" t="s">
        <v>110</v>
      </c>
      <c r="AH545" s="96">
        <v>2506</v>
      </c>
      <c r="AI545" s="96" t="s">
        <v>427</v>
      </c>
      <c r="AJ545" s="96" t="s">
        <v>428</v>
      </c>
      <c r="AK545" s="27" t="s">
        <v>110</v>
      </c>
    </row>
    <row r="546" spans="1:37">
      <c r="A546" s="70">
        <v>541</v>
      </c>
      <c r="B546" s="70">
        <f t="shared" si="24"/>
        <v>0</v>
      </c>
      <c r="C546" s="71"/>
      <c r="D546" s="59" t="s">
        <v>1024</v>
      </c>
      <c r="E546" s="60">
        <v>14407</v>
      </c>
      <c r="F546" s="10" t="s">
        <v>701</v>
      </c>
      <c r="G546" s="60">
        <v>802</v>
      </c>
      <c r="H546" s="81">
        <v>59</v>
      </c>
      <c r="I546" s="86">
        <v>80</v>
      </c>
      <c r="J546" s="81">
        <v>59</v>
      </c>
      <c r="K546" s="86">
        <v>80</v>
      </c>
      <c r="L546" s="81">
        <v>241</v>
      </c>
      <c r="M546" s="86">
        <v>220</v>
      </c>
      <c r="N546" s="81">
        <v>60841</v>
      </c>
      <c r="O546" s="86">
        <v>59401</v>
      </c>
      <c r="P546" s="89">
        <f t="shared" si="25"/>
        <v>230.5</v>
      </c>
      <c r="Q546" s="89">
        <f t="shared" si="26"/>
        <v>60121</v>
      </c>
      <c r="R546" s="96" t="s">
        <v>94</v>
      </c>
      <c r="S546" s="96" t="s">
        <v>124</v>
      </c>
      <c r="T546" s="96" t="s">
        <v>94</v>
      </c>
      <c r="U546" s="96" t="s">
        <v>136</v>
      </c>
      <c r="V546" s="96" t="s">
        <v>94</v>
      </c>
      <c r="W546" s="96" t="s">
        <v>97</v>
      </c>
      <c r="X546" s="96" t="s">
        <v>98</v>
      </c>
      <c r="Y546" s="96" t="s">
        <v>110</v>
      </c>
      <c r="Z546" s="96" t="s">
        <v>148</v>
      </c>
      <c r="AA546" s="96" t="s">
        <v>702</v>
      </c>
      <c r="AB546" s="96" t="s">
        <v>110</v>
      </c>
      <c r="AC546" s="96" t="s">
        <v>703</v>
      </c>
      <c r="AD546" s="96" t="s">
        <v>704</v>
      </c>
      <c r="AE546" s="96" t="s">
        <v>705</v>
      </c>
      <c r="AF546" s="96" t="s">
        <v>706</v>
      </c>
      <c r="AG546" s="96" t="s">
        <v>110</v>
      </c>
      <c r="AH546" s="96">
        <v>2265</v>
      </c>
      <c r="AI546" s="96" t="s">
        <v>707</v>
      </c>
      <c r="AJ546" s="96" t="s">
        <v>708</v>
      </c>
      <c r="AK546" s="27" t="s">
        <v>110</v>
      </c>
    </row>
    <row r="547" spans="1:37">
      <c r="A547" s="70">
        <v>542</v>
      </c>
      <c r="B547" s="70">
        <f t="shared" si="24"/>
        <v>0</v>
      </c>
      <c r="C547" s="71"/>
      <c r="D547" s="59" t="s">
        <v>1024</v>
      </c>
      <c r="E547" s="60">
        <v>14664</v>
      </c>
      <c r="F547" s="10" t="s">
        <v>438</v>
      </c>
      <c r="G547" s="60">
        <v>801</v>
      </c>
      <c r="H547" s="81">
        <v>55</v>
      </c>
      <c r="I547" s="86">
        <v>50</v>
      </c>
      <c r="J547" s="81">
        <v>55</v>
      </c>
      <c r="K547" s="86">
        <v>50</v>
      </c>
      <c r="L547" s="81">
        <v>225</v>
      </c>
      <c r="M547" s="86">
        <v>237</v>
      </c>
      <c r="N547" s="81">
        <v>74291</v>
      </c>
      <c r="O547" s="86">
        <v>46850</v>
      </c>
      <c r="P547" s="89">
        <f t="shared" si="25"/>
        <v>231</v>
      </c>
      <c r="Q547" s="89">
        <f t="shared" si="26"/>
        <v>60570.5</v>
      </c>
      <c r="R547" s="96" t="s">
        <v>94</v>
      </c>
      <c r="S547" s="96" t="s">
        <v>237</v>
      </c>
      <c r="T547" s="96" t="s">
        <v>94</v>
      </c>
      <c r="U547" s="96" t="s">
        <v>136</v>
      </c>
      <c r="V547" s="96" t="s">
        <v>94</v>
      </c>
      <c r="W547" s="96" t="s">
        <v>97</v>
      </c>
      <c r="X547" s="96" t="s">
        <v>147</v>
      </c>
      <c r="Y547" s="96" t="s">
        <v>110</v>
      </c>
      <c r="Z547" s="96" t="s">
        <v>110</v>
      </c>
      <c r="AA547" s="96" t="s">
        <v>439</v>
      </c>
      <c r="AB547" s="96" t="s">
        <v>110</v>
      </c>
      <c r="AC547" s="96" t="s">
        <v>440</v>
      </c>
      <c r="AD547" s="96" t="s">
        <v>441</v>
      </c>
      <c r="AE547" s="96" t="s">
        <v>442</v>
      </c>
      <c r="AF547" s="96" t="s">
        <v>443</v>
      </c>
      <c r="AG547" s="96" t="s">
        <v>110</v>
      </c>
      <c r="AH547" s="96">
        <v>2851</v>
      </c>
      <c r="AI547" s="96" t="s">
        <v>444</v>
      </c>
      <c r="AJ547" s="96" t="s">
        <v>445</v>
      </c>
      <c r="AK547" s="27" t="s">
        <v>110</v>
      </c>
    </row>
    <row r="548" spans="1:37">
      <c r="A548" s="70">
        <v>543</v>
      </c>
      <c r="B548" s="70">
        <f t="shared" si="24"/>
        <v>0</v>
      </c>
      <c r="C548" s="71"/>
      <c r="D548" s="59" t="s">
        <v>1024</v>
      </c>
      <c r="E548" s="60">
        <v>14667</v>
      </c>
      <c r="F548" s="10" t="s">
        <v>626</v>
      </c>
      <c r="G548" s="60">
        <v>804</v>
      </c>
      <c r="H548" s="81">
        <v>124</v>
      </c>
      <c r="I548" s="86">
        <v>82</v>
      </c>
      <c r="J548" s="81">
        <v>124</v>
      </c>
      <c r="K548" s="86">
        <v>82</v>
      </c>
      <c r="L548" s="81">
        <v>233</v>
      </c>
      <c r="M548" s="86">
        <v>227</v>
      </c>
      <c r="N548" s="81">
        <v>67651</v>
      </c>
      <c r="O548" s="86">
        <v>53929</v>
      </c>
      <c r="P548" s="89">
        <f t="shared" si="25"/>
        <v>230</v>
      </c>
      <c r="Q548" s="89">
        <f t="shared" si="26"/>
        <v>60790</v>
      </c>
      <c r="R548" s="96" t="s">
        <v>94</v>
      </c>
      <c r="S548" s="96" t="s">
        <v>499</v>
      </c>
      <c r="T548" s="96" t="s">
        <v>94</v>
      </c>
      <c r="U548" s="96" t="s">
        <v>136</v>
      </c>
      <c r="V548" s="96" t="s">
        <v>94</v>
      </c>
      <c r="W548" s="96" t="s">
        <v>97</v>
      </c>
      <c r="X548" s="96" t="s">
        <v>500</v>
      </c>
      <c r="Y548" s="96" t="s">
        <v>382</v>
      </c>
      <c r="Z548" s="96" t="s">
        <v>110</v>
      </c>
      <c r="AA548" s="96" t="s">
        <v>627</v>
      </c>
      <c r="AB548" s="96" t="s">
        <v>110</v>
      </c>
      <c r="AC548" s="96" t="s">
        <v>628</v>
      </c>
      <c r="AD548" s="96" t="s">
        <v>629</v>
      </c>
      <c r="AE548" s="96" t="s">
        <v>630</v>
      </c>
      <c r="AF548" s="96" t="s">
        <v>631</v>
      </c>
      <c r="AG548" s="96" t="s">
        <v>110</v>
      </c>
      <c r="AH548" s="96">
        <v>1912</v>
      </c>
      <c r="AI548" s="96" t="s">
        <v>632</v>
      </c>
      <c r="AJ548" s="96" t="s">
        <v>633</v>
      </c>
      <c r="AK548" s="27" t="s">
        <v>110</v>
      </c>
    </row>
    <row r="549" spans="1:37">
      <c r="A549" s="70">
        <v>544</v>
      </c>
      <c r="B549" s="70">
        <f t="shared" si="24"/>
        <v>0</v>
      </c>
      <c r="C549" s="71"/>
      <c r="D549" s="59" t="s">
        <v>1024</v>
      </c>
      <c r="E549" s="60">
        <v>12958</v>
      </c>
      <c r="F549" s="10" t="s">
        <v>498</v>
      </c>
      <c r="G549" s="60">
        <v>811</v>
      </c>
      <c r="H549" s="81">
        <v>10</v>
      </c>
      <c r="I549" s="86">
        <v>50</v>
      </c>
      <c r="J549" s="81">
        <v>10</v>
      </c>
      <c r="K549" s="86">
        <v>50</v>
      </c>
      <c r="L549" s="81">
        <v>244</v>
      </c>
      <c r="M549" s="86">
        <v>215</v>
      </c>
      <c r="N549" s="81">
        <v>57935</v>
      </c>
      <c r="O549" s="86">
        <v>63789</v>
      </c>
      <c r="P549" s="89">
        <f t="shared" si="25"/>
        <v>229.5</v>
      </c>
      <c r="Q549" s="89">
        <f t="shared" si="26"/>
        <v>60862</v>
      </c>
      <c r="R549" s="96" t="s">
        <v>94</v>
      </c>
      <c r="S549" s="96" t="s">
        <v>499</v>
      </c>
      <c r="T549" s="96" t="s">
        <v>94</v>
      </c>
      <c r="U549" s="96" t="s">
        <v>136</v>
      </c>
      <c r="V549" s="96" t="s">
        <v>94</v>
      </c>
      <c r="W549" s="96" t="s">
        <v>97</v>
      </c>
      <c r="X549" s="96" t="s">
        <v>500</v>
      </c>
      <c r="Y549" s="96" t="s">
        <v>225</v>
      </c>
      <c r="Z549" s="96" t="s">
        <v>226</v>
      </c>
      <c r="AA549" s="96" t="s">
        <v>501</v>
      </c>
      <c r="AB549" s="96" t="s">
        <v>502</v>
      </c>
      <c r="AC549" s="96" t="s">
        <v>503</v>
      </c>
      <c r="AD549" s="96" t="s">
        <v>504</v>
      </c>
      <c r="AE549" s="96" t="s">
        <v>505</v>
      </c>
      <c r="AF549" s="96" t="s">
        <v>506</v>
      </c>
      <c r="AG549" s="96" t="s">
        <v>507</v>
      </c>
      <c r="AH549" s="96">
        <v>1527</v>
      </c>
      <c r="AI549" s="96" t="s">
        <v>508</v>
      </c>
      <c r="AJ549" s="96" t="s">
        <v>509</v>
      </c>
      <c r="AK549" s="27" t="s">
        <v>110</v>
      </c>
    </row>
    <row r="550" spans="1:37">
      <c r="A550" s="70">
        <v>545</v>
      </c>
      <c r="B550" s="70">
        <f t="shared" si="24"/>
        <v>0</v>
      </c>
      <c r="C550" s="71"/>
      <c r="D550" s="59" t="s">
        <v>1024</v>
      </c>
      <c r="E550" s="60">
        <v>14757</v>
      </c>
      <c r="F550" s="10" t="s">
        <v>749</v>
      </c>
      <c r="G550" s="60">
        <v>801</v>
      </c>
      <c r="H550" s="81">
        <v>555</v>
      </c>
      <c r="I550" s="86">
        <v>100</v>
      </c>
      <c r="J550" s="81">
        <v>555</v>
      </c>
      <c r="K550" s="86">
        <v>100</v>
      </c>
      <c r="L550" s="81">
        <v>210</v>
      </c>
      <c r="M550" s="86">
        <v>257</v>
      </c>
      <c r="N550" s="81">
        <v>88098</v>
      </c>
      <c r="O550" s="86">
        <v>34605</v>
      </c>
      <c r="P550" s="89">
        <f t="shared" si="25"/>
        <v>233.5</v>
      </c>
      <c r="Q550" s="89">
        <f t="shared" si="26"/>
        <v>61351.5</v>
      </c>
      <c r="R550" s="96" t="s">
        <v>94</v>
      </c>
      <c r="S550" s="96" t="s">
        <v>730</v>
      </c>
      <c r="T550" s="96" t="s">
        <v>94</v>
      </c>
      <c r="U550" s="96" t="s">
        <v>136</v>
      </c>
      <c r="V550" s="96" t="s">
        <v>94</v>
      </c>
      <c r="W550" s="96" t="s">
        <v>97</v>
      </c>
      <c r="X550" s="96" t="s">
        <v>147</v>
      </c>
      <c r="Y550" s="96" t="s">
        <v>110</v>
      </c>
      <c r="Z550" s="96" t="s">
        <v>110</v>
      </c>
      <c r="AA550" s="96" t="s">
        <v>750</v>
      </c>
      <c r="AB550" s="96" t="s">
        <v>110</v>
      </c>
      <c r="AC550" s="96" t="s">
        <v>751</v>
      </c>
      <c r="AD550" s="96" t="s">
        <v>752</v>
      </c>
      <c r="AE550" s="96" t="s">
        <v>753</v>
      </c>
      <c r="AF550" s="96" t="s">
        <v>754</v>
      </c>
      <c r="AG550" s="96" t="s">
        <v>110</v>
      </c>
      <c r="AH550" s="96">
        <v>2686</v>
      </c>
      <c r="AI550" s="96" t="s">
        <v>755</v>
      </c>
      <c r="AJ550" s="96" t="s">
        <v>756</v>
      </c>
      <c r="AK550" s="27" t="s">
        <v>110</v>
      </c>
    </row>
    <row r="551" spans="1:37">
      <c r="A551" s="70">
        <v>546</v>
      </c>
      <c r="B551" s="70">
        <f t="shared" si="24"/>
        <v>0</v>
      </c>
      <c r="C551" s="71"/>
      <c r="D551" s="59" t="s">
        <v>1024</v>
      </c>
      <c r="E551" s="60">
        <v>14509</v>
      </c>
      <c r="F551" s="10" t="s">
        <v>490</v>
      </c>
      <c r="G551" s="60">
        <v>802</v>
      </c>
      <c r="H551" s="81">
        <v>225</v>
      </c>
      <c r="I551" s="86">
        <v>141</v>
      </c>
      <c r="J551" s="81">
        <v>225</v>
      </c>
      <c r="K551" s="86">
        <v>141</v>
      </c>
      <c r="L551" s="81">
        <v>241</v>
      </c>
      <c r="M551" s="86">
        <v>215</v>
      </c>
      <c r="N551" s="81">
        <v>60490</v>
      </c>
      <c r="O551" s="86">
        <v>63781</v>
      </c>
      <c r="P551" s="89">
        <f t="shared" si="25"/>
        <v>228</v>
      </c>
      <c r="Q551" s="89">
        <f t="shared" si="26"/>
        <v>62135.5</v>
      </c>
      <c r="R551" s="96" t="s">
        <v>94</v>
      </c>
      <c r="S551" s="96" t="s">
        <v>124</v>
      </c>
      <c r="T551" s="96" t="s">
        <v>94</v>
      </c>
      <c r="U551" s="96" t="s">
        <v>136</v>
      </c>
      <c r="V551" s="96" t="s">
        <v>94</v>
      </c>
      <c r="W551" s="96" t="s">
        <v>97</v>
      </c>
      <c r="X551" s="96" t="s">
        <v>98</v>
      </c>
      <c r="Y551" s="96" t="s">
        <v>110</v>
      </c>
      <c r="Z551" s="96" t="s">
        <v>148</v>
      </c>
      <c r="AA551" s="96" t="s">
        <v>491</v>
      </c>
      <c r="AB551" s="96" t="s">
        <v>110</v>
      </c>
      <c r="AC551" s="96" t="s">
        <v>492</v>
      </c>
      <c r="AD551" s="96" t="s">
        <v>493</v>
      </c>
      <c r="AE551" s="96" t="s">
        <v>494</v>
      </c>
      <c r="AF551" s="96" t="s">
        <v>495</v>
      </c>
      <c r="AG551" s="96" t="s">
        <v>110</v>
      </c>
      <c r="AH551" s="96">
        <v>1977</v>
      </c>
      <c r="AI551" s="96" t="s">
        <v>496</v>
      </c>
      <c r="AJ551" s="96" t="s">
        <v>497</v>
      </c>
      <c r="AK551" s="27" t="s">
        <v>110</v>
      </c>
    </row>
    <row r="552" spans="1:37">
      <c r="A552" s="70">
        <v>547</v>
      </c>
      <c r="B552" s="70">
        <f t="shared" si="24"/>
        <v>0</v>
      </c>
      <c r="C552" s="71"/>
      <c r="D552" s="59" t="s">
        <v>1024</v>
      </c>
      <c r="E552" s="60">
        <v>14509</v>
      </c>
      <c r="F552" s="10" t="s">
        <v>490</v>
      </c>
      <c r="G552" s="60">
        <v>805</v>
      </c>
      <c r="H552" s="81">
        <v>353</v>
      </c>
      <c r="I552" s="86">
        <v>432</v>
      </c>
      <c r="J552" s="81">
        <v>353</v>
      </c>
      <c r="K552" s="86">
        <v>432</v>
      </c>
      <c r="L552" s="81">
        <v>238</v>
      </c>
      <c r="M552" s="86">
        <v>218</v>
      </c>
      <c r="N552" s="81">
        <v>63252</v>
      </c>
      <c r="O552" s="86">
        <v>61415</v>
      </c>
      <c r="P552" s="89">
        <f t="shared" si="25"/>
        <v>228</v>
      </c>
      <c r="Q552" s="89">
        <f t="shared" si="26"/>
        <v>62333.5</v>
      </c>
      <c r="R552" s="96" t="s">
        <v>94</v>
      </c>
      <c r="S552" s="96" t="s">
        <v>124</v>
      </c>
      <c r="T552" s="96" t="s">
        <v>94</v>
      </c>
      <c r="U552" s="96" t="s">
        <v>136</v>
      </c>
      <c r="V552" s="96" t="s">
        <v>94</v>
      </c>
      <c r="W552" s="96" t="s">
        <v>97</v>
      </c>
      <c r="X552" s="96" t="s">
        <v>98</v>
      </c>
      <c r="Y552" s="96" t="s">
        <v>110</v>
      </c>
      <c r="Z552" s="96" t="s">
        <v>148</v>
      </c>
      <c r="AA552" s="96" t="s">
        <v>491</v>
      </c>
      <c r="AB552" s="96" t="s">
        <v>110</v>
      </c>
      <c r="AC552" s="96" t="s">
        <v>492</v>
      </c>
      <c r="AD552" s="96" t="s">
        <v>493</v>
      </c>
      <c r="AE552" s="96" t="s">
        <v>494</v>
      </c>
      <c r="AF552" s="96" t="s">
        <v>495</v>
      </c>
      <c r="AG552" s="96" t="s">
        <v>110</v>
      </c>
      <c r="AH552" s="96">
        <v>1977</v>
      </c>
      <c r="AI552" s="96" t="s">
        <v>496</v>
      </c>
      <c r="AJ552" s="96" t="s">
        <v>497</v>
      </c>
      <c r="AK552" s="27" t="s">
        <v>110</v>
      </c>
    </row>
    <row r="553" spans="1:37">
      <c r="A553" s="70">
        <v>548</v>
      </c>
      <c r="B553" s="70">
        <f t="shared" si="24"/>
        <v>0</v>
      </c>
      <c r="C553" s="71"/>
      <c r="D553" s="59" t="s">
        <v>1024</v>
      </c>
      <c r="E553" s="60">
        <v>12958</v>
      </c>
      <c r="F553" s="10" t="s">
        <v>498</v>
      </c>
      <c r="G553" s="60">
        <v>803</v>
      </c>
      <c r="H553" s="81">
        <v>10</v>
      </c>
      <c r="I553" s="86">
        <v>70</v>
      </c>
      <c r="J553" s="81">
        <v>10</v>
      </c>
      <c r="K553" s="86">
        <v>70</v>
      </c>
      <c r="L553" s="81">
        <v>251</v>
      </c>
      <c r="M553" s="86">
        <v>204</v>
      </c>
      <c r="N553" s="81">
        <v>52309</v>
      </c>
      <c r="O553" s="86">
        <v>72576</v>
      </c>
      <c r="P553" s="89">
        <f t="shared" si="25"/>
        <v>227.5</v>
      </c>
      <c r="Q553" s="89">
        <f t="shared" si="26"/>
        <v>62442.5</v>
      </c>
      <c r="R553" s="96" t="s">
        <v>94</v>
      </c>
      <c r="S553" s="96" t="s">
        <v>499</v>
      </c>
      <c r="T553" s="96" t="s">
        <v>94</v>
      </c>
      <c r="U553" s="96" t="s">
        <v>136</v>
      </c>
      <c r="V553" s="96" t="s">
        <v>94</v>
      </c>
      <c r="W553" s="96" t="s">
        <v>97</v>
      </c>
      <c r="X553" s="96" t="s">
        <v>500</v>
      </c>
      <c r="Y553" s="96" t="s">
        <v>225</v>
      </c>
      <c r="Z553" s="96" t="s">
        <v>226</v>
      </c>
      <c r="AA553" s="96" t="s">
        <v>501</v>
      </c>
      <c r="AB553" s="96" t="s">
        <v>502</v>
      </c>
      <c r="AC553" s="96" t="s">
        <v>503</v>
      </c>
      <c r="AD553" s="96" t="s">
        <v>504</v>
      </c>
      <c r="AE553" s="96" t="s">
        <v>505</v>
      </c>
      <c r="AF553" s="96" t="s">
        <v>506</v>
      </c>
      <c r="AG553" s="96" t="s">
        <v>507</v>
      </c>
      <c r="AH553" s="96">
        <v>1527</v>
      </c>
      <c r="AI553" s="96" t="s">
        <v>508</v>
      </c>
      <c r="AJ553" s="96" t="s">
        <v>509</v>
      </c>
      <c r="AK553" s="27" t="s">
        <v>110</v>
      </c>
    </row>
    <row r="554" spans="1:37">
      <c r="A554" s="70">
        <v>549</v>
      </c>
      <c r="B554" s="70">
        <f t="shared" si="24"/>
        <v>0</v>
      </c>
      <c r="C554" s="71"/>
      <c r="D554" s="59" t="s">
        <v>1024</v>
      </c>
      <c r="E554" s="60">
        <v>12742</v>
      </c>
      <c r="F554" s="10" t="s">
        <v>469</v>
      </c>
      <c r="G554" s="60">
        <v>801</v>
      </c>
      <c r="H554" s="81">
        <v>265</v>
      </c>
      <c r="I554" s="86">
        <v>328</v>
      </c>
      <c r="J554" s="81">
        <v>265</v>
      </c>
      <c r="K554" s="86">
        <v>328</v>
      </c>
      <c r="L554" s="81">
        <v>236</v>
      </c>
      <c r="M554" s="86">
        <v>219</v>
      </c>
      <c r="N554" s="81">
        <v>64880</v>
      </c>
      <c r="O554" s="86">
        <v>60105</v>
      </c>
      <c r="P554" s="89">
        <f t="shared" si="25"/>
        <v>227.5</v>
      </c>
      <c r="Q554" s="89">
        <f t="shared" si="26"/>
        <v>62492.5</v>
      </c>
      <c r="R554" s="96" t="s">
        <v>94</v>
      </c>
      <c r="S554" s="96" t="s">
        <v>124</v>
      </c>
      <c r="T554" s="96" t="s">
        <v>94</v>
      </c>
      <c r="U554" s="96" t="s">
        <v>136</v>
      </c>
      <c r="V554" s="96" t="s">
        <v>94</v>
      </c>
      <c r="W554" s="96" t="s">
        <v>97</v>
      </c>
      <c r="X554" s="96" t="s">
        <v>98</v>
      </c>
      <c r="Y554" s="96" t="s">
        <v>110</v>
      </c>
      <c r="Z554" s="96" t="s">
        <v>110</v>
      </c>
      <c r="AA554" s="96" t="s">
        <v>470</v>
      </c>
      <c r="AB554" s="96" t="s">
        <v>471</v>
      </c>
      <c r="AC554" s="96" t="s">
        <v>472</v>
      </c>
      <c r="AD554" s="96" t="s">
        <v>473</v>
      </c>
      <c r="AE554" s="96" t="s">
        <v>474</v>
      </c>
      <c r="AF554" s="96" t="s">
        <v>475</v>
      </c>
      <c r="AG554" s="96" t="s">
        <v>110</v>
      </c>
      <c r="AH554" s="96">
        <v>2027</v>
      </c>
      <c r="AI554" s="96" t="s">
        <v>476</v>
      </c>
      <c r="AJ554" s="96" t="s">
        <v>477</v>
      </c>
      <c r="AK554" s="27" t="s">
        <v>110</v>
      </c>
    </row>
    <row r="555" spans="1:37">
      <c r="A555" s="70">
        <v>550</v>
      </c>
      <c r="B555" s="70">
        <f t="shared" si="24"/>
        <v>0</v>
      </c>
      <c r="C555" s="71"/>
      <c r="D555" s="59" t="s">
        <v>1024</v>
      </c>
      <c r="E555" s="60">
        <v>13709</v>
      </c>
      <c r="F555" s="10" t="s">
        <v>429</v>
      </c>
      <c r="G555" s="60">
        <v>803</v>
      </c>
      <c r="H555" s="81">
        <v>105</v>
      </c>
      <c r="I555" s="86">
        <v>36</v>
      </c>
      <c r="J555" s="81">
        <v>105</v>
      </c>
      <c r="K555" s="86">
        <v>36</v>
      </c>
      <c r="L555" s="81">
        <v>230</v>
      </c>
      <c r="M555" s="86">
        <v>225</v>
      </c>
      <c r="N555" s="81">
        <v>69854</v>
      </c>
      <c r="O555" s="86">
        <v>55357</v>
      </c>
      <c r="P555" s="89">
        <f t="shared" si="25"/>
        <v>227.5</v>
      </c>
      <c r="Q555" s="89">
        <f t="shared" si="26"/>
        <v>62605.5</v>
      </c>
      <c r="R555" s="96" t="s">
        <v>94</v>
      </c>
      <c r="S555" s="96" t="s">
        <v>124</v>
      </c>
      <c r="T555" s="96" t="s">
        <v>94</v>
      </c>
      <c r="U555" s="96" t="s">
        <v>136</v>
      </c>
      <c r="V555" s="96" t="s">
        <v>94</v>
      </c>
      <c r="W555" s="96" t="s">
        <v>97</v>
      </c>
      <c r="X555" s="96" t="s">
        <v>98</v>
      </c>
      <c r="Y555" s="96" t="s">
        <v>225</v>
      </c>
      <c r="Z555" s="96" t="s">
        <v>148</v>
      </c>
      <c r="AA555" s="96" t="s">
        <v>430</v>
      </c>
      <c r="AB555" s="96" t="s">
        <v>431</v>
      </c>
      <c r="AC555" s="96" t="s">
        <v>432</v>
      </c>
      <c r="AD555" s="96" t="s">
        <v>433</v>
      </c>
      <c r="AE555" s="96" t="s">
        <v>434</v>
      </c>
      <c r="AF555" s="96" t="s">
        <v>435</v>
      </c>
      <c r="AG555" s="96" t="s">
        <v>110</v>
      </c>
      <c r="AH555" s="96">
        <v>2369</v>
      </c>
      <c r="AI555" s="96" t="s">
        <v>436</v>
      </c>
      <c r="AJ555" s="96" t="s">
        <v>437</v>
      </c>
      <c r="AK555" s="27" t="s">
        <v>110</v>
      </c>
    </row>
    <row r="556" spans="1:37">
      <c r="A556" s="70">
        <v>551</v>
      </c>
      <c r="B556" s="70">
        <f t="shared" si="24"/>
        <v>0</v>
      </c>
      <c r="C556" s="71"/>
      <c r="D556" s="59" t="s">
        <v>1024</v>
      </c>
      <c r="E556" s="60">
        <v>12962</v>
      </c>
      <c r="F556" s="10" t="s">
        <v>691</v>
      </c>
      <c r="G556" s="60">
        <v>808</v>
      </c>
      <c r="H556" s="81">
        <v>80</v>
      </c>
      <c r="I556" s="86">
        <v>45</v>
      </c>
      <c r="J556" s="81">
        <v>80</v>
      </c>
      <c r="K556" s="86">
        <v>45</v>
      </c>
      <c r="L556" s="81">
        <v>235</v>
      </c>
      <c r="M556" s="86">
        <v>219</v>
      </c>
      <c r="N556" s="81">
        <v>65803</v>
      </c>
      <c r="O556" s="86">
        <v>60235</v>
      </c>
      <c r="P556" s="89">
        <f t="shared" si="25"/>
        <v>227</v>
      </c>
      <c r="Q556" s="89">
        <f t="shared" si="26"/>
        <v>63019</v>
      </c>
      <c r="R556" s="96" t="s">
        <v>94</v>
      </c>
      <c r="S556" s="96" t="s">
        <v>124</v>
      </c>
      <c r="T556" s="96" t="s">
        <v>94</v>
      </c>
      <c r="U556" s="96" t="s">
        <v>136</v>
      </c>
      <c r="V556" s="96" t="s">
        <v>94</v>
      </c>
      <c r="W556" s="96" t="s">
        <v>97</v>
      </c>
      <c r="X556" s="96" t="s">
        <v>98</v>
      </c>
      <c r="Y556" s="96" t="s">
        <v>382</v>
      </c>
      <c r="Z556" s="96" t="s">
        <v>110</v>
      </c>
      <c r="AA556" s="96" t="s">
        <v>692</v>
      </c>
      <c r="AB556" s="96" t="s">
        <v>693</v>
      </c>
      <c r="AC556" s="96" t="s">
        <v>694</v>
      </c>
      <c r="AD556" s="96" t="s">
        <v>695</v>
      </c>
      <c r="AE556" s="96" t="s">
        <v>696</v>
      </c>
      <c r="AF556" s="96" t="s">
        <v>697</v>
      </c>
      <c r="AG556" s="96" t="s">
        <v>698</v>
      </c>
      <c r="AH556" s="96">
        <v>1491</v>
      </c>
      <c r="AI556" s="96" t="s">
        <v>699</v>
      </c>
      <c r="AJ556" s="96" t="s">
        <v>700</v>
      </c>
      <c r="AK556" s="27" t="s">
        <v>110</v>
      </c>
    </row>
    <row r="557" spans="1:37">
      <c r="A557" s="70">
        <v>552</v>
      </c>
      <c r="B557" s="70">
        <f t="shared" si="24"/>
        <v>0</v>
      </c>
      <c r="C557" s="71"/>
      <c r="D557" s="59" t="s">
        <v>1024</v>
      </c>
      <c r="E557" s="60">
        <v>12958</v>
      </c>
      <c r="F557" s="10" t="s">
        <v>498</v>
      </c>
      <c r="G557" s="60">
        <v>806</v>
      </c>
      <c r="H557" s="81">
        <v>67</v>
      </c>
      <c r="I557" s="86">
        <v>157</v>
      </c>
      <c r="J557" s="81">
        <v>67</v>
      </c>
      <c r="K557" s="86">
        <v>157</v>
      </c>
      <c r="L557" s="81">
        <v>241</v>
      </c>
      <c r="M557" s="86">
        <v>212</v>
      </c>
      <c r="N557" s="81">
        <v>60721</v>
      </c>
      <c r="O557" s="86">
        <v>65603</v>
      </c>
      <c r="P557" s="89">
        <f t="shared" si="25"/>
        <v>226.5</v>
      </c>
      <c r="Q557" s="89">
        <f t="shared" si="26"/>
        <v>63162</v>
      </c>
      <c r="R557" s="96" t="s">
        <v>94</v>
      </c>
      <c r="S557" s="96" t="s">
        <v>499</v>
      </c>
      <c r="T557" s="96" t="s">
        <v>94</v>
      </c>
      <c r="U557" s="96" t="s">
        <v>136</v>
      </c>
      <c r="V557" s="96" t="s">
        <v>94</v>
      </c>
      <c r="W557" s="96" t="s">
        <v>97</v>
      </c>
      <c r="X557" s="96" t="s">
        <v>500</v>
      </c>
      <c r="Y557" s="96" t="s">
        <v>225</v>
      </c>
      <c r="Z557" s="96" t="s">
        <v>226</v>
      </c>
      <c r="AA557" s="96" t="s">
        <v>501</v>
      </c>
      <c r="AB557" s="96" t="s">
        <v>502</v>
      </c>
      <c r="AC557" s="96" t="s">
        <v>503</v>
      </c>
      <c r="AD557" s="96" t="s">
        <v>504</v>
      </c>
      <c r="AE557" s="96" t="s">
        <v>505</v>
      </c>
      <c r="AF557" s="96" t="s">
        <v>506</v>
      </c>
      <c r="AG557" s="96" t="s">
        <v>507</v>
      </c>
      <c r="AH557" s="96">
        <v>1527</v>
      </c>
      <c r="AI557" s="96" t="s">
        <v>508</v>
      </c>
      <c r="AJ557" s="96" t="s">
        <v>509</v>
      </c>
      <c r="AK557" s="27" t="s">
        <v>110</v>
      </c>
    </row>
    <row r="558" spans="1:37">
      <c r="A558" s="70">
        <v>553</v>
      </c>
      <c r="B558" s="70">
        <f t="shared" si="24"/>
        <v>0</v>
      </c>
      <c r="C558" s="71"/>
      <c r="D558" s="59" t="s">
        <v>1024</v>
      </c>
      <c r="E558" s="60">
        <v>12772</v>
      </c>
      <c r="F558" s="10" t="s">
        <v>561</v>
      </c>
      <c r="G558" s="60">
        <v>806</v>
      </c>
      <c r="H558" s="81">
        <v>55</v>
      </c>
      <c r="I558" s="86">
        <v>40</v>
      </c>
      <c r="J558" s="81">
        <v>55</v>
      </c>
      <c r="K558" s="86">
        <v>40</v>
      </c>
      <c r="L558" s="81">
        <v>217</v>
      </c>
      <c r="M558" s="86">
        <v>240</v>
      </c>
      <c r="N558" s="81">
        <v>81838</v>
      </c>
      <c r="O558" s="86">
        <v>44745</v>
      </c>
      <c r="P558" s="89">
        <f t="shared" si="25"/>
        <v>228.5</v>
      </c>
      <c r="Q558" s="89">
        <f t="shared" si="26"/>
        <v>63291.5</v>
      </c>
      <c r="R558" s="96" t="s">
        <v>94</v>
      </c>
      <c r="S558" s="96" t="s">
        <v>562</v>
      </c>
      <c r="T558" s="96" t="s">
        <v>94</v>
      </c>
      <c r="U558" s="96" t="s">
        <v>136</v>
      </c>
      <c r="V558" s="96" t="s">
        <v>94</v>
      </c>
      <c r="W558" s="96" t="s">
        <v>97</v>
      </c>
      <c r="X558" s="96" t="s">
        <v>500</v>
      </c>
      <c r="Y558" s="96" t="s">
        <v>225</v>
      </c>
      <c r="Z558" s="96" t="s">
        <v>226</v>
      </c>
      <c r="AA558" s="96" t="s">
        <v>563</v>
      </c>
      <c r="AB558" s="96" t="s">
        <v>564</v>
      </c>
      <c r="AC558" s="96" t="s">
        <v>565</v>
      </c>
      <c r="AD558" s="96" t="s">
        <v>566</v>
      </c>
      <c r="AE558" s="96" t="s">
        <v>567</v>
      </c>
      <c r="AF558" s="96" t="s">
        <v>568</v>
      </c>
      <c r="AG558" s="96" t="s">
        <v>569</v>
      </c>
      <c r="AH558" s="96">
        <v>1839</v>
      </c>
      <c r="AI558" s="96" t="s">
        <v>570</v>
      </c>
      <c r="AJ558" s="96" t="s">
        <v>571</v>
      </c>
      <c r="AK558" s="27" t="s">
        <v>110</v>
      </c>
    </row>
    <row r="559" spans="1:37">
      <c r="A559" s="70">
        <v>554</v>
      </c>
      <c r="B559" s="70">
        <f t="shared" si="24"/>
        <v>0</v>
      </c>
      <c r="C559" s="71"/>
      <c r="D559" s="59" t="s">
        <v>1024</v>
      </c>
      <c r="E559" s="60">
        <v>10833</v>
      </c>
      <c r="F559" s="10" t="s">
        <v>123</v>
      </c>
      <c r="G559" s="60">
        <v>802</v>
      </c>
      <c r="H559" s="81">
        <v>442</v>
      </c>
      <c r="I559" s="86">
        <v>40</v>
      </c>
      <c r="J559" s="81">
        <v>442</v>
      </c>
      <c r="K559" s="86">
        <v>40</v>
      </c>
      <c r="L559" s="81">
        <v>297</v>
      </c>
      <c r="M559" s="86">
        <v>174</v>
      </c>
      <c r="N559" s="81">
        <v>21969</v>
      </c>
      <c r="O559" s="86">
        <v>104908</v>
      </c>
      <c r="P559" s="89">
        <f t="shared" si="25"/>
        <v>235.5</v>
      </c>
      <c r="Q559" s="89">
        <f t="shared" si="26"/>
        <v>63438.5</v>
      </c>
      <c r="R559" s="96" t="s">
        <v>94</v>
      </c>
      <c r="S559" s="96" t="s">
        <v>124</v>
      </c>
      <c r="T559" s="96" t="s">
        <v>94</v>
      </c>
      <c r="U559" s="96" t="s">
        <v>96</v>
      </c>
      <c r="V559" s="96" t="s">
        <v>94</v>
      </c>
      <c r="W559" s="96" t="s">
        <v>97</v>
      </c>
      <c r="X559" s="96" t="s">
        <v>98</v>
      </c>
      <c r="Y559" s="96" t="s">
        <v>125</v>
      </c>
      <c r="Z559" s="96" t="s">
        <v>126</v>
      </c>
      <c r="AA559" s="96" t="s">
        <v>127</v>
      </c>
      <c r="AB559" s="96" t="s">
        <v>128</v>
      </c>
      <c r="AC559" s="96" t="s">
        <v>129</v>
      </c>
      <c r="AD559" s="96" t="s">
        <v>130</v>
      </c>
      <c r="AE559" s="96" t="s">
        <v>131</v>
      </c>
      <c r="AF559" s="96" t="s">
        <v>132</v>
      </c>
      <c r="AG559" s="96" t="s">
        <v>110</v>
      </c>
      <c r="AH559" s="96">
        <v>369</v>
      </c>
      <c r="AI559" s="96" t="s">
        <v>133</v>
      </c>
      <c r="AJ559" s="96" t="s">
        <v>134</v>
      </c>
      <c r="AK559" s="27" t="s">
        <v>110</v>
      </c>
    </row>
    <row r="560" spans="1:37">
      <c r="A560" s="70">
        <v>555</v>
      </c>
      <c r="B560" s="70">
        <f t="shared" si="24"/>
        <v>0</v>
      </c>
      <c r="C560" s="71"/>
      <c r="D560" s="59" t="s">
        <v>1024</v>
      </c>
      <c r="E560" s="60">
        <v>12742</v>
      </c>
      <c r="F560" s="10" t="s">
        <v>469</v>
      </c>
      <c r="G560" s="60">
        <v>803</v>
      </c>
      <c r="H560" s="81">
        <v>30</v>
      </c>
      <c r="I560" s="86" t="s">
        <v>110</v>
      </c>
      <c r="J560" s="81">
        <v>30</v>
      </c>
      <c r="K560" s="86" t="s">
        <v>110</v>
      </c>
      <c r="L560" s="81">
        <v>237</v>
      </c>
      <c r="M560" s="86" t="s">
        <v>110</v>
      </c>
      <c r="N560" s="81">
        <v>63518</v>
      </c>
      <c r="O560" s="86" t="s">
        <v>110</v>
      </c>
      <c r="P560" s="89">
        <f t="shared" si="25"/>
        <v>237</v>
      </c>
      <c r="Q560" s="89">
        <f t="shared" si="26"/>
        <v>63518</v>
      </c>
      <c r="R560" s="96" t="s">
        <v>94</v>
      </c>
      <c r="S560" s="96" t="s">
        <v>124</v>
      </c>
      <c r="T560" s="96" t="s">
        <v>94</v>
      </c>
      <c r="U560" s="96" t="s">
        <v>136</v>
      </c>
      <c r="V560" s="96" t="s">
        <v>94</v>
      </c>
      <c r="W560" s="96" t="s">
        <v>97</v>
      </c>
      <c r="X560" s="96" t="s">
        <v>98</v>
      </c>
      <c r="Y560" s="96" t="s">
        <v>110</v>
      </c>
      <c r="Z560" s="96" t="s">
        <v>110</v>
      </c>
      <c r="AA560" s="96" t="s">
        <v>470</v>
      </c>
      <c r="AB560" s="96" t="s">
        <v>471</v>
      </c>
      <c r="AC560" s="96" t="s">
        <v>472</v>
      </c>
      <c r="AD560" s="96" t="s">
        <v>473</v>
      </c>
      <c r="AE560" s="96" t="s">
        <v>474</v>
      </c>
      <c r="AF560" s="96" t="s">
        <v>475</v>
      </c>
      <c r="AG560" s="96" t="s">
        <v>110</v>
      </c>
      <c r="AH560" s="96">
        <v>2027</v>
      </c>
      <c r="AI560" s="96" t="s">
        <v>476</v>
      </c>
      <c r="AJ560" s="96" t="s">
        <v>477</v>
      </c>
      <c r="AK560" s="27" t="s">
        <v>110</v>
      </c>
    </row>
    <row r="561" spans="1:37">
      <c r="A561" s="70">
        <v>556</v>
      </c>
      <c r="B561" s="70">
        <f t="shared" si="24"/>
        <v>0</v>
      </c>
      <c r="C561" s="71"/>
      <c r="D561" s="59" t="s">
        <v>1024</v>
      </c>
      <c r="E561" s="60">
        <v>10862</v>
      </c>
      <c r="F561" s="10" t="s">
        <v>278</v>
      </c>
      <c r="G561" s="60">
        <v>815</v>
      </c>
      <c r="H561" s="81">
        <v>60</v>
      </c>
      <c r="I561" s="86" t="s">
        <v>110</v>
      </c>
      <c r="J561" s="81">
        <v>60</v>
      </c>
      <c r="K561" s="86" t="s">
        <v>110</v>
      </c>
      <c r="L561" s="81">
        <v>237</v>
      </c>
      <c r="M561" s="86" t="s">
        <v>110</v>
      </c>
      <c r="N561" s="81">
        <v>63671</v>
      </c>
      <c r="O561" s="86" t="s">
        <v>110</v>
      </c>
      <c r="P561" s="89">
        <f t="shared" si="25"/>
        <v>237</v>
      </c>
      <c r="Q561" s="89">
        <f t="shared" si="26"/>
        <v>63671</v>
      </c>
      <c r="R561" s="96" t="s">
        <v>94</v>
      </c>
      <c r="S561" s="96" t="s">
        <v>124</v>
      </c>
      <c r="T561" s="96" t="s">
        <v>94</v>
      </c>
      <c r="U561" s="96" t="s">
        <v>136</v>
      </c>
      <c r="V561" s="96" t="s">
        <v>94</v>
      </c>
      <c r="W561" s="96" t="s">
        <v>97</v>
      </c>
      <c r="X561" s="96" t="s">
        <v>98</v>
      </c>
      <c r="Y561" s="96" t="s">
        <v>192</v>
      </c>
      <c r="Z561" s="96" t="s">
        <v>193</v>
      </c>
      <c r="AA561" s="96" t="s">
        <v>279</v>
      </c>
      <c r="AB561" s="96" t="s">
        <v>280</v>
      </c>
      <c r="AC561" s="96" t="s">
        <v>281</v>
      </c>
      <c r="AD561" s="96" t="s">
        <v>282</v>
      </c>
      <c r="AE561" s="96" t="s">
        <v>283</v>
      </c>
      <c r="AF561" s="96" t="s">
        <v>284</v>
      </c>
      <c r="AG561" s="96" t="s">
        <v>285</v>
      </c>
      <c r="AH561" s="96">
        <v>1410</v>
      </c>
      <c r="AI561" s="96" t="s">
        <v>286</v>
      </c>
      <c r="AJ561" s="96" t="s">
        <v>287</v>
      </c>
      <c r="AK561" s="27" t="s">
        <v>110</v>
      </c>
    </row>
    <row r="562" spans="1:37">
      <c r="A562" s="70">
        <v>557</v>
      </c>
      <c r="B562" s="70">
        <f t="shared" si="24"/>
        <v>0</v>
      </c>
      <c r="C562" s="71"/>
      <c r="D562" s="59" t="s">
        <v>1024</v>
      </c>
      <c r="E562" s="60">
        <v>13711</v>
      </c>
      <c r="F562" s="10" t="s">
        <v>236</v>
      </c>
      <c r="G562" s="60">
        <v>810</v>
      </c>
      <c r="H562" s="81">
        <v>25</v>
      </c>
      <c r="I562" s="86">
        <v>20</v>
      </c>
      <c r="J562" s="81">
        <v>25</v>
      </c>
      <c r="K562" s="86">
        <v>20</v>
      </c>
      <c r="L562" s="81">
        <v>232</v>
      </c>
      <c r="M562" s="86">
        <v>221</v>
      </c>
      <c r="N562" s="81">
        <v>68607</v>
      </c>
      <c r="O562" s="86">
        <v>58815</v>
      </c>
      <c r="P562" s="89">
        <f t="shared" si="25"/>
        <v>226.5</v>
      </c>
      <c r="Q562" s="89">
        <f t="shared" si="26"/>
        <v>63711</v>
      </c>
      <c r="R562" s="96" t="s">
        <v>94</v>
      </c>
      <c r="S562" s="96" t="s">
        <v>237</v>
      </c>
      <c r="T562" s="96" t="s">
        <v>94</v>
      </c>
      <c r="U562" s="96" t="s">
        <v>136</v>
      </c>
      <c r="V562" s="96" t="s">
        <v>94</v>
      </c>
      <c r="W562" s="96" t="s">
        <v>97</v>
      </c>
      <c r="X562" s="96" t="s">
        <v>147</v>
      </c>
      <c r="Y562" s="96" t="s">
        <v>110</v>
      </c>
      <c r="Z562" s="96" t="s">
        <v>110</v>
      </c>
      <c r="AA562" s="96" t="s">
        <v>238</v>
      </c>
      <c r="AB562" s="96" t="s">
        <v>239</v>
      </c>
      <c r="AC562" s="96" t="s">
        <v>240</v>
      </c>
      <c r="AD562" s="96" t="s">
        <v>241</v>
      </c>
      <c r="AE562" s="96" t="s">
        <v>242</v>
      </c>
      <c r="AF562" s="96" t="s">
        <v>243</v>
      </c>
      <c r="AG562" s="96" t="s">
        <v>110</v>
      </c>
      <c r="AH562" s="96">
        <v>1606</v>
      </c>
      <c r="AI562" s="96" t="s">
        <v>244</v>
      </c>
      <c r="AJ562" s="96" t="s">
        <v>245</v>
      </c>
      <c r="AK562" s="27" t="s">
        <v>110</v>
      </c>
    </row>
    <row r="563" spans="1:37">
      <c r="A563" s="70">
        <v>558</v>
      </c>
      <c r="B563" s="70">
        <f t="shared" si="24"/>
        <v>0</v>
      </c>
      <c r="C563" s="71"/>
      <c r="D563" s="59" t="s">
        <v>1024</v>
      </c>
      <c r="E563" s="60">
        <v>14587</v>
      </c>
      <c r="F563" s="10" t="s">
        <v>757</v>
      </c>
      <c r="G563" s="60">
        <v>801</v>
      </c>
      <c r="H563" s="81">
        <v>54</v>
      </c>
      <c r="I563" s="86">
        <v>51</v>
      </c>
      <c r="J563" s="81">
        <v>54</v>
      </c>
      <c r="K563" s="86">
        <v>51</v>
      </c>
      <c r="L563" s="81">
        <v>227</v>
      </c>
      <c r="M563" s="86">
        <v>225</v>
      </c>
      <c r="N563" s="81">
        <v>72381</v>
      </c>
      <c r="O563" s="86">
        <v>55198</v>
      </c>
      <c r="P563" s="89">
        <f t="shared" si="25"/>
        <v>226</v>
      </c>
      <c r="Q563" s="89">
        <f t="shared" si="26"/>
        <v>63789.5</v>
      </c>
      <c r="R563" s="96" t="s">
        <v>94</v>
      </c>
      <c r="S563" s="96" t="s">
        <v>320</v>
      </c>
      <c r="T563" s="96" t="s">
        <v>94</v>
      </c>
      <c r="U563" s="96" t="s">
        <v>136</v>
      </c>
      <c r="V563" s="96" t="s">
        <v>94</v>
      </c>
      <c r="W563" s="96" t="s">
        <v>97</v>
      </c>
      <c r="X563" s="96" t="s">
        <v>147</v>
      </c>
      <c r="Y563" s="96" t="s">
        <v>110</v>
      </c>
      <c r="Z563" s="96" t="s">
        <v>110</v>
      </c>
      <c r="AA563" s="96" t="s">
        <v>758</v>
      </c>
      <c r="AB563" s="96" t="s">
        <v>110</v>
      </c>
      <c r="AC563" s="96" t="s">
        <v>759</v>
      </c>
      <c r="AD563" s="96" t="s">
        <v>760</v>
      </c>
      <c r="AE563" s="96">
        <v>6686618889</v>
      </c>
      <c r="AF563" s="96" t="s">
        <v>761</v>
      </c>
      <c r="AG563" s="96" t="s">
        <v>762</v>
      </c>
      <c r="AH563" s="96">
        <v>2631</v>
      </c>
      <c r="AI563" s="96" t="s">
        <v>763</v>
      </c>
      <c r="AJ563" s="96" t="s">
        <v>764</v>
      </c>
      <c r="AK563" s="27" t="s">
        <v>110</v>
      </c>
    </row>
    <row r="564" spans="1:37">
      <c r="A564" s="70">
        <v>559</v>
      </c>
      <c r="B564" s="70">
        <f t="shared" si="24"/>
        <v>0</v>
      </c>
      <c r="C564" s="71"/>
      <c r="D564" s="59" t="s">
        <v>1024</v>
      </c>
      <c r="E564" s="60">
        <v>10862</v>
      </c>
      <c r="F564" s="10" t="s">
        <v>278</v>
      </c>
      <c r="G564" s="60">
        <v>814</v>
      </c>
      <c r="H564" s="81">
        <v>35</v>
      </c>
      <c r="I564" s="86" t="s">
        <v>110</v>
      </c>
      <c r="J564" s="81">
        <v>35</v>
      </c>
      <c r="K564" s="86" t="s">
        <v>110</v>
      </c>
      <c r="L564" s="81">
        <v>237</v>
      </c>
      <c r="M564" s="86" t="s">
        <v>110</v>
      </c>
      <c r="N564" s="81">
        <v>63833</v>
      </c>
      <c r="O564" s="86" t="s">
        <v>110</v>
      </c>
      <c r="P564" s="89">
        <f t="shared" si="25"/>
        <v>237</v>
      </c>
      <c r="Q564" s="89">
        <f t="shared" si="26"/>
        <v>63833</v>
      </c>
      <c r="R564" s="96" t="s">
        <v>94</v>
      </c>
      <c r="S564" s="96" t="s">
        <v>124</v>
      </c>
      <c r="T564" s="96" t="s">
        <v>94</v>
      </c>
      <c r="U564" s="96" t="s">
        <v>136</v>
      </c>
      <c r="V564" s="96" t="s">
        <v>94</v>
      </c>
      <c r="W564" s="96" t="s">
        <v>97</v>
      </c>
      <c r="X564" s="96" t="s">
        <v>98</v>
      </c>
      <c r="Y564" s="96" t="s">
        <v>192</v>
      </c>
      <c r="Z564" s="96" t="s">
        <v>193</v>
      </c>
      <c r="AA564" s="96" t="s">
        <v>279</v>
      </c>
      <c r="AB564" s="96" t="s">
        <v>280</v>
      </c>
      <c r="AC564" s="96" t="s">
        <v>281</v>
      </c>
      <c r="AD564" s="96" t="s">
        <v>282</v>
      </c>
      <c r="AE564" s="96" t="s">
        <v>283</v>
      </c>
      <c r="AF564" s="96" t="s">
        <v>284</v>
      </c>
      <c r="AG564" s="96" t="s">
        <v>285</v>
      </c>
      <c r="AH564" s="96">
        <v>1410</v>
      </c>
      <c r="AI564" s="96" t="s">
        <v>286</v>
      </c>
      <c r="AJ564" s="96" t="s">
        <v>287</v>
      </c>
      <c r="AK564" s="27" t="s">
        <v>110</v>
      </c>
    </row>
    <row r="565" spans="1:37">
      <c r="A565" s="70">
        <v>560</v>
      </c>
      <c r="B565" s="70">
        <f t="shared" si="24"/>
        <v>0</v>
      </c>
      <c r="C565" s="71"/>
      <c r="D565" s="59" t="s">
        <v>1024</v>
      </c>
      <c r="E565" s="60">
        <v>14263</v>
      </c>
      <c r="F565" s="10" t="s">
        <v>254</v>
      </c>
      <c r="G565" s="60">
        <v>808</v>
      </c>
      <c r="H565" s="81">
        <v>60</v>
      </c>
      <c r="I565" s="86">
        <v>20</v>
      </c>
      <c r="J565" s="81">
        <v>60</v>
      </c>
      <c r="K565" s="86">
        <v>20</v>
      </c>
      <c r="L565" s="81">
        <v>216</v>
      </c>
      <c r="M565" s="86">
        <v>239</v>
      </c>
      <c r="N565" s="81">
        <v>82043</v>
      </c>
      <c r="O565" s="86">
        <v>45725</v>
      </c>
      <c r="P565" s="89">
        <f t="shared" si="25"/>
        <v>227.5</v>
      </c>
      <c r="Q565" s="89">
        <f t="shared" si="26"/>
        <v>63884</v>
      </c>
      <c r="R565" s="96" t="s">
        <v>94</v>
      </c>
      <c r="S565" s="96" t="s">
        <v>255</v>
      </c>
      <c r="T565" s="96" t="s">
        <v>94</v>
      </c>
      <c r="U565" s="96" t="s">
        <v>136</v>
      </c>
      <c r="V565" s="96" t="s">
        <v>94</v>
      </c>
      <c r="W565" s="96" t="s">
        <v>97</v>
      </c>
      <c r="X565" s="96" t="s">
        <v>169</v>
      </c>
      <c r="Y565" s="96" t="s">
        <v>256</v>
      </c>
      <c r="Z565" s="96" t="s">
        <v>257</v>
      </c>
      <c r="AA565" s="96" t="s">
        <v>258</v>
      </c>
      <c r="AB565" s="96" t="s">
        <v>259</v>
      </c>
      <c r="AC565" s="96" t="s">
        <v>260</v>
      </c>
      <c r="AD565" s="96" t="s">
        <v>261</v>
      </c>
      <c r="AE565" s="96" t="s">
        <v>262</v>
      </c>
      <c r="AF565" s="96" t="s">
        <v>263</v>
      </c>
      <c r="AG565" s="96" t="s">
        <v>264</v>
      </c>
      <c r="AH565" s="96">
        <v>1642</v>
      </c>
      <c r="AI565" s="96" t="s">
        <v>265</v>
      </c>
      <c r="AJ565" s="96" t="s">
        <v>266</v>
      </c>
      <c r="AK565" s="27" t="s">
        <v>110</v>
      </c>
    </row>
    <row r="566" spans="1:37">
      <c r="A566" s="70">
        <v>561</v>
      </c>
      <c r="B566" s="70">
        <f t="shared" si="24"/>
        <v>0</v>
      </c>
      <c r="C566" s="71"/>
      <c r="D566" s="59" t="s">
        <v>1024</v>
      </c>
      <c r="E566" s="60">
        <v>14510</v>
      </c>
      <c r="F566" s="10" t="s">
        <v>609</v>
      </c>
      <c r="G566" s="60">
        <v>801</v>
      </c>
      <c r="H566" s="81">
        <v>355</v>
      </c>
      <c r="I566" s="86">
        <v>995</v>
      </c>
      <c r="J566" s="81">
        <v>355</v>
      </c>
      <c r="K566" s="86">
        <v>995</v>
      </c>
      <c r="L566" s="81">
        <v>236</v>
      </c>
      <c r="M566" s="86">
        <v>215</v>
      </c>
      <c r="N566" s="81">
        <v>64302</v>
      </c>
      <c r="O566" s="86">
        <v>63704</v>
      </c>
      <c r="P566" s="89">
        <f t="shared" si="25"/>
        <v>225.5</v>
      </c>
      <c r="Q566" s="89">
        <f t="shared" si="26"/>
        <v>64003</v>
      </c>
      <c r="R566" s="96" t="s">
        <v>94</v>
      </c>
      <c r="S566" s="96" t="s">
        <v>329</v>
      </c>
      <c r="T566" s="96" t="s">
        <v>94</v>
      </c>
      <c r="U566" s="96" t="s">
        <v>136</v>
      </c>
      <c r="V566" s="96" t="s">
        <v>94</v>
      </c>
      <c r="W566" s="96" t="s">
        <v>97</v>
      </c>
      <c r="X566" s="96" t="s">
        <v>290</v>
      </c>
      <c r="Y566" s="96" t="s">
        <v>110</v>
      </c>
      <c r="Z566" s="96" t="s">
        <v>110</v>
      </c>
      <c r="AA566" s="96" t="s">
        <v>610</v>
      </c>
      <c r="AB566" s="96" t="s">
        <v>110</v>
      </c>
      <c r="AC566" s="96" t="s">
        <v>611</v>
      </c>
      <c r="AD566" s="96" t="s">
        <v>612</v>
      </c>
      <c r="AE566" s="96" t="s">
        <v>613</v>
      </c>
      <c r="AF566" s="96" t="s">
        <v>614</v>
      </c>
      <c r="AG566" s="96" t="s">
        <v>615</v>
      </c>
      <c r="AH566" s="96">
        <v>2357</v>
      </c>
      <c r="AI566" s="96" t="s">
        <v>616</v>
      </c>
      <c r="AJ566" s="96" t="s">
        <v>617</v>
      </c>
      <c r="AK566" s="27" t="s">
        <v>110</v>
      </c>
    </row>
    <row r="567" spans="1:37">
      <c r="A567" s="70">
        <v>562</v>
      </c>
      <c r="B567" s="70">
        <f t="shared" si="24"/>
        <v>0</v>
      </c>
      <c r="C567" s="71"/>
      <c r="D567" s="59" t="s">
        <v>1024</v>
      </c>
      <c r="E567" s="60">
        <v>14587</v>
      </c>
      <c r="F567" s="10" t="s">
        <v>757</v>
      </c>
      <c r="G567" s="60">
        <v>804</v>
      </c>
      <c r="H567" s="81">
        <v>12</v>
      </c>
      <c r="I567" s="86">
        <v>22</v>
      </c>
      <c r="J567" s="81">
        <v>12</v>
      </c>
      <c r="K567" s="86">
        <v>22</v>
      </c>
      <c r="L567" s="81">
        <v>236</v>
      </c>
      <c r="M567" s="86">
        <v>215</v>
      </c>
      <c r="N567" s="81">
        <v>65037</v>
      </c>
      <c r="O567" s="86">
        <v>63180</v>
      </c>
      <c r="P567" s="89">
        <f t="shared" si="25"/>
        <v>225.5</v>
      </c>
      <c r="Q567" s="89">
        <f t="shared" si="26"/>
        <v>64108.5</v>
      </c>
      <c r="R567" s="96" t="s">
        <v>94</v>
      </c>
      <c r="S567" s="96" t="s">
        <v>320</v>
      </c>
      <c r="T567" s="96" t="s">
        <v>94</v>
      </c>
      <c r="U567" s="96" t="s">
        <v>136</v>
      </c>
      <c r="V567" s="96" t="s">
        <v>94</v>
      </c>
      <c r="W567" s="96" t="s">
        <v>97</v>
      </c>
      <c r="X567" s="96" t="s">
        <v>147</v>
      </c>
      <c r="Y567" s="96" t="s">
        <v>110</v>
      </c>
      <c r="Z567" s="96" t="s">
        <v>110</v>
      </c>
      <c r="AA567" s="96" t="s">
        <v>758</v>
      </c>
      <c r="AB567" s="96" t="s">
        <v>110</v>
      </c>
      <c r="AC567" s="96" t="s">
        <v>759</v>
      </c>
      <c r="AD567" s="96" t="s">
        <v>760</v>
      </c>
      <c r="AE567" s="96">
        <v>6686618889</v>
      </c>
      <c r="AF567" s="96" t="s">
        <v>761</v>
      </c>
      <c r="AG567" s="96" t="s">
        <v>762</v>
      </c>
      <c r="AH567" s="96">
        <v>2631</v>
      </c>
      <c r="AI567" s="96" t="s">
        <v>763</v>
      </c>
      <c r="AJ567" s="96" t="s">
        <v>764</v>
      </c>
      <c r="AK567" s="27" t="s">
        <v>110</v>
      </c>
    </row>
    <row r="568" spans="1:37">
      <c r="A568" s="70">
        <v>563</v>
      </c>
      <c r="B568" s="70">
        <f t="shared" si="24"/>
        <v>0</v>
      </c>
      <c r="C568" s="71"/>
      <c r="D568" s="59" t="s">
        <v>1024</v>
      </c>
      <c r="E568" s="60">
        <v>12772</v>
      </c>
      <c r="F568" s="10" t="s">
        <v>561</v>
      </c>
      <c r="G568" s="60">
        <v>807</v>
      </c>
      <c r="H568" s="81">
        <v>361</v>
      </c>
      <c r="I568" s="86">
        <v>361</v>
      </c>
      <c r="J568" s="81">
        <v>361</v>
      </c>
      <c r="K568" s="86">
        <v>361</v>
      </c>
      <c r="L568" s="81">
        <v>238</v>
      </c>
      <c r="M568" s="86">
        <v>211</v>
      </c>
      <c r="N568" s="81">
        <v>62712</v>
      </c>
      <c r="O568" s="86">
        <v>66407</v>
      </c>
      <c r="P568" s="89">
        <f t="shared" si="25"/>
        <v>224.5</v>
      </c>
      <c r="Q568" s="89">
        <f t="shared" si="26"/>
        <v>64559.5</v>
      </c>
      <c r="R568" s="96" t="s">
        <v>94</v>
      </c>
      <c r="S568" s="96" t="s">
        <v>562</v>
      </c>
      <c r="T568" s="96" t="s">
        <v>94</v>
      </c>
      <c r="U568" s="96" t="s">
        <v>136</v>
      </c>
      <c r="V568" s="96" t="s">
        <v>94</v>
      </c>
      <c r="W568" s="96" t="s">
        <v>97</v>
      </c>
      <c r="X568" s="96" t="s">
        <v>500</v>
      </c>
      <c r="Y568" s="96" t="s">
        <v>225</v>
      </c>
      <c r="Z568" s="96" t="s">
        <v>226</v>
      </c>
      <c r="AA568" s="96" t="s">
        <v>563</v>
      </c>
      <c r="AB568" s="96" t="s">
        <v>564</v>
      </c>
      <c r="AC568" s="96" t="s">
        <v>565</v>
      </c>
      <c r="AD568" s="96" t="s">
        <v>566</v>
      </c>
      <c r="AE568" s="96" t="s">
        <v>567</v>
      </c>
      <c r="AF568" s="96" t="s">
        <v>568</v>
      </c>
      <c r="AG568" s="96" t="s">
        <v>569</v>
      </c>
      <c r="AH568" s="96">
        <v>1839</v>
      </c>
      <c r="AI568" s="96" t="s">
        <v>570</v>
      </c>
      <c r="AJ568" s="96" t="s">
        <v>571</v>
      </c>
      <c r="AK568" s="27" t="s">
        <v>110</v>
      </c>
    </row>
    <row r="569" spans="1:37">
      <c r="A569" s="70">
        <v>564</v>
      </c>
      <c r="B569" s="70">
        <f t="shared" si="24"/>
        <v>0</v>
      </c>
      <c r="C569" s="71"/>
      <c r="D569" s="59" t="s">
        <v>1024</v>
      </c>
      <c r="E569" s="60">
        <v>14509</v>
      </c>
      <c r="F569" s="10" t="s">
        <v>490</v>
      </c>
      <c r="G569" s="60">
        <v>801</v>
      </c>
      <c r="H569" s="81">
        <v>1047</v>
      </c>
      <c r="I569" s="86">
        <v>925</v>
      </c>
      <c r="J569" s="81">
        <v>1047</v>
      </c>
      <c r="K569" s="86">
        <v>925</v>
      </c>
      <c r="L569" s="81">
        <v>239</v>
      </c>
      <c r="M569" s="86">
        <v>211</v>
      </c>
      <c r="N569" s="81">
        <v>62034</v>
      </c>
      <c r="O569" s="86">
        <v>67197</v>
      </c>
      <c r="P569" s="89">
        <f t="shared" si="25"/>
        <v>225</v>
      </c>
      <c r="Q569" s="89">
        <f t="shared" si="26"/>
        <v>64615.5</v>
      </c>
      <c r="R569" s="96" t="s">
        <v>94</v>
      </c>
      <c r="S569" s="96" t="s">
        <v>124</v>
      </c>
      <c r="T569" s="96" t="s">
        <v>94</v>
      </c>
      <c r="U569" s="96" t="s">
        <v>136</v>
      </c>
      <c r="V569" s="96" t="s">
        <v>94</v>
      </c>
      <c r="W569" s="96" t="s">
        <v>97</v>
      </c>
      <c r="X569" s="96" t="s">
        <v>98</v>
      </c>
      <c r="Y569" s="96" t="s">
        <v>110</v>
      </c>
      <c r="Z569" s="96" t="s">
        <v>148</v>
      </c>
      <c r="AA569" s="96" t="s">
        <v>491</v>
      </c>
      <c r="AB569" s="96" t="s">
        <v>110</v>
      </c>
      <c r="AC569" s="96" t="s">
        <v>492</v>
      </c>
      <c r="AD569" s="96" t="s">
        <v>493</v>
      </c>
      <c r="AE569" s="96" t="s">
        <v>494</v>
      </c>
      <c r="AF569" s="96" t="s">
        <v>495</v>
      </c>
      <c r="AG569" s="96" t="s">
        <v>110</v>
      </c>
      <c r="AH569" s="96">
        <v>1977</v>
      </c>
      <c r="AI569" s="96" t="s">
        <v>496</v>
      </c>
      <c r="AJ569" s="96" t="s">
        <v>497</v>
      </c>
      <c r="AK569" s="27" t="s">
        <v>110</v>
      </c>
    </row>
    <row r="570" spans="1:37">
      <c r="A570" s="70">
        <v>565</v>
      </c>
      <c r="B570" s="70">
        <f t="shared" si="24"/>
        <v>0</v>
      </c>
      <c r="C570" s="71"/>
      <c r="D570" s="59" t="s">
        <v>1024</v>
      </c>
      <c r="E570" s="60">
        <v>14510</v>
      </c>
      <c r="F570" s="10" t="s">
        <v>609</v>
      </c>
      <c r="G570" s="60">
        <v>806</v>
      </c>
      <c r="H570" s="81">
        <v>135</v>
      </c>
      <c r="I570" s="86" t="s">
        <v>110</v>
      </c>
      <c r="J570" s="81">
        <v>135</v>
      </c>
      <c r="K570" s="86" t="s">
        <v>110</v>
      </c>
      <c r="L570" s="81">
        <v>236</v>
      </c>
      <c r="M570" s="86" t="s">
        <v>110</v>
      </c>
      <c r="N570" s="81">
        <v>64684</v>
      </c>
      <c r="O570" s="86" t="s">
        <v>110</v>
      </c>
      <c r="P570" s="89">
        <f t="shared" si="25"/>
        <v>236</v>
      </c>
      <c r="Q570" s="89">
        <f t="shared" si="26"/>
        <v>64684</v>
      </c>
      <c r="R570" s="96" t="s">
        <v>94</v>
      </c>
      <c r="S570" s="96" t="s">
        <v>329</v>
      </c>
      <c r="T570" s="96" t="s">
        <v>94</v>
      </c>
      <c r="U570" s="96" t="s">
        <v>136</v>
      </c>
      <c r="V570" s="96" t="s">
        <v>94</v>
      </c>
      <c r="W570" s="96" t="s">
        <v>97</v>
      </c>
      <c r="X570" s="96" t="s">
        <v>290</v>
      </c>
      <c r="Y570" s="96" t="s">
        <v>110</v>
      </c>
      <c r="Z570" s="96" t="s">
        <v>110</v>
      </c>
      <c r="AA570" s="96" t="s">
        <v>610</v>
      </c>
      <c r="AB570" s="96" t="s">
        <v>110</v>
      </c>
      <c r="AC570" s="96" t="s">
        <v>611</v>
      </c>
      <c r="AD570" s="96" t="s">
        <v>612</v>
      </c>
      <c r="AE570" s="96" t="s">
        <v>613</v>
      </c>
      <c r="AF570" s="96" t="s">
        <v>614</v>
      </c>
      <c r="AG570" s="96" t="s">
        <v>615</v>
      </c>
      <c r="AH570" s="96">
        <v>2357</v>
      </c>
      <c r="AI570" s="96" t="s">
        <v>616</v>
      </c>
      <c r="AJ570" s="96" t="s">
        <v>617</v>
      </c>
      <c r="AK570" s="27" t="s">
        <v>110</v>
      </c>
    </row>
    <row r="571" spans="1:37">
      <c r="A571" s="70">
        <v>566</v>
      </c>
      <c r="B571" s="70">
        <f t="shared" si="24"/>
        <v>0</v>
      </c>
      <c r="C571" s="71"/>
      <c r="D571" s="59" t="s">
        <v>1024</v>
      </c>
      <c r="E571" s="60">
        <v>14311</v>
      </c>
      <c r="F571" s="10" t="s">
        <v>654</v>
      </c>
      <c r="G571" s="60">
        <v>804</v>
      </c>
      <c r="H571" s="81">
        <v>45</v>
      </c>
      <c r="I571" s="86">
        <v>130</v>
      </c>
      <c r="J571" s="81">
        <v>45</v>
      </c>
      <c r="K571" s="86">
        <v>130</v>
      </c>
      <c r="L571" s="81">
        <v>237</v>
      </c>
      <c r="M571" s="86">
        <v>212</v>
      </c>
      <c r="N571" s="81">
        <v>63560</v>
      </c>
      <c r="O571" s="86">
        <v>65815</v>
      </c>
      <c r="P571" s="89">
        <f t="shared" si="25"/>
        <v>224.5</v>
      </c>
      <c r="Q571" s="89">
        <f t="shared" si="26"/>
        <v>64687.5</v>
      </c>
      <c r="R571" s="96" t="s">
        <v>94</v>
      </c>
      <c r="S571" s="96" t="s">
        <v>168</v>
      </c>
      <c r="T571" s="96" t="s">
        <v>94</v>
      </c>
      <c r="U571" s="96" t="s">
        <v>136</v>
      </c>
      <c r="V571" s="96" t="s">
        <v>94</v>
      </c>
      <c r="W571" s="96" t="s">
        <v>97</v>
      </c>
      <c r="X571" s="96" t="s">
        <v>169</v>
      </c>
      <c r="Y571" s="96" t="s">
        <v>349</v>
      </c>
      <c r="Z571" s="96" t="s">
        <v>226</v>
      </c>
      <c r="AA571" s="96" t="s">
        <v>655</v>
      </c>
      <c r="AB571" s="96" t="s">
        <v>656</v>
      </c>
      <c r="AC571" s="96" t="s">
        <v>657</v>
      </c>
      <c r="AD571" s="96" t="s">
        <v>658</v>
      </c>
      <c r="AE571" s="96" t="s">
        <v>659</v>
      </c>
      <c r="AF571" s="96" t="s">
        <v>660</v>
      </c>
      <c r="AG571" s="96" t="s">
        <v>661</v>
      </c>
      <c r="AH571" s="96">
        <v>2106</v>
      </c>
      <c r="AI571" s="96" t="s">
        <v>662</v>
      </c>
      <c r="AJ571" s="96" t="s">
        <v>663</v>
      </c>
      <c r="AK571" s="27" t="s">
        <v>110</v>
      </c>
    </row>
    <row r="572" spans="1:37">
      <c r="A572" s="70">
        <v>567</v>
      </c>
      <c r="B572" s="70">
        <f t="shared" si="24"/>
        <v>0</v>
      </c>
      <c r="C572" s="71"/>
      <c r="D572" s="59" t="s">
        <v>1024</v>
      </c>
      <c r="E572" s="60">
        <v>50853</v>
      </c>
      <c r="F572" s="10" t="s">
        <v>740</v>
      </c>
      <c r="G572" s="60">
        <v>801</v>
      </c>
      <c r="H572" s="81">
        <v>237</v>
      </c>
      <c r="I572" s="86">
        <v>223</v>
      </c>
      <c r="J572" s="81">
        <v>237</v>
      </c>
      <c r="K572" s="86">
        <v>223</v>
      </c>
      <c r="L572" s="81">
        <v>216</v>
      </c>
      <c r="M572" s="86">
        <v>237</v>
      </c>
      <c r="N572" s="81">
        <v>82411</v>
      </c>
      <c r="O572" s="86">
        <v>47135</v>
      </c>
      <c r="P572" s="89">
        <f t="shared" si="25"/>
        <v>226.5</v>
      </c>
      <c r="Q572" s="89">
        <f t="shared" si="26"/>
        <v>64773</v>
      </c>
      <c r="R572" s="96" t="s">
        <v>94</v>
      </c>
      <c r="S572" s="96" t="s">
        <v>741</v>
      </c>
      <c r="T572" s="96" t="s">
        <v>94</v>
      </c>
      <c r="U572" s="96" t="s">
        <v>136</v>
      </c>
      <c r="V572" s="96" t="s">
        <v>94</v>
      </c>
      <c r="W572" s="96" t="s">
        <v>97</v>
      </c>
      <c r="X572" s="96" t="s">
        <v>147</v>
      </c>
      <c r="Y572" s="96" t="s">
        <v>110</v>
      </c>
      <c r="Z572" s="96" t="s">
        <v>110</v>
      </c>
      <c r="AA572" s="96" t="s">
        <v>742</v>
      </c>
      <c r="AB572" s="96" t="s">
        <v>110</v>
      </c>
      <c r="AC572" s="96" t="s">
        <v>743</v>
      </c>
      <c r="AD572" s="96" t="s">
        <v>744</v>
      </c>
      <c r="AE572" s="96" t="s">
        <v>745</v>
      </c>
      <c r="AF572" s="96" t="s">
        <v>746</v>
      </c>
      <c r="AG572" s="96" t="s">
        <v>110</v>
      </c>
      <c r="AH572" s="96">
        <v>2633</v>
      </c>
      <c r="AI572" s="96" t="s">
        <v>747</v>
      </c>
      <c r="AJ572" s="96" t="s">
        <v>748</v>
      </c>
      <c r="AK572" s="27" t="s">
        <v>110</v>
      </c>
    </row>
    <row r="573" spans="1:37">
      <c r="A573" s="70">
        <v>568</v>
      </c>
      <c r="B573" s="70">
        <f t="shared" si="24"/>
        <v>0</v>
      </c>
      <c r="C573" s="71"/>
      <c r="D573" s="59" t="s">
        <v>1024</v>
      </c>
      <c r="E573" s="60">
        <v>14610</v>
      </c>
      <c r="F573" s="10" t="s">
        <v>510</v>
      </c>
      <c r="G573" s="60">
        <v>802</v>
      </c>
      <c r="H573" s="81">
        <v>1340</v>
      </c>
      <c r="I573" s="86" t="s">
        <v>110</v>
      </c>
      <c r="J573" s="81">
        <v>1340</v>
      </c>
      <c r="K573" s="86" t="s">
        <v>110</v>
      </c>
      <c r="L573" s="81">
        <v>236</v>
      </c>
      <c r="M573" s="86" t="s">
        <v>110</v>
      </c>
      <c r="N573" s="81">
        <v>64954</v>
      </c>
      <c r="O573" s="86" t="s">
        <v>110</v>
      </c>
      <c r="P573" s="89">
        <f t="shared" si="25"/>
        <v>236</v>
      </c>
      <c r="Q573" s="89">
        <f t="shared" si="26"/>
        <v>64954</v>
      </c>
      <c r="R573" s="96" t="s">
        <v>94</v>
      </c>
      <c r="S573" s="96" t="s">
        <v>237</v>
      </c>
      <c r="T573" s="96" t="s">
        <v>94</v>
      </c>
      <c r="U573" s="96" t="s">
        <v>136</v>
      </c>
      <c r="V573" s="96" t="s">
        <v>94</v>
      </c>
      <c r="W573" s="96" t="s">
        <v>97</v>
      </c>
      <c r="X573" s="96" t="s">
        <v>147</v>
      </c>
      <c r="Y573" s="96" t="s">
        <v>110</v>
      </c>
      <c r="Z573" s="96" t="s">
        <v>511</v>
      </c>
      <c r="AA573" s="96" t="s">
        <v>512</v>
      </c>
      <c r="AB573" s="96" t="s">
        <v>110</v>
      </c>
      <c r="AC573" s="96" t="s">
        <v>513</v>
      </c>
      <c r="AD573" s="96" t="s">
        <v>514</v>
      </c>
      <c r="AE573" s="96" t="s">
        <v>515</v>
      </c>
      <c r="AF573" s="96" t="s">
        <v>516</v>
      </c>
      <c r="AG573" s="96" t="s">
        <v>110</v>
      </c>
      <c r="AH573" s="96">
        <v>1317</v>
      </c>
      <c r="AI573" s="96" t="s">
        <v>517</v>
      </c>
      <c r="AJ573" s="96" t="s">
        <v>518</v>
      </c>
      <c r="AK573" s="27" t="s">
        <v>110</v>
      </c>
    </row>
    <row r="574" spans="1:37">
      <c r="A574" s="70">
        <v>569</v>
      </c>
      <c r="B574" s="70">
        <f t="shared" si="24"/>
        <v>0</v>
      </c>
      <c r="C574" s="71"/>
      <c r="D574" s="59" t="s">
        <v>1024</v>
      </c>
      <c r="E574" s="60">
        <v>14556</v>
      </c>
      <c r="F574" s="10" t="s">
        <v>319</v>
      </c>
      <c r="G574" s="60">
        <v>801</v>
      </c>
      <c r="H574" s="81">
        <v>850</v>
      </c>
      <c r="I574" s="86">
        <v>910</v>
      </c>
      <c r="J574" s="81">
        <v>850</v>
      </c>
      <c r="K574" s="86">
        <v>910</v>
      </c>
      <c r="L574" s="81">
        <v>230</v>
      </c>
      <c r="M574" s="86">
        <v>218</v>
      </c>
      <c r="N574" s="81">
        <v>69789</v>
      </c>
      <c r="O574" s="86">
        <v>61368</v>
      </c>
      <c r="P574" s="89">
        <f t="shared" si="25"/>
        <v>224</v>
      </c>
      <c r="Q574" s="89">
        <f t="shared" si="26"/>
        <v>65578.5</v>
      </c>
      <c r="R574" s="96" t="s">
        <v>94</v>
      </c>
      <c r="S574" s="96" t="s">
        <v>320</v>
      </c>
      <c r="T574" s="96" t="s">
        <v>94</v>
      </c>
      <c r="U574" s="96" t="s">
        <v>136</v>
      </c>
      <c r="V574" s="96" t="s">
        <v>94</v>
      </c>
      <c r="W574" s="96" t="s">
        <v>97</v>
      </c>
      <c r="X574" s="96" t="s">
        <v>147</v>
      </c>
      <c r="Y574" s="96" t="s">
        <v>110</v>
      </c>
      <c r="Z574" s="96" t="s">
        <v>148</v>
      </c>
      <c r="AA574" s="96" t="s">
        <v>321</v>
      </c>
      <c r="AB574" s="96" t="s">
        <v>110</v>
      </c>
      <c r="AC574" s="96" t="s">
        <v>322</v>
      </c>
      <c r="AD574" s="96" t="s">
        <v>323</v>
      </c>
      <c r="AE574" s="96" t="s">
        <v>324</v>
      </c>
      <c r="AF574" s="96" t="s">
        <v>325</v>
      </c>
      <c r="AG574" s="96" t="s">
        <v>110</v>
      </c>
      <c r="AH574" s="96">
        <v>2591</v>
      </c>
      <c r="AI574" s="96" t="s">
        <v>326</v>
      </c>
      <c r="AJ574" s="96" t="s">
        <v>327</v>
      </c>
      <c r="AK574" s="27" t="s">
        <v>110</v>
      </c>
    </row>
    <row r="575" spans="1:37">
      <c r="A575" s="70">
        <v>570</v>
      </c>
      <c r="B575" s="70">
        <f t="shared" si="24"/>
        <v>0</v>
      </c>
      <c r="C575" s="71"/>
      <c r="D575" s="59" t="s">
        <v>1024</v>
      </c>
      <c r="E575" s="60">
        <v>14758</v>
      </c>
      <c r="F575" s="10" t="s">
        <v>682</v>
      </c>
      <c r="G575" s="60">
        <v>802</v>
      </c>
      <c r="H575" s="81">
        <v>300</v>
      </c>
      <c r="I575" s="86">
        <v>198</v>
      </c>
      <c r="J575" s="81">
        <v>300</v>
      </c>
      <c r="K575" s="86">
        <v>198</v>
      </c>
      <c r="L575" s="81">
        <v>232</v>
      </c>
      <c r="M575" s="86">
        <v>215</v>
      </c>
      <c r="N575" s="81">
        <v>67829</v>
      </c>
      <c r="O575" s="86">
        <v>63453</v>
      </c>
      <c r="P575" s="89">
        <f t="shared" si="25"/>
        <v>223.5</v>
      </c>
      <c r="Q575" s="89">
        <f t="shared" si="26"/>
        <v>65641</v>
      </c>
      <c r="R575" s="96" t="s">
        <v>94</v>
      </c>
      <c r="S575" s="96" t="s">
        <v>683</v>
      </c>
      <c r="T575" s="96" t="s">
        <v>94</v>
      </c>
      <c r="U575" s="96" t="s">
        <v>136</v>
      </c>
      <c r="V575" s="96" t="s">
        <v>94</v>
      </c>
      <c r="W575" s="96" t="s">
        <v>97</v>
      </c>
      <c r="X575" s="96" t="s">
        <v>500</v>
      </c>
      <c r="Y575" s="96" t="s">
        <v>110</v>
      </c>
      <c r="Z575" s="96" t="s">
        <v>110</v>
      </c>
      <c r="AA575" s="96" t="s">
        <v>684</v>
      </c>
      <c r="AB575" s="96" t="s">
        <v>110</v>
      </c>
      <c r="AC575" s="96" t="s">
        <v>685</v>
      </c>
      <c r="AD575" s="96" t="s">
        <v>686</v>
      </c>
      <c r="AE575" s="96" t="s">
        <v>687</v>
      </c>
      <c r="AF575" s="96" t="s">
        <v>688</v>
      </c>
      <c r="AG575" s="96" t="s">
        <v>110</v>
      </c>
      <c r="AH575" s="96">
        <v>2687</v>
      </c>
      <c r="AI575" s="96" t="s">
        <v>689</v>
      </c>
      <c r="AJ575" s="96" t="s">
        <v>690</v>
      </c>
      <c r="AK575" s="27" t="s">
        <v>110</v>
      </c>
    </row>
    <row r="576" spans="1:37">
      <c r="A576" s="70">
        <v>571</v>
      </c>
      <c r="B576" s="70">
        <f t="shared" si="24"/>
        <v>0</v>
      </c>
      <c r="C576" s="71"/>
      <c r="D576" s="59" t="s">
        <v>1024</v>
      </c>
      <c r="E576" s="60">
        <v>12962</v>
      </c>
      <c r="F576" s="10" t="s">
        <v>691</v>
      </c>
      <c r="G576" s="60">
        <v>812</v>
      </c>
      <c r="H576" s="81">
        <v>1305</v>
      </c>
      <c r="I576" s="86" t="s">
        <v>110</v>
      </c>
      <c r="J576" s="81">
        <v>1305</v>
      </c>
      <c r="K576" s="86" t="s">
        <v>110</v>
      </c>
      <c r="L576" s="81">
        <v>235</v>
      </c>
      <c r="M576" s="86" t="s">
        <v>110</v>
      </c>
      <c r="N576" s="81">
        <v>65732</v>
      </c>
      <c r="O576" s="86" t="s">
        <v>110</v>
      </c>
      <c r="P576" s="89">
        <f t="shared" si="25"/>
        <v>235</v>
      </c>
      <c r="Q576" s="89">
        <f t="shared" si="26"/>
        <v>65732</v>
      </c>
      <c r="R576" s="96" t="s">
        <v>94</v>
      </c>
      <c r="S576" s="96" t="s">
        <v>124</v>
      </c>
      <c r="T576" s="96" t="s">
        <v>94</v>
      </c>
      <c r="U576" s="96" t="s">
        <v>136</v>
      </c>
      <c r="V576" s="96" t="s">
        <v>94</v>
      </c>
      <c r="W576" s="96" t="s">
        <v>97</v>
      </c>
      <c r="X576" s="96" t="s">
        <v>98</v>
      </c>
      <c r="Y576" s="96" t="s">
        <v>382</v>
      </c>
      <c r="Z576" s="96" t="s">
        <v>110</v>
      </c>
      <c r="AA576" s="96" t="s">
        <v>692</v>
      </c>
      <c r="AB576" s="96" t="s">
        <v>693</v>
      </c>
      <c r="AC576" s="96" t="s">
        <v>694</v>
      </c>
      <c r="AD576" s="96" t="s">
        <v>695</v>
      </c>
      <c r="AE576" s="96" t="s">
        <v>696</v>
      </c>
      <c r="AF576" s="96" t="s">
        <v>697</v>
      </c>
      <c r="AG576" s="96" t="s">
        <v>698</v>
      </c>
      <c r="AH576" s="96">
        <v>1491</v>
      </c>
      <c r="AI576" s="96" t="s">
        <v>699</v>
      </c>
      <c r="AJ576" s="96" t="s">
        <v>700</v>
      </c>
      <c r="AK576" s="27" t="s">
        <v>110</v>
      </c>
    </row>
    <row r="577" spans="1:37">
      <c r="A577" s="70">
        <v>572</v>
      </c>
      <c r="B577" s="70">
        <f t="shared" si="24"/>
        <v>0</v>
      </c>
      <c r="C577" s="71"/>
      <c r="D577" s="59" t="s">
        <v>1024</v>
      </c>
      <c r="E577" s="60">
        <v>14407</v>
      </c>
      <c r="F577" s="10" t="s">
        <v>701</v>
      </c>
      <c r="G577" s="60">
        <v>803</v>
      </c>
      <c r="H577" s="81">
        <v>158</v>
      </c>
      <c r="I577" s="86">
        <v>100</v>
      </c>
      <c r="J577" s="81">
        <v>158</v>
      </c>
      <c r="K577" s="86">
        <v>100</v>
      </c>
      <c r="L577" s="81">
        <v>231</v>
      </c>
      <c r="M577" s="86">
        <v>216</v>
      </c>
      <c r="N577" s="81">
        <v>69443</v>
      </c>
      <c r="O577" s="86">
        <v>62692</v>
      </c>
      <c r="P577" s="89">
        <f t="shared" si="25"/>
        <v>223.5</v>
      </c>
      <c r="Q577" s="89">
        <f t="shared" si="26"/>
        <v>66067.5</v>
      </c>
      <c r="R577" s="96" t="s">
        <v>94</v>
      </c>
      <c r="S577" s="96" t="s">
        <v>124</v>
      </c>
      <c r="T577" s="96" t="s">
        <v>94</v>
      </c>
      <c r="U577" s="96" t="s">
        <v>136</v>
      </c>
      <c r="V577" s="96" t="s">
        <v>94</v>
      </c>
      <c r="W577" s="96" t="s">
        <v>97</v>
      </c>
      <c r="X577" s="96" t="s">
        <v>98</v>
      </c>
      <c r="Y577" s="96" t="s">
        <v>110</v>
      </c>
      <c r="Z577" s="96" t="s">
        <v>148</v>
      </c>
      <c r="AA577" s="96" t="s">
        <v>702</v>
      </c>
      <c r="AB577" s="96" t="s">
        <v>110</v>
      </c>
      <c r="AC577" s="96" t="s">
        <v>703</v>
      </c>
      <c r="AD577" s="96" t="s">
        <v>704</v>
      </c>
      <c r="AE577" s="96" t="s">
        <v>705</v>
      </c>
      <c r="AF577" s="96" t="s">
        <v>706</v>
      </c>
      <c r="AG577" s="96" t="s">
        <v>110</v>
      </c>
      <c r="AH577" s="96">
        <v>2265</v>
      </c>
      <c r="AI577" s="96" t="s">
        <v>707</v>
      </c>
      <c r="AJ577" s="96" t="s">
        <v>708</v>
      </c>
      <c r="AK577" s="27" t="s">
        <v>110</v>
      </c>
    </row>
    <row r="578" spans="1:37">
      <c r="A578" s="70">
        <v>573</v>
      </c>
      <c r="B578" s="70">
        <f t="shared" si="24"/>
        <v>0</v>
      </c>
      <c r="C578" s="71"/>
      <c r="D578" s="59" t="s">
        <v>1024</v>
      </c>
      <c r="E578" s="60">
        <v>14760</v>
      </c>
      <c r="F578" s="10" t="s">
        <v>544</v>
      </c>
      <c r="G578" s="60">
        <v>801</v>
      </c>
      <c r="H578" s="81">
        <v>390</v>
      </c>
      <c r="I578" s="86">
        <v>462</v>
      </c>
      <c r="J578" s="81">
        <v>390</v>
      </c>
      <c r="K578" s="86">
        <v>462</v>
      </c>
      <c r="L578" s="81">
        <v>235</v>
      </c>
      <c r="M578" s="86">
        <v>211</v>
      </c>
      <c r="N578" s="81">
        <v>65724</v>
      </c>
      <c r="O578" s="86">
        <v>66893</v>
      </c>
      <c r="P578" s="89">
        <f t="shared" si="25"/>
        <v>223</v>
      </c>
      <c r="Q578" s="89">
        <f t="shared" si="26"/>
        <v>66308.5</v>
      </c>
      <c r="R578" s="96" t="s">
        <v>94</v>
      </c>
      <c r="S578" s="96" t="s">
        <v>447</v>
      </c>
      <c r="T578" s="96" t="s">
        <v>94</v>
      </c>
      <c r="U578" s="96" t="s">
        <v>136</v>
      </c>
      <c r="V578" s="96" t="s">
        <v>94</v>
      </c>
      <c r="W578" s="96" t="s">
        <v>97</v>
      </c>
      <c r="X578" s="96" t="s">
        <v>448</v>
      </c>
      <c r="Y578" s="96" t="s">
        <v>110</v>
      </c>
      <c r="Z578" s="96" t="s">
        <v>110</v>
      </c>
      <c r="AA578" s="96" t="s">
        <v>545</v>
      </c>
      <c r="AB578" s="96" t="s">
        <v>110</v>
      </c>
      <c r="AC578" s="96" t="s">
        <v>546</v>
      </c>
      <c r="AD578" s="96" t="s">
        <v>547</v>
      </c>
      <c r="AE578" s="96" t="s">
        <v>548</v>
      </c>
      <c r="AF578" s="96" t="s">
        <v>549</v>
      </c>
      <c r="AG578" s="96" t="s">
        <v>110</v>
      </c>
      <c r="AH578" s="96">
        <v>2689</v>
      </c>
      <c r="AI578" s="96" t="s">
        <v>550</v>
      </c>
      <c r="AJ578" s="96" t="s">
        <v>551</v>
      </c>
      <c r="AK578" s="27" t="s">
        <v>110</v>
      </c>
    </row>
    <row r="579" spans="1:37">
      <c r="A579" s="70">
        <v>574</v>
      </c>
      <c r="B579" s="70">
        <f t="shared" si="24"/>
        <v>0</v>
      </c>
      <c r="C579" s="71"/>
      <c r="D579" s="59" t="s">
        <v>1024</v>
      </c>
      <c r="E579" s="60">
        <v>12772</v>
      </c>
      <c r="F579" s="10" t="s">
        <v>561</v>
      </c>
      <c r="G579" s="60">
        <v>801</v>
      </c>
      <c r="H579" s="81">
        <v>500</v>
      </c>
      <c r="I579" s="86">
        <v>561</v>
      </c>
      <c r="J579" s="81">
        <v>500</v>
      </c>
      <c r="K579" s="86">
        <v>561</v>
      </c>
      <c r="L579" s="81">
        <v>232</v>
      </c>
      <c r="M579" s="86">
        <v>213</v>
      </c>
      <c r="N579" s="81">
        <v>67790</v>
      </c>
      <c r="O579" s="86">
        <v>64941</v>
      </c>
      <c r="P579" s="89">
        <f t="shared" si="25"/>
        <v>222.5</v>
      </c>
      <c r="Q579" s="89">
        <f t="shared" si="26"/>
        <v>66365.5</v>
      </c>
      <c r="R579" s="96" t="s">
        <v>94</v>
      </c>
      <c r="S579" s="96" t="s">
        <v>562</v>
      </c>
      <c r="T579" s="96" t="s">
        <v>94</v>
      </c>
      <c r="U579" s="96" t="s">
        <v>136</v>
      </c>
      <c r="V579" s="96" t="s">
        <v>94</v>
      </c>
      <c r="W579" s="96" t="s">
        <v>97</v>
      </c>
      <c r="X579" s="96" t="s">
        <v>500</v>
      </c>
      <c r="Y579" s="96" t="s">
        <v>225</v>
      </c>
      <c r="Z579" s="96" t="s">
        <v>226</v>
      </c>
      <c r="AA579" s="96" t="s">
        <v>563</v>
      </c>
      <c r="AB579" s="96" t="s">
        <v>564</v>
      </c>
      <c r="AC579" s="96" t="s">
        <v>565</v>
      </c>
      <c r="AD579" s="96" t="s">
        <v>566</v>
      </c>
      <c r="AE579" s="96" t="s">
        <v>567</v>
      </c>
      <c r="AF579" s="96" t="s">
        <v>568</v>
      </c>
      <c r="AG579" s="96" t="s">
        <v>569</v>
      </c>
      <c r="AH579" s="96">
        <v>1839</v>
      </c>
      <c r="AI579" s="96" t="s">
        <v>570</v>
      </c>
      <c r="AJ579" s="96" t="s">
        <v>571</v>
      </c>
      <c r="AK579" s="27" t="s">
        <v>110</v>
      </c>
    </row>
    <row r="580" spans="1:37">
      <c r="A580" s="70">
        <v>575</v>
      </c>
      <c r="B580" s="70">
        <f t="shared" si="24"/>
        <v>0</v>
      </c>
      <c r="C580" s="71"/>
      <c r="D580" s="59" t="s">
        <v>1024</v>
      </c>
      <c r="E580" s="60">
        <v>14758</v>
      </c>
      <c r="F580" s="10" t="s">
        <v>682</v>
      </c>
      <c r="G580" s="60">
        <v>803</v>
      </c>
      <c r="H580" s="81">
        <v>300</v>
      </c>
      <c r="I580" s="86">
        <v>200</v>
      </c>
      <c r="J580" s="81">
        <v>300</v>
      </c>
      <c r="K580" s="86">
        <v>200</v>
      </c>
      <c r="L580" s="81">
        <v>231</v>
      </c>
      <c r="M580" s="86">
        <v>212</v>
      </c>
      <c r="N580" s="81">
        <v>68752</v>
      </c>
      <c r="O580" s="86">
        <v>66005</v>
      </c>
      <c r="P580" s="89">
        <f t="shared" si="25"/>
        <v>221.5</v>
      </c>
      <c r="Q580" s="89">
        <f t="shared" si="26"/>
        <v>67378.5</v>
      </c>
      <c r="R580" s="96" t="s">
        <v>94</v>
      </c>
      <c r="S580" s="96" t="s">
        <v>683</v>
      </c>
      <c r="T580" s="96" t="s">
        <v>94</v>
      </c>
      <c r="U580" s="96" t="s">
        <v>136</v>
      </c>
      <c r="V580" s="96" t="s">
        <v>94</v>
      </c>
      <c r="W580" s="96" t="s">
        <v>97</v>
      </c>
      <c r="X580" s="96" t="s">
        <v>500</v>
      </c>
      <c r="Y580" s="96" t="s">
        <v>110</v>
      </c>
      <c r="Z580" s="96" t="s">
        <v>110</v>
      </c>
      <c r="AA580" s="96" t="s">
        <v>684</v>
      </c>
      <c r="AB580" s="96" t="s">
        <v>110</v>
      </c>
      <c r="AC580" s="96" t="s">
        <v>685</v>
      </c>
      <c r="AD580" s="96" t="s">
        <v>686</v>
      </c>
      <c r="AE580" s="96" t="s">
        <v>687</v>
      </c>
      <c r="AF580" s="96" t="s">
        <v>688</v>
      </c>
      <c r="AG580" s="96" t="s">
        <v>110</v>
      </c>
      <c r="AH580" s="96">
        <v>2687</v>
      </c>
      <c r="AI580" s="96" t="s">
        <v>689</v>
      </c>
      <c r="AJ580" s="96" t="s">
        <v>690</v>
      </c>
      <c r="AK580" s="27" t="s">
        <v>110</v>
      </c>
    </row>
    <row r="581" spans="1:37">
      <c r="A581" s="70">
        <v>576</v>
      </c>
      <c r="B581" s="70">
        <f t="shared" si="24"/>
        <v>0</v>
      </c>
      <c r="C581" s="71"/>
      <c r="D581" s="59" t="s">
        <v>1024</v>
      </c>
      <c r="E581" s="60">
        <v>10861</v>
      </c>
      <c r="F581" s="10" t="s">
        <v>359</v>
      </c>
      <c r="G581" s="60">
        <v>803</v>
      </c>
      <c r="H581" s="81">
        <v>22</v>
      </c>
      <c r="I581" s="86">
        <v>10</v>
      </c>
      <c r="J581" s="81">
        <v>22</v>
      </c>
      <c r="K581" s="86">
        <v>10</v>
      </c>
      <c r="L581" s="81">
        <v>232</v>
      </c>
      <c r="M581" s="86">
        <v>211</v>
      </c>
      <c r="N581" s="81">
        <v>68048</v>
      </c>
      <c r="O581" s="86">
        <v>66799</v>
      </c>
      <c r="P581" s="89">
        <f t="shared" si="25"/>
        <v>221.5</v>
      </c>
      <c r="Q581" s="89">
        <f t="shared" si="26"/>
        <v>67423.5</v>
      </c>
      <c r="R581" s="96" t="s">
        <v>94</v>
      </c>
      <c r="S581" s="96" t="s">
        <v>124</v>
      </c>
      <c r="T581" s="96" t="s">
        <v>94</v>
      </c>
      <c r="U581" s="96" t="s">
        <v>136</v>
      </c>
      <c r="V581" s="96" t="s">
        <v>94</v>
      </c>
      <c r="W581" s="96" t="s">
        <v>97</v>
      </c>
      <c r="X581" s="96" t="s">
        <v>98</v>
      </c>
      <c r="Y581" s="96" t="s">
        <v>360</v>
      </c>
      <c r="Z581" s="96" t="s">
        <v>361</v>
      </c>
      <c r="AA581" s="96" t="s">
        <v>362</v>
      </c>
      <c r="AB581" s="96" t="s">
        <v>363</v>
      </c>
      <c r="AC581" s="96" t="s">
        <v>364</v>
      </c>
      <c r="AD581" s="96" t="s">
        <v>365</v>
      </c>
      <c r="AE581" s="96" t="s">
        <v>366</v>
      </c>
      <c r="AF581" s="96" t="s">
        <v>367</v>
      </c>
      <c r="AG581" s="96" t="s">
        <v>368</v>
      </c>
      <c r="AH581" s="96">
        <v>1765</v>
      </c>
      <c r="AI581" s="96" t="s">
        <v>369</v>
      </c>
      <c r="AJ581" s="96" t="s">
        <v>370</v>
      </c>
      <c r="AK581" s="27" t="s">
        <v>110</v>
      </c>
    </row>
    <row r="582" spans="1:37">
      <c r="A582" s="70">
        <v>577</v>
      </c>
      <c r="B582" s="70">
        <f t="shared" ref="B582:B645" si="27">C582</f>
        <v>0</v>
      </c>
      <c r="C582" s="71"/>
      <c r="D582" s="59" t="s">
        <v>1024</v>
      </c>
      <c r="E582" s="60">
        <v>13712</v>
      </c>
      <c r="F582" s="10" t="s">
        <v>600</v>
      </c>
      <c r="G582" s="60">
        <v>803</v>
      </c>
      <c r="H582" s="81">
        <v>301</v>
      </c>
      <c r="I582" s="86">
        <v>208</v>
      </c>
      <c r="J582" s="81">
        <v>301</v>
      </c>
      <c r="K582" s="86">
        <v>208</v>
      </c>
      <c r="L582" s="81">
        <v>232</v>
      </c>
      <c r="M582" s="86">
        <v>211</v>
      </c>
      <c r="N582" s="81">
        <v>67767</v>
      </c>
      <c r="O582" s="86">
        <v>67123</v>
      </c>
      <c r="P582" s="89">
        <f t="shared" si="25"/>
        <v>221.5</v>
      </c>
      <c r="Q582" s="89">
        <f t="shared" si="26"/>
        <v>67445</v>
      </c>
      <c r="R582" s="96" t="s">
        <v>94</v>
      </c>
      <c r="S582" s="96" t="s">
        <v>320</v>
      </c>
      <c r="T582" s="96" t="s">
        <v>94</v>
      </c>
      <c r="U582" s="96" t="s">
        <v>136</v>
      </c>
      <c r="V582" s="96" t="s">
        <v>94</v>
      </c>
      <c r="W582" s="96" t="s">
        <v>97</v>
      </c>
      <c r="X582" s="96" t="s">
        <v>147</v>
      </c>
      <c r="Y582" s="96" t="s">
        <v>110</v>
      </c>
      <c r="Z582" s="96" t="s">
        <v>110</v>
      </c>
      <c r="AA582" s="96" t="s">
        <v>601</v>
      </c>
      <c r="AB582" s="96" t="s">
        <v>602</v>
      </c>
      <c r="AC582" s="96" t="s">
        <v>603</v>
      </c>
      <c r="AD582" s="96" t="s">
        <v>604</v>
      </c>
      <c r="AE582" s="96" t="s">
        <v>605</v>
      </c>
      <c r="AF582" s="96" t="s">
        <v>606</v>
      </c>
      <c r="AG582" s="96" t="s">
        <v>110</v>
      </c>
      <c r="AH582" s="96">
        <v>2152</v>
      </c>
      <c r="AI582" s="96" t="s">
        <v>607</v>
      </c>
      <c r="AJ582" s="96" t="s">
        <v>608</v>
      </c>
      <c r="AK582" s="27" t="s">
        <v>110</v>
      </c>
    </row>
    <row r="583" spans="1:37">
      <c r="A583" s="70">
        <v>578</v>
      </c>
      <c r="B583" s="70">
        <f t="shared" si="27"/>
        <v>0</v>
      </c>
      <c r="C583" s="71"/>
      <c r="D583" s="59" t="s">
        <v>1024</v>
      </c>
      <c r="E583" s="60">
        <v>10861</v>
      </c>
      <c r="F583" s="10" t="s">
        <v>359</v>
      </c>
      <c r="G583" s="60">
        <v>805</v>
      </c>
      <c r="H583" s="81">
        <v>25</v>
      </c>
      <c r="I583" s="86" t="s">
        <v>110</v>
      </c>
      <c r="J583" s="81">
        <v>25</v>
      </c>
      <c r="K583" s="86" t="s">
        <v>110</v>
      </c>
      <c r="L583" s="81">
        <v>233</v>
      </c>
      <c r="M583" s="86" t="s">
        <v>110</v>
      </c>
      <c r="N583" s="81">
        <v>67520</v>
      </c>
      <c r="O583" s="86" t="s">
        <v>110</v>
      </c>
      <c r="P583" s="89">
        <f t="shared" ref="P583:P646" si="28">IFERROR(AVERAGE(L583:M583),"/")</f>
        <v>233</v>
      </c>
      <c r="Q583" s="89">
        <f t="shared" ref="Q583:Q646" si="29">IFERROR(AVERAGE(N583:O583),"/")</f>
        <v>67520</v>
      </c>
      <c r="R583" s="96" t="s">
        <v>94</v>
      </c>
      <c r="S583" s="96" t="s">
        <v>124</v>
      </c>
      <c r="T583" s="96" t="s">
        <v>94</v>
      </c>
      <c r="U583" s="96" t="s">
        <v>136</v>
      </c>
      <c r="V583" s="96" t="s">
        <v>94</v>
      </c>
      <c r="W583" s="96" t="s">
        <v>97</v>
      </c>
      <c r="X583" s="96" t="s">
        <v>98</v>
      </c>
      <c r="Y583" s="96" t="s">
        <v>360</v>
      </c>
      <c r="Z583" s="96" t="s">
        <v>361</v>
      </c>
      <c r="AA583" s="96" t="s">
        <v>362</v>
      </c>
      <c r="AB583" s="96" t="s">
        <v>363</v>
      </c>
      <c r="AC583" s="96" t="s">
        <v>364</v>
      </c>
      <c r="AD583" s="96" t="s">
        <v>365</v>
      </c>
      <c r="AE583" s="96" t="s">
        <v>366</v>
      </c>
      <c r="AF583" s="96" t="s">
        <v>367</v>
      </c>
      <c r="AG583" s="96" t="s">
        <v>368</v>
      </c>
      <c r="AH583" s="96">
        <v>1765</v>
      </c>
      <c r="AI583" s="96" t="s">
        <v>369</v>
      </c>
      <c r="AJ583" s="96" t="s">
        <v>370</v>
      </c>
      <c r="AK583" s="27" t="s">
        <v>110</v>
      </c>
    </row>
    <row r="584" spans="1:37">
      <c r="A584" s="70">
        <v>579</v>
      </c>
      <c r="B584" s="70">
        <f t="shared" si="27"/>
        <v>0</v>
      </c>
      <c r="C584" s="71"/>
      <c r="D584" s="59" t="s">
        <v>1024</v>
      </c>
      <c r="E584" s="60">
        <v>12770</v>
      </c>
      <c r="F584" s="10" t="s">
        <v>446</v>
      </c>
      <c r="G584" s="60">
        <v>802</v>
      </c>
      <c r="H584" s="81">
        <v>362</v>
      </c>
      <c r="I584" s="86">
        <v>336</v>
      </c>
      <c r="J584" s="81">
        <v>362</v>
      </c>
      <c r="K584" s="86">
        <v>336</v>
      </c>
      <c r="L584" s="81">
        <v>234</v>
      </c>
      <c r="M584" s="86">
        <v>208</v>
      </c>
      <c r="N584" s="81">
        <v>66177</v>
      </c>
      <c r="O584" s="86">
        <v>69291</v>
      </c>
      <c r="P584" s="89">
        <f t="shared" si="28"/>
        <v>221</v>
      </c>
      <c r="Q584" s="89">
        <f t="shared" si="29"/>
        <v>67734</v>
      </c>
      <c r="R584" s="96" t="s">
        <v>94</v>
      </c>
      <c r="S584" s="96" t="s">
        <v>447</v>
      </c>
      <c r="T584" s="96" t="s">
        <v>94</v>
      </c>
      <c r="U584" s="96" t="s">
        <v>136</v>
      </c>
      <c r="V584" s="96" t="s">
        <v>94</v>
      </c>
      <c r="W584" s="96" t="s">
        <v>97</v>
      </c>
      <c r="X584" s="96" t="s">
        <v>448</v>
      </c>
      <c r="Y584" s="96" t="s">
        <v>110</v>
      </c>
      <c r="Z584" s="96" t="s">
        <v>110</v>
      </c>
      <c r="AA584" s="96" t="s">
        <v>449</v>
      </c>
      <c r="AB584" s="96" t="s">
        <v>450</v>
      </c>
      <c r="AC584" s="96" t="s">
        <v>451</v>
      </c>
      <c r="AD584" s="96" t="s">
        <v>452</v>
      </c>
      <c r="AE584" s="96" t="s">
        <v>453</v>
      </c>
      <c r="AF584" s="96" t="s">
        <v>454</v>
      </c>
      <c r="AG584" s="96" t="s">
        <v>455</v>
      </c>
      <c r="AH584" s="96">
        <v>2300</v>
      </c>
      <c r="AI584" s="96" t="s">
        <v>456</v>
      </c>
      <c r="AJ584" s="96" t="s">
        <v>457</v>
      </c>
      <c r="AK584" s="27" t="s">
        <v>110</v>
      </c>
    </row>
    <row r="585" spans="1:37">
      <c r="A585" s="70">
        <v>580</v>
      </c>
      <c r="B585" s="70">
        <f t="shared" si="27"/>
        <v>0</v>
      </c>
      <c r="C585" s="71"/>
      <c r="D585" s="59" t="s">
        <v>1024</v>
      </c>
      <c r="E585" s="60">
        <v>10862</v>
      </c>
      <c r="F585" s="10" t="s">
        <v>278</v>
      </c>
      <c r="G585" s="60">
        <v>807</v>
      </c>
      <c r="H585" s="81">
        <v>245</v>
      </c>
      <c r="I585" s="86">
        <v>67</v>
      </c>
      <c r="J585" s="81">
        <v>245</v>
      </c>
      <c r="K585" s="86">
        <v>67</v>
      </c>
      <c r="L585" s="81">
        <v>246</v>
      </c>
      <c r="M585" s="86">
        <v>197</v>
      </c>
      <c r="N585" s="81">
        <v>55896</v>
      </c>
      <c r="O585" s="86">
        <v>79729</v>
      </c>
      <c r="P585" s="89">
        <f t="shared" si="28"/>
        <v>221.5</v>
      </c>
      <c r="Q585" s="89">
        <f t="shared" si="29"/>
        <v>67812.5</v>
      </c>
      <c r="R585" s="96" t="s">
        <v>94</v>
      </c>
      <c r="S585" s="96" t="s">
        <v>124</v>
      </c>
      <c r="T585" s="96" t="s">
        <v>94</v>
      </c>
      <c r="U585" s="96" t="s">
        <v>136</v>
      </c>
      <c r="V585" s="96" t="s">
        <v>94</v>
      </c>
      <c r="W585" s="96" t="s">
        <v>97</v>
      </c>
      <c r="X585" s="96" t="s">
        <v>98</v>
      </c>
      <c r="Y585" s="96" t="s">
        <v>192</v>
      </c>
      <c r="Z585" s="96" t="s">
        <v>193</v>
      </c>
      <c r="AA585" s="96" t="s">
        <v>279</v>
      </c>
      <c r="AB585" s="96" t="s">
        <v>280</v>
      </c>
      <c r="AC585" s="96" t="s">
        <v>281</v>
      </c>
      <c r="AD585" s="96" t="s">
        <v>282</v>
      </c>
      <c r="AE585" s="96" t="s">
        <v>283</v>
      </c>
      <c r="AF585" s="96" t="s">
        <v>284</v>
      </c>
      <c r="AG585" s="96" t="s">
        <v>285</v>
      </c>
      <c r="AH585" s="96">
        <v>1410</v>
      </c>
      <c r="AI585" s="96" t="s">
        <v>286</v>
      </c>
      <c r="AJ585" s="96" t="s">
        <v>287</v>
      </c>
      <c r="AK585" s="27" t="s">
        <v>110</v>
      </c>
    </row>
    <row r="586" spans="1:37">
      <c r="A586" s="70">
        <v>581</v>
      </c>
      <c r="B586" s="70">
        <f t="shared" si="27"/>
        <v>0</v>
      </c>
      <c r="C586" s="71"/>
      <c r="D586" s="59" t="s">
        <v>1024</v>
      </c>
      <c r="E586" s="60">
        <v>10861</v>
      </c>
      <c r="F586" s="10" t="s">
        <v>359</v>
      </c>
      <c r="G586" s="60">
        <v>804</v>
      </c>
      <c r="H586" s="81">
        <v>22</v>
      </c>
      <c r="I586" s="86" t="s">
        <v>110</v>
      </c>
      <c r="J586" s="81">
        <v>22</v>
      </c>
      <c r="K586" s="86" t="s">
        <v>110</v>
      </c>
      <c r="L586" s="81">
        <v>232</v>
      </c>
      <c r="M586" s="86" t="s">
        <v>110</v>
      </c>
      <c r="N586" s="81">
        <v>67837</v>
      </c>
      <c r="O586" s="86" t="s">
        <v>110</v>
      </c>
      <c r="P586" s="89">
        <f t="shared" si="28"/>
        <v>232</v>
      </c>
      <c r="Q586" s="89">
        <f t="shared" si="29"/>
        <v>67837</v>
      </c>
      <c r="R586" s="96" t="s">
        <v>94</v>
      </c>
      <c r="S586" s="96" t="s">
        <v>124</v>
      </c>
      <c r="T586" s="96" t="s">
        <v>94</v>
      </c>
      <c r="U586" s="96" t="s">
        <v>136</v>
      </c>
      <c r="V586" s="96" t="s">
        <v>94</v>
      </c>
      <c r="W586" s="96" t="s">
        <v>97</v>
      </c>
      <c r="X586" s="96" t="s">
        <v>98</v>
      </c>
      <c r="Y586" s="96" t="s">
        <v>360</v>
      </c>
      <c r="Z586" s="96" t="s">
        <v>361</v>
      </c>
      <c r="AA586" s="96" t="s">
        <v>362</v>
      </c>
      <c r="AB586" s="96" t="s">
        <v>363</v>
      </c>
      <c r="AC586" s="96" t="s">
        <v>364</v>
      </c>
      <c r="AD586" s="96" t="s">
        <v>365</v>
      </c>
      <c r="AE586" s="96" t="s">
        <v>366</v>
      </c>
      <c r="AF586" s="96" t="s">
        <v>367</v>
      </c>
      <c r="AG586" s="96" t="s">
        <v>368</v>
      </c>
      <c r="AH586" s="96">
        <v>1765</v>
      </c>
      <c r="AI586" s="96" t="s">
        <v>369</v>
      </c>
      <c r="AJ586" s="96" t="s">
        <v>370</v>
      </c>
      <c r="AK586" s="27" t="s">
        <v>110</v>
      </c>
    </row>
    <row r="587" spans="1:37">
      <c r="A587" s="70">
        <v>582</v>
      </c>
      <c r="B587" s="70">
        <f t="shared" si="27"/>
        <v>0</v>
      </c>
      <c r="C587" s="71"/>
      <c r="D587" s="59" t="s">
        <v>1024</v>
      </c>
      <c r="E587" s="60">
        <v>12770</v>
      </c>
      <c r="F587" s="10" t="s">
        <v>446</v>
      </c>
      <c r="G587" s="60">
        <v>803</v>
      </c>
      <c r="H587" s="81">
        <v>295</v>
      </c>
      <c r="I587" s="86" t="s">
        <v>110</v>
      </c>
      <c r="J587" s="81">
        <v>295</v>
      </c>
      <c r="K587" s="86" t="s">
        <v>110</v>
      </c>
      <c r="L587" s="81">
        <v>232</v>
      </c>
      <c r="M587" s="86" t="s">
        <v>110</v>
      </c>
      <c r="N587" s="81">
        <v>67916</v>
      </c>
      <c r="O587" s="86" t="s">
        <v>110</v>
      </c>
      <c r="P587" s="89">
        <f t="shared" si="28"/>
        <v>232</v>
      </c>
      <c r="Q587" s="89">
        <f t="shared" si="29"/>
        <v>67916</v>
      </c>
      <c r="R587" s="96" t="s">
        <v>94</v>
      </c>
      <c r="S587" s="96" t="s">
        <v>447</v>
      </c>
      <c r="T587" s="96" t="s">
        <v>94</v>
      </c>
      <c r="U587" s="96" t="s">
        <v>136</v>
      </c>
      <c r="V587" s="96" t="s">
        <v>94</v>
      </c>
      <c r="W587" s="96" t="s">
        <v>97</v>
      </c>
      <c r="X587" s="96" t="s">
        <v>448</v>
      </c>
      <c r="Y587" s="96" t="s">
        <v>110</v>
      </c>
      <c r="Z587" s="96" t="s">
        <v>110</v>
      </c>
      <c r="AA587" s="96" t="s">
        <v>449</v>
      </c>
      <c r="AB587" s="96" t="s">
        <v>450</v>
      </c>
      <c r="AC587" s="96" t="s">
        <v>451</v>
      </c>
      <c r="AD587" s="96" t="s">
        <v>452</v>
      </c>
      <c r="AE587" s="96" t="s">
        <v>453</v>
      </c>
      <c r="AF587" s="96" t="s">
        <v>454</v>
      </c>
      <c r="AG587" s="96" t="s">
        <v>455</v>
      </c>
      <c r="AH587" s="96">
        <v>2300</v>
      </c>
      <c r="AI587" s="96" t="s">
        <v>456</v>
      </c>
      <c r="AJ587" s="96" t="s">
        <v>457</v>
      </c>
      <c r="AK587" s="27" t="s">
        <v>110</v>
      </c>
    </row>
    <row r="588" spans="1:37">
      <c r="A588" s="70">
        <v>583</v>
      </c>
      <c r="B588" s="70">
        <f t="shared" si="27"/>
        <v>0</v>
      </c>
      <c r="C588" s="71"/>
      <c r="D588" s="59" t="s">
        <v>1024</v>
      </c>
      <c r="E588" s="60">
        <v>14758</v>
      </c>
      <c r="F588" s="10" t="s">
        <v>682</v>
      </c>
      <c r="G588" s="60">
        <v>801</v>
      </c>
      <c r="H588" s="81">
        <v>300</v>
      </c>
      <c r="I588" s="86">
        <v>202</v>
      </c>
      <c r="J588" s="81">
        <v>300</v>
      </c>
      <c r="K588" s="86">
        <v>202</v>
      </c>
      <c r="L588" s="81">
        <v>229</v>
      </c>
      <c r="M588" s="86">
        <v>213</v>
      </c>
      <c r="N588" s="81">
        <v>70749</v>
      </c>
      <c r="O588" s="86">
        <v>65195</v>
      </c>
      <c r="P588" s="89">
        <f t="shared" si="28"/>
        <v>221</v>
      </c>
      <c r="Q588" s="89">
        <f t="shared" si="29"/>
        <v>67972</v>
      </c>
      <c r="R588" s="96" t="s">
        <v>94</v>
      </c>
      <c r="S588" s="96" t="s">
        <v>683</v>
      </c>
      <c r="T588" s="96" t="s">
        <v>94</v>
      </c>
      <c r="U588" s="96" t="s">
        <v>136</v>
      </c>
      <c r="V588" s="96" t="s">
        <v>94</v>
      </c>
      <c r="W588" s="96" t="s">
        <v>97</v>
      </c>
      <c r="X588" s="96" t="s">
        <v>500</v>
      </c>
      <c r="Y588" s="96" t="s">
        <v>110</v>
      </c>
      <c r="Z588" s="96" t="s">
        <v>110</v>
      </c>
      <c r="AA588" s="96" t="s">
        <v>684</v>
      </c>
      <c r="AB588" s="96" t="s">
        <v>110</v>
      </c>
      <c r="AC588" s="96" t="s">
        <v>685</v>
      </c>
      <c r="AD588" s="96" t="s">
        <v>686</v>
      </c>
      <c r="AE588" s="96" t="s">
        <v>687</v>
      </c>
      <c r="AF588" s="96" t="s">
        <v>688</v>
      </c>
      <c r="AG588" s="96" t="s">
        <v>110</v>
      </c>
      <c r="AH588" s="96">
        <v>2687</v>
      </c>
      <c r="AI588" s="96" t="s">
        <v>689</v>
      </c>
      <c r="AJ588" s="96" t="s">
        <v>690</v>
      </c>
      <c r="AK588" s="27" t="s">
        <v>110</v>
      </c>
    </row>
    <row r="589" spans="1:37">
      <c r="A589" s="70">
        <v>584</v>
      </c>
      <c r="B589" s="70">
        <f t="shared" si="27"/>
        <v>0</v>
      </c>
      <c r="C589" s="71"/>
      <c r="D589" s="59" t="s">
        <v>1024</v>
      </c>
      <c r="E589" s="60">
        <v>14664</v>
      </c>
      <c r="F589" s="10" t="s">
        <v>438</v>
      </c>
      <c r="G589" s="60">
        <v>803</v>
      </c>
      <c r="H589" s="81">
        <v>60</v>
      </c>
      <c r="I589" s="86">
        <v>40</v>
      </c>
      <c r="J589" s="81">
        <v>60</v>
      </c>
      <c r="K589" s="86">
        <v>40</v>
      </c>
      <c r="L589" s="81">
        <v>227</v>
      </c>
      <c r="M589" s="86">
        <v>214</v>
      </c>
      <c r="N589" s="81">
        <v>72294</v>
      </c>
      <c r="O589" s="86">
        <v>64083</v>
      </c>
      <c r="P589" s="89">
        <f t="shared" si="28"/>
        <v>220.5</v>
      </c>
      <c r="Q589" s="89">
        <f t="shared" si="29"/>
        <v>68188.5</v>
      </c>
      <c r="R589" s="96" t="s">
        <v>94</v>
      </c>
      <c r="S589" s="96" t="s">
        <v>237</v>
      </c>
      <c r="T589" s="96" t="s">
        <v>94</v>
      </c>
      <c r="U589" s="96" t="s">
        <v>136</v>
      </c>
      <c r="V589" s="96" t="s">
        <v>94</v>
      </c>
      <c r="W589" s="96" t="s">
        <v>97</v>
      </c>
      <c r="X589" s="96" t="s">
        <v>147</v>
      </c>
      <c r="Y589" s="96" t="s">
        <v>110</v>
      </c>
      <c r="Z589" s="96" t="s">
        <v>110</v>
      </c>
      <c r="AA589" s="96" t="s">
        <v>439</v>
      </c>
      <c r="AB589" s="96" t="s">
        <v>110</v>
      </c>
      <c r="AC589" s="96" t="s">
        <v>440</v>
      </c>
      <c r="AD589" s="96" t="s">
        <v>441</v>
      </c>
      <c r="AE589" s="96" t="s">
        <v>442</v>
      </c>
      <c r="AF589" s="96" t="s">
        <v>443</v>
      </c>
      <c r="AG589" s="96" t="s">
        <v>110</v>
      </c>
      <c r="AH589" s="96">
        <v>2851</v>
      </c>
      <c r="AI589" s="96" t="s">
        <v>444</v>
      </c>
      <c r="AJ589" s="96" t="s">
        <v>445</v>
      </c>
      <c r="AK589" s="27" t="s">
        <v>110</v>
      </c>
    </row>
    <row r="590" spans="1:37">
      <c r="A590" s="70">
        <v>585</v>
      </c>
      <c r="B590" s="70">
        <f t="shared" si="27"/>
        <v>0</v>
      </c>
      <c r="C590" s="71"/>
      <c r="D590" s="59" t="s">
        <v>1024</v>
      </c>
      <c r="E590" s="60">
        <v>12772</v>
      </c>
      <c r="F590" s="10" t="s">
        <v>561</v>
      </c>
      <c r="G590" s="60">
        <v>803</v>
      </c>
      <c r="H590" s="81">
        <v>120</v>
      </c>
      <c r="I590" s="86">
        <v>143</v>
      </c>
      <c r="J590" s="81">
        <v>120</v>
      </c>
      <c r="K590" s="86">
        <v>143</v>
      </c>
      <c r="L590" s="81">
        <v>230</v>
      </c>
      <c r="M590" s="86">
        <v>211</v>
      </c>
      <c r="N590" s="81">
        <v>70169</v>
      </c>
      <c r="O590" s="86">
        <v>66992</v>
      </c>
      <c r="P590" s="89">
        <f t="shared" si="28"/>
        <v>220.5</v>
      </c>
      <c r="Q590" s="89">
        <f t="shared" si="29"/>
        <v>68580.5</v>
      </c>
      <c r="R590" s="96" t="s">
        <v>94</v>
      </c>
      <c r="S590" s="96" t="s">
        <v>562</v>
      </c>
      <c r="T590" s="96" t="s">
        <v>94</v>
      </c>
      <c r="U590" s="96" t="s">
        <v>136</v>
      </c>
      <c r="V590" s="96" t="s">
        <v>94</v>
      </c>
      <c r="W590" s="96" t="s">
        <v>97</v>
      </c>
      <c r="X590" s="96" t="s">
        <v>500</v>
      </c>
      <c r="Y590" s="96" t="s">
        <v>225</v>
      </c>
      <c r="Z590" s="96" t="s">
        <v>226</v>
      </c>
      <c r="AA590" s="96" t="s">
        <v>563</v>
      </c>
      <c r="AB590" s="96" t="s">
        <v>564</v>
      </c>
      <c r="AC590" s="96" t="s">
        <v>565</v>
      </c>
      <c r="AD590" s="96" t="s">
        <v>566</v>
      </c>
      <c r="AE590" s="96" t="s">
        <v>567</v>
      </c>
      <c r="AF590" s="96" t="s">
        <v>568</v>
      </c>
      <c r="AG590" s="96" t="s">
        <v>569</v>
      </c>
      <c r="AH590" s="96">
        <v>1839</v>
      </c>
      <c r="AI590" s="96" t="s">
        <v>570</v>
      </c>
      <c r="AJ590" s="96" t="s">
        <v>571</v>
      </c>
      <c r="AK590" s="27" t="s">
        <v>110</v>
      </c>
    </row>
    <row r="591" spans="1:37">
      <c r="A591" s="70">
        <v>586</v>
      </c>
      <c r="B591" s="70">
        <f t="shared" si="27"/>
        <v>0</v>
      </c>
      <c r="C591" s="71"/>
      <c r="D591" s="59" t="s">
        <v>1024</v>
      </c>
      <c r="E591" s="60">
        <v>12765</v>
      </c>
      <c r="F591" s="10" t="s">
        <v>644</v>
      </c>
      <c r="G591" s="60">
        <v>810</v>
      </c>
      <c r="H591" s="81">
        <v>30</v>
      </c>
      <c r="I591" s="86" t="s">
        <v>110</v>
      </c>
      <c r="J591" s="81">
        <v>30</v>
      </c>
      <c r="K591" s="86" t="s">
        <v>110</v>
      </c>
      <c r="L591" s="81">
        <v>231</v>
      </c>
      <c r="M591" s="86" t="s">
        <v>110</v>
      </c>
      <c r="N591" s="81">
        <v>69027</v>
      </c>
      <c r="O591" s="86" t="s">
        <v>110</v>
      </c>
      <c r="P591" s="89">
        <f t="shared" si="28"/>
        <v>231</v>
      </c>
      <c r="Q591" s="89">
        <f t="shared" si="29"/>
        <v>69027</v>
      </c>
      <c r="R591" s="96" t="s">
        <v>94</v>
      </c>
      <c r="S591" s="96" t="s">
        <v>645</v>
      </c>
      <c r="T591" s="96" t="s">
        <v>94</v>
      </c>
      <c r="U591" s="96" t="s">
        <v>136</v>
      </c>
      <c r="V591" s="96" t="s">
        <v>94</v>
      </c>
      <c r="W591" s="96" t="s">
        <v>97</v>
      </c>
      <c r="X591" s="96" t="s">
        <v>500</v>
      </c>
      <c r="Y591" s="96" t="s">
        <v>110</v>
      </c>
      <c r="Z591" s="96" t="s">
        <v>148</v>
      </c>
      <c r="AA591" s="96" t="s">
        <v>646</v>
      </c>
      <c r="AB591" s="96" t="s">
        <v>647</v>
      </c>
      <c r="AC591" s="96" t="s">
        <v>648</v>
      </c>
      <c r="AD591" s="96" t="s">
        <v>649</v>
      </c>
      <c r="AE591" s="96" t="s">
        <v>650</v>
      </c>
      <c r="AF591" s="96" t="s">
        <v>651</v>
      </c>
      <c r="AG591" s="96" t="s">
        <v>110</v>
      </c>
      <c r="AH591" s="96">
        <v>2220</v>
      </c>
      <c r="AI591" s="96" t="s">
        <v>652</v>
      </c>
      <c r="AJ591" s="96" t="s">
        <v>653</v>
      </c>
      <c r="AK591" s="27" t="s">
        <v>110</v>
      </c>
    </row>
    <row r="592" spans="1:37">
      <c r="A592" s="70">
        <v>587</v>
      </c>
      <c r="B592" s="70">
        <f t="shared" si="27"/>
        <v>0</v>
      </c>
      <c r="C592" s="71"/>
      <c r="D592" s="59" t="s">
        <v>1024</v>
      </c>
      <c r="E592" s="60">
        <v>14407</v>
      </c>
      <c r="F592" s="10" t="s">
        <v>701</v>
      </c>
      <c r="G592" s="60">
        <v>804</v>
      </c>
      <c r="H592" s="81">
        <v>15</v>
      </c>
      <c r="I592" s="86">
        <v>15</v>
      </c>
      <c r="J592" s="81">
        <v>15</v>
      </c>
      <c r="K592" s="86">
        <v>15</v>
      </c>
      <c r="L592" s="81">
        <v>229</v>
      </c>
      <c r="M592" s="86">
        <v>211</v>
      </c>
      <c r="N592" s="81">
        <v>71024</v>
      </c>
      <c r="O592" s="86">
        <v>67052</v>
      </c>
      <c r="P592" s="89">
        <f t="shared" si="28"/>
        <v>220</v>
      </c>
      <c r="Q592" s="89">
        <f t="shared" si="29"/>
        <v>69038</v>
      </c>
      <c r="R592" s="96" t="s">
        <v>94</v>
      </c>
      <c r="S592" s="96" t="s">
        <v>124</v>
      </c>
      <c r="T592" s="96" t="s">
        <v>94</v>
      </c>
      <c r="U592" s="96" t="s">
        <v>136</v>
      </c>
      <c r="V592" s="96" t="s">
        <v>94</v>
      </c>
      <c r="W592" s="96" t="s">
        <v>97</v>
      </c>
      <c r="X592" s="96" t="s">
        <v>98</v>
      </c>
      <c r="Y592" s="96" t="s">
        <v>110</v>
      </c>
      <c r="Z592" s="96" t="s">
        <v>148</v>
      </c>
      <c r="AA592" s="96" t="s">
        <v>702</v>
      </c>
      <c r="AB592" s="96" t="s">
        <v>110</v>
      </c>
      <c r="AC592" s="96" t="s">
        <v>703</v>
      </c>
      <c r="AD592" s="96" t="s">
        <v>704</v>
      </c>
      <c r="AE592" s="96" t="s">
        <v>705</v>
      </c>
      <c r="AF592" s="96" t="s">
        <v>706</v>
      </c>
      <c r="AG592" s="96" t="s">
        <v>110</v>
      </c>
      <c r="AH592" s="96">
        <v>2265</v>
      </c>
      <c r="AI592" s="96" t="s">
        <v>707</v>
      </c>
      <c r="AJ592" s="96" t="s">
        <v>708</v>
      </c>
      <c r="AK592" s="27" t="s">
        <v>110</v>
      </c>
    </row>
    <row r="593" spans="1:37">
      <c r="A593" s="70">
        <v>588</v>
      </c>
      <c r="B593" s="70">
        <f t="shared" si="27"/>
        <v>0</v>
      </c>
      <c r="C593" s="71"/>
      <c r="D593" s="59" t="s">
        <v>1024</v>
      </c>
      <c r="E593" s="60">
        <v>14758</v>
      </c>
      <c r="F593" s="10" t="s">
        <v>682</v>
      </c>
      <c r="G593" s="60">
        <v>804</v>
      </c>
      <c r="H593" s="81">
        <v>300</v>
      </c>
      <c r="I593" s="86">
        <v>200</v>
      </c>
      <c r="J593" s="81">
        <v>300</v>
      </c>
      <c r="K593" s="86">
        <v>200</v>
      </c>
      <c r="L593" s="81">
        <v>228</v>
      </c>
      <c r="M593" s="86">
        <v>212</v>
      </c>
      <c r="N593" s="81">
        <v>71928</v>
      </c>
      <c r="O593" s="86">
        <v>66259</v>
      </c>
      <c r="P593" s="89">
        <f t="shared" si="28"/>
        <v>220</v>
      </c>
      <c r="Q593" s="89">
        <f t="shared" si="29"/>
        <v>69093.5</v>
      </c>
      <c r="R593" s="96" t="s">
        <v>94</v>
      </c>
      <c r="S593" s="96" t="s">
        <v>683</v>
      </c>
      <c r="T593" s="96" t="s">
        <v>94</v>
      </c>
      <c r="U593" s="96" t="s">
        <v>136</v>
      </c>
      <c r="V593" s="96" t="s">
        <v>94</v>
      </c>
      <c r="W593" s="96" t="s">
        <v>97</v>
      </c>
      <c r="X593" s="96" t="s">
        <v>500</v>
      </c>
      <c r="Y593" s="96" t="s">
        <v>110</v>
      </c>
      <c r="Z593" s="96" t="s">
        <v>110</v>
      </c>
      <c r="AA593" s="96" t="s">
        <v>684</v>
      </c>
      <c r="AB593" s="96" t="s">
        <v>110</v>
      </c>
      <c r="AC593" s="96" t="s">
        <v>685</v>
      </c>
      <c r="AD593" s="96" t="s">
        <v>686</v>
      </c>
      <c r="AE593" s="96" t="s">
        <v>687</v>
      </c>
      <c r="AF593" s="96" t="s">
        <v>688</v>
      </c>
      <c r="AG593" s="96" t="s">
        <v>110</v>
      </c>
      <c r="AH593" s="96">
        <v>2687</v>
      </c>
      <c r="AI593" s="96" t="s">
        <v>689</v>
      </c>
      <c r="AJ593" s="96" t="s">
        <v>690</v>
      </c>
      <c r="AK593" s="27" t="s">
        <v>110</v>
      </c>
    </row>
    <row r="594" spans="1:37">
      <c r="A594" s="70">
        <v>589</v>
      </c>
      <c r="B594" s="70">
        <f t="shared" si="27"/>
        <v>0</v>
      </c>
      <c r="C594" s="71"/>
      <c r="D594" s="59" t="s">
        <v>1024</v>
      </c>
      <c r="E594" s="60">
        <v>12060</v>
      </c>
      <c r="F594" s="10" t="s">
        <v>664</v>
      </c>
      <c r="G594" s="60">
        <v>801</v>
      </c>
      <c r="H594" s="81">
        <v>2067</v>
      </c>
      <c r="I594" s="86">
        <v>469</v>
      </c>
      <c r="J594" s="81">
        <v>2067</v>
      </c>
      <c r="K594" s="86">
        <v>469</v>
      </c>
      <c r="L594" s="81">
        <v>227</v>
      </c>
      <c r="M594" s="86">
        <v>212</v>
      </c>
      <c r="N594" s="81">
        <v>72461</v>
      </c>
      <c r="O594" s="86">
        <v>65777</v>
      </c>
      <c r="P594" s="89">
        <f t="shared" si="28"/>
        <v>219.5</v>
      </c>
      <c r="Q594" s="89">
        <f t="shared" si="29"/>
        <v>69119</v>
      </c>
      <c r="R594" s="96" t="s">
        <v>94</v>
      </c>
      <c r="S594" s="96" t="s">
        <v>665</v>
      </c>
      <c r="T594" s="96" t="s">
        <v>94</v>
      </c>
      <c r="U594" s="96" t="s">
        <v>136</v>
      </c>
      <c r="V594" s="96" t="s">
        <v>94</v>
      </c>
      <c r="W594" s="96" t="s">
        <v>97</v>
      </c>
      <c r="X594" s="96" t="s">
        <v>500</v>
      </c>
      <c r="Y594" s="96" t="s">
        <v>382</v>
      </c>
      <c r="Z594" s="96" t="s">
        <v>148</v>
      </c>
      <c r="AA594" s="96" t="s">
        <v>666</v>
      </c>
      <c r="AB594" s="96" t="s">
        <v>667</v>
      </c>
      <c r="AC594" s="96" t="s">
        <v>668</v>
      </c>
      <c r="AD594" s="96" t="s">
        <v>669</v>
      </c>
      <c r="AE594" s="96" t="s">
        <v>670</v>
      </c>
      <c r="AF594" s="96" t="s">
        <v>671</v>
      </c>
      <c r="AG594" s="96" t="s">
        <v>110</v>
      </c>
      <c r="AH594" s="96">
        <v>1729</v>
      </c>
      <c r="AI594" s="96" t="s">
        <v>672</v>
      </c>
      <c r="AJ594" s="96" t="s">
        <v>673</v>
      </c>
      <c r="AK594" s="27" t="s">
        <v>110</v>
      </c>
    </row>
    <row r="595" spans="1:37">
      <c r="A595" s="70">
        <v>590</v>
      </c>
      <c r="B595" s="70">
        <f t="shared" si="27"/>
        <v>0</v>
      </c>
      <c r="C595" s="71"/>
      <c r="D595" s="59" t="s">
        <v>1024</v>
      </c>
      <c r="E595" s="60">
        <v>12741</v>
      </c>
      <c r="F595" s="10" t="s">
        <v>581</v>
      </c>
      <c r="G595" s="60">
        <v>805</v>
      </c>
      <c r="H595" s="81">
        <v>18</v>
      </c>
      <c r="I595" s="86">
        <v>25</v>
      </c>
      <c r="J595" s="81">
        <v>18</v>
      </c>
      <c r="K595" s="86">
        <v>25</v>
      </c>
      <c r="L595" s="81">
        <v>231</v>
      </c>
      <c r="M595" s="86">
        <v>208</v>
      </c>
      <c r="N595" s="81">
        <v>69246</v>
      </c>
      <c r="O595" s="86">
        <v>69300</v>
      </c>
      <c r="P595" s="89">
        <f t="shared" si="28"/>
        <v>219.5</v>
      </c>
      <c r="Q595" s="89">
        <f t="shared" si="29"/>
        <v>69273</v>
      </c>
      <c r="R595" s="96" t="s">
        <v>94</v>
      </c>
      <c r="S595" s="96" t="s">
        <v>124</v>
      </c>
      <c r="T595" s="96" t="s">
        <v>94</v>
      </c>
      <c r="U595" s="96" t="s">
        <v>136</v>
      </c>
      <c r="V595" s="96" t="s">
        <v>94</v>
      </c>
      <c r="W595" s="96" t="s">
        <v>97</v>
      </c>
      <c r="X595" s="96" t="s">
        <v>98</v>
      </c>
      <c r="Y595" s="96" t="s">
        <v>349</v>
      </c>
      <c r="Z595" s="96" t="s">
        <v>226</v>
      </c>
      <c r="AA595" s="96" t="s">
        <v>582</v>
      </c>
      <c r="AB595" s="96" t="s">
        <v>583</v>
      </c>
      <c r="AC595" s="96" t="s">
        <v>584</v>
      </c>
      <c r="AD595" s="96" t="s">
        <v>585</v>
      </c>
      <c r="AE595" s="96" t="s">
        <v>586</v>
      </c>
      <c r="AF595" s="96" t="s">
        <v>587</v>
      </c>
      <c r="AG595" s="96" t="s">
        <v>588</v>
      </c>
      <c r="AH595" s="96">
        <v>1994</v>
      </c>
      <c r="AI595" s="96" t="s">
        <v>589</v>
      </c>
      <c r="AJ595" s="96" t="s">
        <v>590</v>
      </c>
      <c r="AK595" s="27" t="s">
        <v>110</v>
      </c>
    </row>
    <row r="596" spans="1:37">
      <c r="A596" s="70">
        <v>591</v>
      </c>
      <c r="B596" s="70">
        <f t="shared" si="27"/>
        <v>0</v>
      </c>
      <c r="C596" s="71"/>
      <c r="D596" s="59" t="s">
        <v>1024</v>
      </c>
      <c r="E596" s="60">
        <v>13930</v>
      </c>
      <c r="F596" s="10" t="s">
        <v>525</v>
      </c>
      <c r="G596" s="60">
        <v>802</v>
      </c>
      <c r="H596" s="81">
        <v>20</v>
      </c>
      <c r="I596" s="86">
        <v>20</v>
      </c>
      <c r="J596" s="81">
        <v>20</v>
      </c>
      <c r="K596" s="86">
        <v>20</v>
      </c>
      <c r="L596" s="81">
        <v>213</v>
      </c>
      <c r="M596" s="86">
        <v>228</v>
      </c>
      <c r="N596" s="81">
        <v>85718</v>
      </c>
      <c r="O596" s="86">
        <v>52971</v>
      </c>
      <c r="P596" s="89">
        <f t="shared" si="28"/>
        <v>220.5</v>
      </c>
      <c r="Q596" s="89">
        <f t="shared" si="29"/>
        <v>69344.5</v>
      </c>
      <c r="R596" s="96" t="s">
        <v>94</v>
      </c>
      <c r="S596" s="96" t="s">
        <v>124</v>
      </c>
      <c r="T596" s="96" t="s">
        <v>94</v>
      </c>
      <c r="U596" s="96" t="s">
        <v>136</v>
      </c>
      <c r="V596" s="96" t="s">
        <v>94</v>
      </c>
      <c r="W596" s="96" t="s">
        <v>97</v>
      </c>
      <c r="X596" s="96" t="s">
        <v>98</v>
      </c>
      <c r="Y596" s="96" t="s">
        <v>349</v>
      </c>
      <c r="Z596" s="96" t="s">
        <v>226</v>
      </c>
      <c r="AA596" s="96" t="s">
        <v>526</v>
      </c>
      <c r="AB596" s="96" t="s">
        <v>527</v>
      </c>
      <c r="AC596" s="96" t="s">
        <v>528</v>
      </c>
      <c r="AD596" s="96" t="s">
        <v>529</v>
      </c>
      <c r="AE596" s="96" t="s">
        <v>530</v>
      </c>
      <c r="AF596" s="96" t="s">
        <v>531</v>
      </c>
      <c r="AG596" s="96" t="s">
        <v>110</v>
      </c>
      <c r="AH596" s="96">
        <v>1998</v>
      </c>
      <c r="AI596" s="96" t="s">
        <v>532</v>
      </c>
      <c r="AJ596" s="96" t="s">
        <v>533</v>
      </c>
      <c r="AK596" s="27" t="s">
        <v>110</v>
      </c>
    </row>
    <row r="597" spans="1:37">
      <c r="A597" s="70">
        <v>592</v>
      </c>
      <c r="B597" s="70">
        <f t="shared" si="27"/>
        <v>0</v>
      </c>
      <c r="C597" s="71"/>
      <c r="D597" s="59" t="s">
        <v>1024</v>
      </c>
      <c r="E597" s="60">
        <v>13712</v>
      </c>
      <c r="F597" s="10" t="s">
        <v>600</v>
      </c>
      <c r="G597" s="60">
        <v>805</v>
      </c>
      <c r="H597" s="81">
        <v>353</v>
      </c>
      <c r="I597" s="86">
        <v>363</v>
      </c>
      <c r="J597" s="81">
        <v>353</v>
      </c>
      <c r="K597" s="86">
        <v>363</v>
      </c>
      <c r="L597" s="81">
        <v>230</v>
      </c>
      <c r="M597" s="86">
        <v>209</v>
      </c>
      <c r="N597" s="81">
        <v>70367</v>
      </c>
      <c r="O597" s="86">
        <v>68401</v>
      </c>
      <c r="P597" s="89">
        <f t="shared" si="28"/>
        <v>219.5</v>
      </c>
      <c r="Q597" s="89">
        <f t="shared" si="29"/>
        <v>69384</v>
      </c>
      <c r="R597" s="96" t="s">
        <v>94</v>
      </c>
      <c r="S597" s="96" t="s">
        <v>320</v>
      </c>
      <c r="T597" s="96" t="s">
        <v>94</v>
      </c>
      <c r="U597" s="96" t="s">
        <v>136</v>
      </c>
      <c r="V597" s="96" t="s">
        <v>94</v>
      </c>
      <c r="W597" s="96" t="s">
        <v>97</v>
      </c>
      <c r="X597" s="96" t="s">
        <v>147</v>
      </c>
      <c r="Y597" s="96" t="s">
        <v>110</v>
      </c>
      <c r="Z597" s="96" t="s">
        <v>110</v>
      </c>
      <c r="AA597" s="96" t="s">
        <v>601</v>
      </c>
      <c r="AB597" s="96" t="s">
        <v>602</v>
      </c>
      <c r="AC597" s="96" t="s">
        <v>603</v>
      </c>
      <c r="AD597" s="96" t="s">
        <v>604</v>
      </c>
      <c r="AE597" s="96" t="s">
        <v>605</v>
      </c>
      <c r="AF597" s="96" t="s">
        <v>606</v>
      </c>
      <c r="AG597" s="96" t="s">
        <v>110</v>
      </c>
      <c r="AH597" s="96">
        <v>2152</v>
      </c>
      <c r="AI597" s="96" t="s">
        <v>607</v>
      </c>
      <c r="AJ597" s="96" t="s">
        <v>608</v>
      </c>
      <c r="AK597" s="27" t="s">
        <v>110</v>
      </c>
    </row>
    <row r="598" spans="1:37">
      <c r="A598" s="70">
        <v>593</v>
      </c>
      <c r="B598" s="70">
        <f t="shared" si="27"/>
        <v>0</v>
      </c>
      <c r="C598" s="71"/>
      <c r="D598" s="59" t="s">
        <v>1024</v>
      </c>
      <c r="E598" s="60">
        <v>12765</v>
      </c>
      <c r="F598" s="10" t="s">
        <v>644</v>
      </c>
      <c r="G598" s="60">
        <v>805</v>
      </c>
      <c r="H598" s="81">
        <v>100</v>
      </c>
      <c r="I598" s="86" t="s">
        <v>110</v>
      </c>
      <c r="J598" s="81">
        <v>100</v>
      </c>
      <c r="K598" s="86" t="s">
        <v>110</v>
      </c>
      <c r="L598" s="81">
        <v>230</v>
      </c>
      <c r="M598" s="86" t="s">
        <v>110</v>
      </c>
      <c r="N598" s="81">
        <v>70002</v>
      </c>
      <c r="O598" s="86" t="s">
        <v>110</v>
      </c>
      <c r="P598" s="89">
        <f t="shared" si="28"/>
        <v>230</v>
      </c>
      <c r="Q598" s="89">
        <f t="shared" si="29"/>
        <v>70002</v>
      </c>
      <c r="R598" s="96" t="s">
        <v>94</v>
      </c>
      <c r="S598" s="96" t="s">
        <v>645</v>
      </c>
      <c r="T598" s="96" t="s">
        <v>94</v>
      </c>
      <c r="U598" s="96" t="s">
        <v>136</v>
      </c>
      <c r="V598" s="96" t="s">
        <v>94</v>
      </c>
      <c r="W598" s="96" t="s">
        <v>97</v>
      </c>
      <c r="X598" s="96" t="s">
        <v>500</v>
      </c>
      <c r="Y598" s="96" t="s">
        <v>110</v>
      </c>
      <c r="Z598" s="96" t="s">
        <v>148</v>
      </c>
      <c r="AA598" s="96" t="s">
        <v>646</v>
      </c>
      <c r="AB598" s="96" t="s">
        <v>647</v>
      </c>
      <c r="AC598" s="96" t="s">
        <v>648</v>
      </c>
      <c r="AD598" s="96" t="s">
        <v>649</v>
      </c>
      <c r="AE598" s="96" t="s">
        <v>650</v>
      </c>
      <c r="AF598" s="96" t="s">
        <v>651</v>
      </c>
      <c r="AG598" s="96" t="s">
        <v>110</v>
      </c>
      <c r="AH598" s="96">
        <v>2220</v>
      </c>
      <c r="AI598" s="96" t="s">
        <v>652</v>
      </c>
      <c r="AJ598" s="96" t="s">
        <v>653</v>
      </c>
      <c r="AK598" s="27" t="s">
        <v>110</v>
      </c>
    </row>
    <row r="599" spans="1:37">
      <c r="A599" s="70">
        <v>594</v>
      </c>
      <c r="B599" s="70">
        <f t="shared" si="27"/>
        <v>0</v>
      </c>
      <c r="C599" s="71"/>
      <c r="D599" s="59" t="s">
        <v>1024</v>
      </c>
      <c r="E599" s="60">
        <v>13711</v>
      </c>
      <c r="F599" s="10" t="s">
        <v>236</v>
      </c>
      <c r="G599" s="60">
        <v>805</v>
      </c>
      <c r="H599" s="81">
        <v>84</v>
      </c>
      <c r="I599" s="86">
        <v>81</v>
      </c>
      <c r="J599" s="81">
        <v>84</v>
      </c>
      <c r="K599" s="86">
        <v>81</v>
      </c>
      <c r="L599" s="81">
        <v>227</v>
      </c>
      <c r="M599" s="86">
        <v>211</v>
      </c>
      <c r="N599" s="81">
        <v>72823</v>
      </c>
      <c r="O599" s="86">
        <v>67203</v>
      </c>
      <c r="P599" s="89">
        <f t="shared" si="28"/>
        <v>219</v>
      </c>
      <c r="Q599" s="89">
        <f t="shared" si="29"/>
        <v>70013</v>
      </c>
      <c r="R599" s="96" t="s">
        <v>94</v>
      </c>
      <c r="S599" s="96" t="s">
        <v>237</v>
      </c>
      <c r="T599" s="96" t="s">
        <v>94</v>
      </c>
      <c r="U599" s="96" t="s">
        <v>136</v>
      </c>
      <c r="V599" s="96" t="s">
        <v>94</v>
      </c>
      <c r="W599" s="96" t="s">
        <v>97</v>
      </c>
      <c r="X599" s="96" t="s">
        <v>147</v>
      </c>
      <c r="Y599" s="96" t="s">
        <v>110</v>
      </c>
      <c r="Z599" s="96" t="s">
        <v>110</v>
      </c>
      <c r="AA599" s="96" t="s">
        <v>238</v>
      </c>
      <c r="AB599" s="96" t="s">
        <v>239</v>
      </c>
      <c r="AC599" s="96" t="s">
        <v>240</v>
      </c>
      <c r="AD599" s="96" t="s">
        <v>241</v>
      </c>
      <c r="AE599" s="96" t="s">
        <v>242</v>
      </c>
      <c r="AF599" s="96" t="s">
        <v>243</v>
      </c>
      <c r="AG599" s="96" t="s">
        <v>110</v>
      </c>
      <c r="AH599" s="96">
        <v>1606</v>
      </c>
      <c r="AI599" s="96" t="s">
        <v>244</v>
      </c>
      <c r="AJ599" s="96" t="s">
        <v>245</v>
      </c>
      <c r="AK599" s="27" t="s">
        <v>110</v>
      </c>
    </row>
    <row r="600" spans="1:37">
      <c r="A600" s="70">
        <v>595</v>
      </c>
      <c r="B600" s="70">
        <f t="shared" si="27"/>
        <v>0</v>
      </c>
      <c r="C600" s="71"/>
      <c r="D600" s="59" t="s">
        <v>1024</v>
      </c>
      <c r="E600" s="60">
        <v>12770</v>
      </c>
      <c r="F600" s="10" t="s">
        <v>446</v>
      </c>
      <c r="G600" s="60">
        <v>804</v>
      </c>
      <c r="H600" s="81">
        <v>205</v>
      </c>
      <c r="I600" s="86" t="s">
        <v>110</v>
      </c>
      <c r="J600" s="81">
        <v>205</v>
      </c>
      <c r="K600" s="86" t="s">
        <v>110</v>
      </c>
      <c r="L600" s="81">
        <v>230</v>
      </c>
      <c r="M600" s="86" t="s">
        <v>110</v>
      </c>
      <c r="N600" s="81">
        <v>70022</v>
      </c>
      <c r="O600" s="86" t="s">
        <v>110</v>
      </c>
      <c r="P600" s="89">
        <f t="shared" si="28"/>
        <v>230</v>
      </c>
      <c r="Q600" s="89">
        <f t="shared" si="29"/>
        <v>70022</v>
      </c>
      <c r="R600" s="96" t="s">
        <v>94</v>
      </c>
      <c r="S600" s="96" t="s">
        <v>447</v>
      </c>
      <c r="T600" s="96" t="s">
        <v>94</v>
      </c>
      <c r="U600" s="96" t="s">
        <v>136</v>
      </c>
      <c r="V600" s="96" t="s">
        <v>94</v>
      </c>
      <c r="W600" s="96" t="s">
        <v>97</v>
      </c>
      <c r="X600" s="96" t="s">
        <v>448</v>
      </c>
      <c r="Y600" s="96" t="s">
        <v>110</v>
      </c>
      <c r="Z600" s="96" t="s">
        <v>110</v>
      </c>
      <c r="AA600" s="96" t="s">
        <v>449</v>
      </c>
      <c r="AB600" s="96" t="s">
        <v>450</v>
      </c>
      <c r="AC600" s="96" t="s">
        <v>451</v>
      </c>
      <c r="AD600" s="96" t="s">
        <v>452</v>
      </c>
      <c r="AE600" s="96" t="s">
        <v>453</v>
      </c>
      <c r="AF600" s="96" t="s">
        <v>454</v>
      </c>
      <c r="AG600" s="96" t="s">
        <v>455</v>
      </c>
      <c r="AH600" s="96">
        <v>2300</v>
      </c>
      <c r="AI600" s="96" t="s">
        <v>456</v>
      </c>
      <c r="AJ600" s="96" t="s">
        <v>457</v>
      </c>
      <c r="AK600" s="27" t="s">
        <v>110</v>
      </c>
    </row>
    <row r="601" spans="1:37">
      <c r="A601" s="70">
        <v>596</v>
      </c>
      <c r="B601" s="70">
        <f t="shared" si="27"/>
        <v>0</v>
      </c>
      <c r="C601" s="71"/>
      <c r="D601" s="59" t="s">
        <v>1024</v>
      </c>
      <c r="E601" s="60">
        <v>12322</v>
      </c>
      <c r="F601" s="10" t="s">
        <v>478</v>
      </c>
      <c r="G601" s="60">
        <v>803</v>
      </c>
      <c r="H601" s="81">
        <v>70</v>
      </c>
      <c r="I601" s="86">
        <v>101</v>
      </c>
      <c r="J601" s="81">
        <v>70</v>
      </c>
      <c r="K601" s="86">
        <v>101</v>
      </c>
      <c r="L601" s="81">
        <v>228</v>
      </c>
      <c r="M601" s="86">
        <v>207</v>
      </c>
      <c r="N601" s="81">
        <v>71347</v>
      </c>
      <c r="O601" s="86">
        <v>69799</v>
      </c>
      <c r="P601" s="89">
        <f t="shared" si="28"/>
        <v>217.5</v>
      </c>
      <c r="Q601" s="89">
        <f t="shared" si="29"/>
        <v>70573</v>
      </c>
      <c r="R601" s="96" t="s">
        <v>94</v>
      </c>
      <c r="S601" s="96" t="s">
        <v>124</v>
      </c>
      <c r="T601" s="96" t="s">
        <v>94</v>
      </c>
      <c r="U601" s="96" t="s">
        <v>136</v>
      </c>
      <c r="V601" s="96" t="s">
        <v>94</v>
      </c>
      <c r="W601" s="96" t="s">
        <v>97</v>
      </c>
      <c r="X601" s="96" t="s">
        <v>98</v>
      </c>
      <c r="Y601" s="96" t="s">
        <v>479</v>
      </c>
      <c r="Z601" s="96" t="s">
        <v>480</v>
      </c>
      <c r="AA601" s="96" t="s">
        <v>481</v>
      </c>
      <c r="AB601" s="96" t="s">
        <v>482</v>
      </c>
      <c r="AC601" s="96" t="s">
        <v>483</v>
      </c>
      <c r="AD601" s="96" t="s">
        <v>484</v>
      </c>
      <c r="AE601" s="96" t="s">
        <v>485</v>
      </c>
      <c r="AF601" s="96" t="s">
        <v>486</v>
      </c>
      <c r="AG601" s="96" t="s">
        <v>487</v>
      </c>
      <c r="AH601" s="96">
        <v>1473</v>
      </c>
      <c r="AI601" s="96" t="s">
        <v>488</v>
      </c>
      <c r="AJ601" s="96" t="s">
        <v>489</v>
      </c>
      <c r="AK601" s="27" t="s">
        <v>110</v>
      </c>
    </row>
    <row r="602" spans="1:37">
      <c r="A602" s="70">
        <v>597</v>
      </c>
      <c r="B602" s="70">
        <f t="shared" si="27"/>
        <v>0</v>
      </c>
      <c r="C602" s="71"/>
      <c r="D602" s="59" t="s">
        <v>1024</v>
      </c>
      <c r="E602" s="60">
        <v>13930</v>
      </c>
      <c r="F602" s="10" t="s">
        <v>525</v>
      </c>
      <c r="G602" s="60">
        <v>806</v>
      </c>
      <c r="H602" s="81">
        <v>30</v>
      </c>
      <c r="I602" s="86" t="s">
        <v>110</v>
      </c>
      <c r="J602" s="81">
        <v>30</v>
      </c>
      <c r="K602" s="86" t="s">
        <v>110</v>
      </c>
      <c r="L602" s="81">
        <v>229</v>
      </c>
      <c r="M602" s="86" t="s">
        <v>110</v>
      </c>
      <c r="N602" s="81">
        <v>70822</v>
      </c>
      <c r="O602" s="86" t="s">
        <v>110</v>
      </c>
      <c r="P602" s="89">
        <f t="shared" si="28"/>
        <v>229</v>
      </c>
      <c r="Q602" s="89">
        <f t="shared" si="29"/>
        <v>70822</v>
      </c>
      <c r="R602" s="96" t="s">
        <v>94</v>
      </c>
      <c r="S602" s="96" t="s">
        <v>124</v>
      </c>
      <c r="T602" s="96" t="s">
        <v>94</v>
      </c>
      <c r="U602" s="96" t="s">
        <v>136</v>
      </c>
      <c r="V602" s="96" t="s">
        <v>94</v>
      </c>
      <c r="W602" s="96" t="s">
        <v>97</v>
      </c>
      <c r="X602" s="96" t="s">
        <v>98</v>
      </c>
      <c r="Y602" s="96" t="s">
        <v>349</v>
      </c>
      <c r="Z602" s="96" t="s">
        <v>226</v>
      </c>
      <c r="AA602" s="96" t="s">
        <v>526</v>
      </c>
      <c r="AB602" s="96" t="s">
        <v>527</v>
      </c>
      <c r="AC602" s="96" t="s">
        <v>528</v>
      </c>
      <c r="AD602" s="96" t="s">
        <v>529</v>
      </c>
      <c r="AE602" s="96" t="s">
        <v>530</v>
      </c>
      <c r="AF602" s="96" t="s">
        <v>531</v>
      </c>
      <c r="AG602" s="96" t="s">
        <v>110</v>
      </c>
      <c r="AH602" s="96">
        <v>1998</v>
      </c>
      <c r="AI602" s="96" t="s">
        <v>532</v>
      </c>
      <c r="AJ602" s="96" t="s">
        <v>533</v>
      </c>
      <c r="AK602" s="27" t="s">
        <v>110</v>
      </c>
    </row>
    <row r="603" spans="1:37">
      <c r="A603" s="70">
        <v>598</v>
      </c>
      <c r="B603" s="70">
        <f t="shared" si="27"/>
        <v>0</v>
      </c>
      <c r="C603" s="71"/>
      <c r="D603" s="59" t="s">
        <v>1024</v>
      </c>
      <c r="E603" s="60">
        <v>12765</v>
      </c>
      <c r="F603" s="10" t="s">
        <v>644</v>
      </c>
      <c r="G603" s="60">
        <v>812</v>
      </c>
      <c r="H603" s="81">
        <v>80</v>
      </c>
      <c r="I603" s="86" t="s">
        <v>110</v>
      </c>
      <c r="J603" s="81">
        <v>80</v>
      </c>
      <c r="K603" s="86" t="s">
        <v>110</v>
      </c>
      <c r="L603" s="81">
        <v>229</v>
      </c>
      <c r="M603" s="86" t="s">
        <v>110</v>
      </c>
      <c r="N603" s="81">
        <v>70852</v>
      </c>
      <c r="O603" s="86" t="s">
        <v>110</v>
      </c>
      <c r="P603" s="89">
        <f t="shared" si="28"/>
        <v>229</v>
      </c>
      <c r="Q603" s="89">
        <f t="shared" si="29"/>
        <v>70852</v>
      </c>
      <c r="R603" s="96" t="s">
        <v>94</v>
      </c>
      <c r="S603" s="96" t="s">
        <v>645</v>
      </c>
      <c r="T603" s="96" t="s">
        <v>94</v>
      </c>
      <c r="U603" s="96" t="s">
        <v>136</v>
      </c>
      <c r="V603" s="96" t="s">
        <v>94</v>
      </c>
      <c r="W603" s="96" t="s">
        <v>97</v>
      </c>
      <c r="X603" s="96" t="s">
        <v>500</v>
      </c>
      <c r="Y603" s="96" t="s">
        <v>110</v>
      </c>
      <c r="Z603" s="96" t="s">
        <v>148</v>
      </c>
      <c r="AA603" s="96" t="s">
        <v>646</v>
      </c>
      <c r="AB603" s="96" t="s">
        <v>647</v>
      </c>
      <c r="AC603" s="96" t="s">
        <v>648</v>
      </c>
      <c r="AD603" s="96" t="s">
        <v>649</v>
      </c>
      <c r="AE603" s="96" t="s">
        <v>650</v>
      </c>
      <c r="AF603" s="96" t="s">
        <v>651</v>
      </c>
      <c r="AG603" s="96" t="s">
        <v>110</v>
      </c>
      <c r="AH603" s="96">
        <v>2220</v>
      </c>
      <c r="AI603" s="96" t="s">
        <v>652</v>
      </c>
      <c r="AJ603" s="96" t="s">
        <v>653</v>
      </c>
      <c r="AK603" s="27" t="s">
        <v>110</v>
      </c>
    </row>
    <row r="604" spans="1:37">
      <c r="A604" s="70">
        <v>599</v>
      </c>
      <c r="B604" s="70">
        <f t="shared" si="27"/>
        <v>0</v>
      </c>
      <c r="C604" s="71"/>
      <c r="D604" s="59" t="s">
        <v>1024</v>
      </c>
      <c r="E604" s="60">
        <v>14587</v>
      </c>
      <c r="F604" s="10" t="s">
        <v>757</v>
      </c>
      <c r="G604" s="60">
        <v>816</v>
      </c>
      <c r="H604" s="81">
        <v>6</v>
      </c>
      <c r="I604" s="86">
        <v>6</v>
      </c>
      <c r="J604" s="81">
        <v>6</v>
      </c>
      <c r="K604" s="86">
        <v>6</v>
      </c>
      <c r="L604" s="81">
        <v>230</v>
      </c>
      <c r="M604" s="86">
        <v>204</v>
      </c>
      <c r="N604" s="81">
        <v>69528</v>
      </c>
      <c r="O604" s="86">
        <v>72996</v>
      </c>
      <c r="P604" s="89">
        <f t="shared" si="28"/>
        <v>217</v>
      </c>
      <c r="Q604" s="89">
        <f t="shared" si="29"/>
        <v>71262</v>
      </c>
      <c r="R604" s="96" t="s">
        <v>94</v>
      </c>
      <c r="S604" s="96" t="s">
        <v>320</v>
      </c>
      <c r="T604" s="96" t="s">
        <v>94</v>
      </c>
      <c r="U604" s="96" t="s">
        <v>136</v>
      </c>
      <c r="V604" s="96" t="s">
        <v>94</v>
      </c>
      <c r="W604" s="96" t="s">
        <v>97</v>
      </c>
      <c r="X604" s="96" t="s">
        <v>147</v>
      </c>
      <c r="Y604" s="96" t="s">
        <v>110</v>
      </c>
      <c r="Z604" s="96" t="s">
        <v>110</v>
      </c>
      <c r="AA604" s="96" t="s">
        <v>758</v>
      </c>
      <c r="AB604" s="96" t="s">
        <v>110</v>
      </c>
      <c r="AC604" s="96" t="s">
        <v>759</v>
      </c>
      <c r="AD604" s="96" t="s">
        <v>760</v>
      </c>
      <c r="AE604" s="96">
        <v>6686618889</v>
      </c>
      <c r="AF604" s="96" t="s">
        <v>761</v>
      </c>
      <c r="AG604" s="96" t="s">
        <v>762</v>
      </c>
      <c r="AH604" s="96">
        <v>2631</v>
      </c>
      <c r="AI604" s="96" t="s">
        <v>763</v>
      </c>
      <c r="AJ604" s="96" t="s">
        <v>764</v>
      </c>
      <c r="AK604" s="27" t="s">
        <v>110</v>
      </c>
    </row>
    <row r="605" spans="1:37">
      <c r="A605" s="70">
        <v>600</v>
      </c>
      <c r="B605" s="70">
        <f t="shared" si="27"/>
        <v>0</v>
      </c>
      <c r="C605" s="71"/>
      <c r="D605" s="59" t="s">
        <v>1024</v>
      </c>
      <c r="E605" s="60">
        <v>13810</v>
      </c>
      <c r="F605" s="10" t="s">
        <v>144</v>
      </c>
      <c r="G605" s="60">
        <v>803</v>
      </c>
      <c r="H605" s="81">
        <v>60</v>
      </c>
      <c r="I605" s="86">
        <v>60</v>
      </c>
      <c r="J605" s="81">
        <v>60</v>
      </c>
      <c r="K605" s="86">
        <v>60</v>
      </c>
      <c r="L605" s="81">
        <v>231</v>
      </c>
      <c r="M605" s="86">
        <v>203</v>
      </c>
      <c r="N605" s="81">
        <v>68906</v>
      </c>
      <c r="O605" s="86">
        <v>73710</v>
      </c>
      <c r="P605" s="89">
        <f t="shared" si="28"/>
        <v>217</v>
      </c>
      <c r="Q605" s="89">
        <f t="shared" si="29"/>
        <v>71308</v>
      </c>
      <c r="R605" s="96" t="s">
        <v>94</v>
      </c>
      <c r="S605" s="96" t="s">
        <v>145</v>
      </c>
      <c r="T605" s="96" t="s">
        <v>94</v>
      </c>
      <c r="U605" s="96" t="s">
        <v>146</v>
      </c>
      <c r="V605" s="96" t="s">
        <v>94</v>
      </c>
      <c r="W605" s="96" t="s">
        <v>97</v>
      </c>
      <c r="X605" s="96" t="s">
        <v>147</v>
      </c>
      <c r="Y605" s="96" t="s">
        <v>110</v>
      </c>
      <c r="Z605" s="96" t="s">
        <v>148</v>
      </c>
      <c r="AA605" s="96" t="s">
        <v>149</v>
      </c>
      <c r="AB605" s="96" t="s">
        <v>110</v>
      </c>
      <c r="AC605" s="96" t="s">
        <v>150</v>
      </c>
      <c r="AD605" s="96" t="s">
        <v>151</v>
      </c>
      <c r="AE605" s="96" t="s">
        <v>152</v>
      </c>
      <c r="AF605" s="96" t="s">
        <v>153</v>
      </c>
      <c r="AG605" s="96" t="s">
        <v>110</v>
      </c>
      <c r="AH605" s="96">
        <v>662</v>
      </c>
      <c r="AI605" s="96" t="s">
        <v>154</v>
      </c>
      <c r="AJ605" s="96" t="s">
        <v>155</v>
      </c>
      <c r="AK605" s="27" t="s">
        <v>110</v>
      </c>
    </row>
    <row r="606" spans="1:37">
      <c r="A606" s="70">
        <v>601</v>
      </c>
      <c r="B606" s="70">
        <f t="shared" si="27"/>
        <v>0</v>
      </c>
      <c r="C606" s="71"/>
      <c r="D606" s="59" t="s">
        <v>1024</v>
      </c>
      <c r="E606" s="60">
        <v>14638</v>
      </c>
      <c r="F606" s="10" t="s">
        <v>674</v>
      </c>
      <c r="G606" s="60">
        <v>801</v>
      </c>
      <c r="H606" s="81">
        <v>285</v>
      </c>
      <c r="I606" s="86">
        <v>250</v>
      </c>
      <c r="J606" s="81">
        <v>285</v>
      </c>
      <c r="K606" s="86">
        <v>250</v>
      </c>
      <c r="L606" s="81">
        <v>224</v>
      </c>
      <c r="M606" s="86">
        <v>210</v>
      </c>
      <c r="N606" s="81">
        <v>75203</v>
      </c>
      <c r="O606" s="86">
        <v>67835</v>
      </c>
      <c r="P606" s="89">
        <f t="shared" si="28"/>
        <v>217</v>
      </c>
      <c r="Q606" s="89">
        <f t="shared" si="29"/>
        <v>71519</v>
      </c>
      <c r="R606" s="96" t="s">
        <v>94</v>
      </c>
      <c r="S606" s="96" t="s">
        <v>320</v>
      </c>
      <c r="T606" s="96" t="s">
        <v>94</v>
      </c>
      <c r="U606" s="96" t="s">
        <v>136</v>
      </c>
      <c r="V606" s="96" t="s">
        <v>94</v>
      </c>
      <c r="W606" s="96" t="s">
        <v>97</v>
      </c>
      <c r="X606" s="96" t="s">
        <v>147</v>
      </c>
      <c r="Y606" s="96" t="s">
        <v>110</v>
      </c>
      <c r="Z606" s="96" t="s">
        <v>110</v>
      </c>
      <c r="AA606" s="96" t="s">
        <v>675</v>
      </c>
      <c r="AB606" s="96" t="s">
        <v>110</v>
      </c>
      <c r="AC606" s="96" t="s">
        <v>676</v>
      </c>
      <c r="AD606" s="96" t="s">
        <v>677</v>
      </c>
      <c r="AE606" s="96" t="s">
        <v>678</v>
      </c>
      <c r="AF606" s="96" t="s">
        <v>679</v>
      </c>
      <c r="AG606" s="96" t="s">
        <v>110</v>
      </c>
      <c r="AH606" s="96">
        <v>2550</v>
      </c>
      <c r="AI606" s="96" t="s">
        <v>680</v>
      </c>
      <c r="AJ606" s="96" t="s">
        <v>681</v>
      </c>
      <c r="AK606" s="27" t="s">
        <v>110</v>
      </c>
    </row>
    <row r="607" spans="1:37">
      <c r="A607" s="70">
        <v>602</v>
      </c>
      <c r="B607" s="70">
        <f t="shared" si="27"/>
        <v>0</v>
      </c>
      <c r="C607" s="71"/>
      <c r="D607" s="59" t="s">
        <v>1024</v>
      </c>
      <c r="E607" s="60">
        <v>14587</v>
      </c>
      <c r="F607" s="10" t="s">
        <v>757</v>
      </c>
      <c r="G607" s="60">
        <v>810</v>
      </c>
      <c r="H607" s="81">
        <v>112</v>
      </c>
      <c r="I607" s="86">
        <v>31</v>
      </c>
      <c r="J607" s="81">
        <v>112</v>
      </c>
      <c r="K607" s="86">
        <v>31</v>
      </c>
      <c r="L607" s="81">
        <v>210</v>
      </c>
      <c r="M607" s="86">
        <v>225</v>
      </c>
      <c r="N607" s="81">
        <v>87688</v>
      </c>
      <c r="O607" s="86">
        <v>55733</v>
      </c>
      <c r="P607" s="89">
        <f t="shared" si="28"/>
        <v>217.5</v>
      </c>
      <c r="Q607" s="89">
        <f t="shared" si="29"/>
        <v>71710.5</v>
      </c>
      <c r="R607" s="96" t="s">
        <v>94</v>
      </c>
      <c r="S607" s="96" t="s">
        <v>320</v>
      </c>
      <c r="T607" s="96" t="s">
        <v>94</v>
      </c>
      <c r="U607" s="96" t="s">
        <v>136</v>
      </c>
      <c r="V607" s="96" t="s">
        <v>94</v>
      </c>
      <c r="W607" s="96" t="s">
        <v>97</v>
      </c>
      <c r="X607" s="96" t="s">
        <v>147</v>
      </c>
      <c r="Y607" s="96" t="s">
        <v>110</v>
      </c>
      <c r="Z607" s="96" t="s">
        <v>110</v>
      </c>
      <c r="AA607" s="96" t="s">
        <v>758</v>
      </c>
      <c r="AB607" s="96" t="s">
        <v>110</v>
      </c>
      <c r="AC607" s="96" t="s">
        <v>759</v>
      </c>
      <c r="AD607" s="96" t="s">
        <v>760</v>
      </c>
      <c r="AE607" s="96">
        <v>6686618889</v>
      </c>
      <c r="AF607" s="96" t="s">
        <v>761</v>
      </c>
      <c r="AG607" s="96" t="s">
        <v>762</v>
      </c>
      <c r="AH607" s="96">
        <v>2631</v>
      </c>
      <c r="AI607" s="96" t="s">
        <v>763</v>
      </c>
      <c r="AJ607" s="96" t="s">
        <v>764</v>
      </c>
      <c r="AK607" s="27" t="s">
        <v>110</v>
      </c>
    </row>
    <row r="608" spans="1:37">
      <c r="A608" s="70">
        <v>603</v>
      </c>
      <c r="B608" s="70">
        <f t="shared" si="27"/>
        <v>0</v>
      </c>
      <c r="C608" s="71"/>
      <c r="D608" s="59" t="s">
        <v>1024</v>
      </c>
      <c r="E608" s="60">
        <v>12060</v>
      </c>
      <c r="F608" s="10" t="s">
        <v>664</v>
      </c>
      <c r="G608" s="60">
        <v>802</v>
      </c>
      <c r="H608" s="81">
        <v>550</v>
      </c>
      <c r="I608" s="86">
        <v>218</v>
      </c>
      <c r="J608" s="81">
        <v>550</v>
      </c>
      <c r="K608" s="86">
        <v>218</v>
      </c>
      <c r="L608" s="81">
        <v>224</v>
      </c>
      <c r="M608" s="86">
        <v>208</v>
      </c>
      <c r="N608" s="81">
        <v>75143</v>
      </c>
      <c r="O608" s="86">
        <v>69059</v>
      </c>
      <c r="P608" s="89">
        <f t="shared" si="28"/>
        <v>216</v>
      </c>
      <c r="Q608" s="89">
        <f t="shared" si="29"/>
        <v>72101</v>
      </c>
      <c r="R608" s="96" t="s">
        <v>94</v>
      </c>
      <c r="S608" s="96" t="s">
        <v>665</v>
      </c>
      <c r="T608" s="96" t="s">
        <v>94</v>
      </c>
      <c r="U608" s="96" t="s">
        <v>136</v>
      </c>
      <c r="V608" s="96" t="s">
        <v>94</v>
      </c>
      <c r="W608" s="96" t="s">
        <v>97</v>
      </c>
      <c r="X608" s="96" t="s">
        <v>500</v>
      </c>
      <c r="Y608" s="96" t="s">
        <v>382</v>
      </c>
      <c r="Z608" s="96" t="s">
        <v>148</v>
      </c>
      <c r="AA608" s="96" t="s">
        <v>666</v>
      </c>
      <c r="AB608" s="96" t="s">
        <v>667</v>
      </c>
      <c r="AC608" s="96" t="s">
        <v>668</v>
      </c>
      <c r="AD608" s="96" t="s">
        <v>669</v>
      </c>
      <c r="AE608" s="96" t="s">
        <v>670</v>
      </c>
      <c r="AF608" s="96" t="s">
        <v>671</v>
      </c>
      <c r="AG608" s="96" t="s">
        <v>110</v>
      </c>
      <c r="AH608" s="96">
        <v>1729</v>
      </c>
      <c r="AI608" s="96" t="s">
        <v>672</v>
      </c>
      <c r="AJ608" s="96" t="s">
        <v>673</v>
      </c>
      <c r="AK608" s="27" t="s">
        <v>110</v>
      </c>
    </row>
    <row r="609" spans="1:37">
      <c r="A609" s="70">
        <v>604</v>
      </c>
      <c r="B609" s="70">
        <f t="shared" si="27"/>
        <v>0</v>
      </c>
      <c r="C609" s="71"/>
      <c r="D609" s="59" t="s">
        <v>1024</v>
      </c>
      <c r="E609" s="60">
        <v>12771</v>
      </c>
      <c r="F609" s="10" t="s">
        <v>719</v>
      </c>
      <c r="G609" s="60">
        <v>801</v>
      </c>
      <c r="H609" s="81">
        <v>926</v>
      </c>
      <c r="I609" s="86">
        <v>991</v>
      </c>
      <c r="J609" s="81">
        <v>926</v>
      </c>
      <c r="K609" s="86">
        <v>991</v>
      </c>
      <c r="L609" s="81">
        <v>225</v>
      </c>
      <c r="M609" s="86">
        <v>206</v>
      </c>
      <c r="N609" s="81">
        <v>74364</v>
      </c>
      <c r="O609" s="86">
        <v>71125</v>
      </c>
      <c r="P609" s="89">
        <f t="shared" si="28"/>
        <v>215.5</v>
      </c>
      <c r="Q609" s="89">
        <f t="shared" si="29"/>
        <v>72744.5</v>
      </c>
      <c r="R609" s="96" t="s">
        <v>94</v>
      </c>
      <c r="S609" s="96" t="s">
        <v>720</v>
      </c>
      <c r="T609" s="96" t="s">
        <v>94</v>
      </c>
      <c r="U609" s="96" t="s">
        <v>136</v>
      </c>
      <c r="V609" s="96" t="s">
        <v>94</v>
      </c>
      <c r="W609" s="96" t="s">
        <v>97</v>
      </c>
      <c r="X609" s="96" t="s">
        <v>500</v>
      </c>
      <c r="Y609" s="96" t="s">
        <v>110</v>
      </c>
      <c r="Z609" s="96" t="s">
        <v>110</v>
      </c>
      <c r="AA609" s="96" t="s">
        <v>721</v>
      </c>
      <c r="AB609" s="96" t="s">
        <v>722</v>
      </c>
      <c r="AC609" s="96" t="s">
        <v>723</v>
      </c>
      <c r="AD609" s="96" t="s">
        <v>724</v>
      </c>
      <c r="AE609" s="96" t="s">
        <v>725</v>
      </c>
      <c r="AF609" s="96" t="s">
        <v>726</v>
      </c>
      <c r="AG609" s="96" t="s">
        <v>110</v>
      </c>
      <c r="AH609" s="96">
        <v>1918</v>
      </c>
      <c r="AI609" s="96" t="s">
        <v>727</v>
      </c>
      <c r="AJ609" s="96" t="s">
        <v>728</v>
      </c>
      <c r="AK609" s="27" t="s">
        <v>110</v>
      </c>
    </row>
    <row r="610" spans="1:37">
      <c r="A610" s="70">
        <v>605</v>
      </c>
      <c r="B610" s="70">
        <f t="shared" si="27"/>
        <v>0</v>
      </c>
      <c r="C610" s="71"/>
      <c r="D610" s="59" t="s">
        <v>1024</v>
      </c>
      <c r="E610" s="60">
        <v>13712</v>
      </c>
      <c r="F610" s="10" t="s">
        <v>600</v>
      </c>
      <c r="G610" s="60">
        <v>804</v>
      </c>
      <c r="H610" s="81">
        <v>383</v>
      </c>
      <c r="I610" s="86">
        <v>230</v>
      </c>
      <c r="J610" s="81">
        <v>383</v>
      </c>
      <c r="K610" s="86">
        <v>230</v>
      </c>
      <c r="L610" s="81">
        <v>223</v>
      </c>
      <c r="M610" s="86">
        <v>206</v>
      </c>
      <c r="N610" s="81">
        <v>75861</v>
      </c>
      <c r="O610" s="86">
        <v>70696</v>
      </c>
      <c r="P610" s="89">
        <f t="shared" si="28"/>
        <v>214.5</v>
      </c>
      <c r="Q610" s="89">
        <f t="shared" si="29"/>
        <v>73278.5</v>
      </c>
      <c r="R610" s="96" t="s">
        <v>94</v>
      </c>
      <c r="S610" s="96" t="s">
        <v>320</v>
      </c>
      <c r="T610" s="96" t="s">
        <v>94</v>
      </c>
      <c r="U610" s="96" t="s">
        <v>136</v>
      </c>
      <c r="V610" s="96" t="s">
        <v>94</v>
      </c>
      <c r="W610" s="96" t="s">
        <v>97</v>
      </c>
      <c r="X610" s="96" t="s">
        <v>147</v>
      </c>
      <c r="Y610" s="96" t="s">
        <v>110</v>
      </c>
      <c r="Z610" s="96" t="s">
        <v>110</v>
      </c>
      <c r="AA610" s="96" t="s">
        <v>601</v>
      </c>
      <c r="AB610" s="96" t="s">
        <v>602</v>
      </c>
      <c r="AC610" s="96" t="s">
        <v>603</v>
      </c>
      <c r="AD610" s="96" t="s">
        <v>604</v>
      </c>
      <c r="AE610" s="96" t="s">
        <v>605</v>
      </c>
      <c r="AF610" s="96" t="s">
        <v>606</v>
      </c>
      <c r="AG610" s="96" t="s">
        <v>110</v>
      </c>
      <c r="AH610" s="96">
        <v>2152</v>
      </c>
      <c r="AI610" s="96" t="s">
        <v>607</v>
      </c>
      <c r="AJ610" s="96" t="s">
        <v>608</v>
      </c>
      <c r="AK610" s="27" t="s">
        <v>110</v>
      </c>
    </row>
    <row r="611" spans="1:37">
      <c r="A611" s="70">
        <v>606</v>
      </c>
      <c r="B611" s="70">
        <f t="shared" si="27"/>
        <v>0</v>
      </c>
      <c r="C611" s="71"/>
      <c r="D611" s="59" t="s">
        <v>1024</v>
      </c>
      <c r="E611" s="60">
        <v>14587</v>
      </c>
      <c r="F611" s="10" t="s">
        <v>757</v>
      </c>
      <c r="G611" s="60">
        <v>806</v>
      </c>
      <c r="H611" s="81">
        <v>71</v>
      </c>
      <c r="I611" s="86">
        <v>15</v>
      </c>
      <c r="J611" s="81">
        <v>71</v>
      </c>
      <c r="K611" s="86">
        <v>15</v>
      </c>
      <c r="L611" s="81">
        <v>212</v>
      </c>
      <c r="M611" s="86">
        <v>219</v>
      </c>
      <c r="N611" s="81">
        <v>86423</v>
      </c>
      <c r="O611" s="86">
        <v>60174</v>
      </c>
      <c r="P611" s="89">
        <f t="shared" si="28"/>
        <v>215.5</v>
      </c>
      <c r="Q611" s="89">
        <f t="shared" si="29"/>
        <v>73298.5</v>
      </c>
      <c r="R611" s="96" t="s">
        <v>94</v>
      </c>
      <c r="S611" s="96" t="s">
        <v>320</v>
      </c>
      <c r="T611" s="96" t="s">
        <v>94</v>
      </c>
      <c r="U611" s="96" t="s">
        <v>136</v>
      </c>
      <c r="V611" s="96" t="s">
        <v>94</v>
      </c>
      <c r="W611" s="96" t="s">
        <v>97</v>
      </c>
      <c r="X611" s="96" t="s">
        <v>147</v>
      </c>
      <c r="Y611" s="96" t="s">
        <v>110</v>
      </c>
      <c r="Z611" s="96" t="s">
        <v>110</v>
      </c>
      <c r="AA611" s="96" t="s">
        <v>758</v>
      </c>
      <c r="AB611" s="96" t="s">
        <v>110</v>
      </c>
      <c r="AC611" s="96" t="s">
        <v>759</v>
      </c>
      <c r="AD611" s="96" t="s">
        <v>760</v>
      </c>
      <c r="AE611" s="96">
        <v>6686618889</v>
      </c>
      <c r="AF611" s="96" t="s">
        <v>761</v>
      </c>
      <c r="AG611" s="96" t="s">
        <v>762</v>
      </c>
      <c r="AH611" s="96">
        <v>2631</v>
      </c>
      <c r="AI611" s="96" t="s">
        <v>763</v>
      </c>
      <c r="AJ611" s="96" t="s">
        <v>764</v>
      </c>
      <c r="AK611" s="27" t="s">
        <v>110</v>
      </c>
    </row>
    <row r="612" spans="1:37">
      <c r="A612" s="70">
        <v>607</v>
      </c>
      <c r="B612" s="70">
        <f t="shared" si="27"/>
        <v>0</v>
      </c>
      <c r="C612" s="71"/>
      <c r="D612" s="59" t="s">
        <v>1024</v>
      </c>
      <c r="E612" s="60">
        <v>14757</v>
      </c>
      <c r="F612" s="10" t="s">
        <v>749</v>
      </c>
      <c r="G612" s="60">
        <v>803</v>
      </c>
      <c r="H612" s="81">
        <v>20</v>
      </c>
      <c r="I612" s="86">
        <v>10</v>
      </c>
      <c r="J612" s="81">
        <v>20</v>
      </c>
      <c r="K612" s="86">
        <v>10</v>
      </c>
      <c r="L612" s="81">
        <v>211</v>
      </c>
      <c r="M612" s="86">
        <v>219</v>
      </c>
      <c r="N612" s="81">
        <v>87511</v>
      </c>
      <c r="O612" s="86">
        <v>60008</v>
      </c>
      <c r="P612" s="89">
        <f t="shared" si="28"/>
        <v>215</v>
      </c>
      <c r="Q612" s="89">
        <f t="shared" si="29"/>
        <v>73759.5</v>
      </c>
      <c r="R612" s="96" t="s">
        <v>94</v>
      </c>
      <c r="S612" s="96" t="s">
        <v>730</v>
      </c>
      <c r="T612" s="96" t="s">
        <v>94</v>
      </c>
      <c r="U612" s="96" t="s">
        <v>136</v>
      </c>
      <c r="V612" s="96" t="s">
        <v>94</v>
      </c>
      <c r="W612" s="96" t="s">
        <v>97</v>
      </c>
      <c r="X612" s="96" t="s">
        <v>147</v>
      </c>
      <c r="Y612" s="96" t="s">
        <v>110</v>
      </c>
      <c r="Z612" s="96" t="s">
        <v>110</v>
      </c>
      <c r="AA612" s="96" t="s">
        <v>750</v>
      </c>
      <c r="AB612" s="96" t="s">
        <v>110</v>
      </c>
      <c r="AC612" s="96" t="s">
        <v>751</v>
      </c>
      <c r="AD612" s="96" t="s">
        <v>752</v>
      </c>
      <c r="AE612" s="96" t="s">
        <v>753</v>
      </c>
      <c r="AF612" s="96" t="s">
        <v>754</v>
      </c>
      <c r="AG612" s="96" t="s">
        <v>110</v>
      </c>
      <c r="AH612" s="96">
        <v>2686</v>
      </c>
      <c r="AI612" s="96" t="s">
        <v>755</v>
      </c>
      <c r="AJ612" s="96" t="s">
        <v>756</v>
      </c>
      <c r="AK612" s="27" t="s">
        <v>110</v>
      </c>
    </row>
    <row r="613" spans="1:37">
      <c r="A613" s="70">
        <v>608</v>
      </c>
      <c r="B613" s="70">
        <f t="shared" si="27"/>
        <v>0</v>
      </c>
      <c r="C613" s="71"/>
      <c r="D613" s="59" t="s">
        <v>1024</v>
      </c>
      <c r="E613" s="60">
        <v>14587</v>
      </c>
      <c r="F613" s="10" t="s">
        <v>757</v>
      </c>
      <c r="G613" s="60">
        <v>809</v>
      </c>
      <c r="H613" s="81">
        <v>75</v>
      </c>
      <c r="I613" s="86">
        <v>38</v>
      </c>
      <c r="J613" s="81">
        <v>75</v>
      </c>
      <c r="K613" s="86">
        <v>38</v>
      </c>
      <c r="L613" s="81">
        <v>224</v>
      </c>
      <c r="M613" s="86">
        <v>204</v>
      </c>
      <c r="N613" s="81">
        <v>74943</v>
      </c>
      <c r="O613" s="86">
        <v>73018</v>
      </c>
      <c r="P613" s="89">
        <f t="shared" si="28"/>
        <v>214</v>
      </c>
      <c r="Q613" s="89">
        <f t="shared" si="29"/>
        <v>73980.5</v>
      </c>
      <c r="R613" s="96" t="s">
        <v>94</v>
      </c>
      <c r="S613" s="96" t="s">
        <v>320</v>
      </c>
      <c r="T613" s="96" t="s">
        <v>94</v>
      </c>
      <c r="U613" s="96" t="s">
        <v>136</v>
      </c>
      <c r="V613" s="96" t="s">
        <v>94</v>
      </c>
      <c r="W613" s="96" t="s">
        <v>97</v>
      </c>
      <c r="X613" s="96" t="s">
        <v>147</v>
      </c>
      <c r="Y613" s="96" t="s">
        <v>110</v>
      </c>
      <c r="Z613" s="96" t="s">
        <v>110</v>
      </c>
      <c r="AA613" s="96" t="s">
        <v>758</v>
      </c>
      <c r="AB613" s="96" t="s">
        <v>110</v>
      </c>
      <c r="AC613" s="96" t="s">
        <v>759</v>
      </c>
      <c r="AD613" s="96" t="s">
        <v>760</v>
      </c>
      <c r="AE613" s="96">
        <v>6686618889</v>
      </c>
      <c r="AF613" s="96" t="s">
        <v>761</v>
      </c>
      <c r="AG613" s="96" t="s">
        <v>762</v>
      </c>
      <c r="AH613" s="96">
        <v>2631</v>
      </c>
      <c r="AI613" s="96" t="s">
        <v>763</v>
      </c>
      <c r="AJ613" s="96" t="s">
        <v>764</v>
      </c>
      <c r="AK613" s="27" t="s">
        <v>110</v>
      </c>
    </row>
    <row r="614" spans="1:37">
      <c r="A614" s="70">
        <v>609</v>
      </c>
      <c r="B614" s="70">
        <f t="shared" si="27"/>
        <v>0</v>
      </c>
      <c r="C614" s="71"/>
      <c r="D614" s="59" t="s">
        <v>1024</v>
      </c>
      <c r="E614" s="60">
        <v>14664</v>
      </c>
      <c r="F614" s="10" t="s">
        <v>438</v>
      </c>
      <c r="G614" s="60">
        <v>804</v>
      </c>
      <c r="H614" s="81">
        <v>77</v>
      </c>
      <c r="I614" s="86">
        <v>68</v>
      </c>
      <c r="J614" s="81">
        <v>77</v>
      </c>
      <c r="K614" s="86">
        <v>68</v>
      </c>
      <c r="L614" s="81">
        <v>221</v>
      </c>
      <c r="M614" s="86">
        <v>207</v>
      </c>
      <c r="N614" s="81">
        <v>77896</v>
      </c>
      <c r="O614" s="86">
        <v>70167</v>
      </c>
      <c r="P614" s="89">
        <f t="shared" si="28"/>
        <v>214</v>
      </c>
      <c r="Q614" s="89">
        <f t="shared" si="29"/>
        <v>74031.5</v>
      </c>
      <c r="R614" s="96" t="s">
        <v>94</v>
      </c>
      <c r="S614" s="96" t="s">
        <v>237</v>
      </c>
      <c r="T614" s="96" t="s">
        <v>94</v>
      </c>
      <c r="U614" s="96" t="s">
        <v>136</v>
      </c>
      <c r="V614" s="96" t="s">
        <v>94</v>
      </c>
      <c r="W614" s="96" t="s">
        <v>97</v>
      </c>
      <c r="X614" s="96" t="s">
        <v>147</v>
      </c>
      <c r="Y614" s="96" t="s">
        <v>110</v>
      </c>
      <c r="Z614" s="96" t="s">
        <v>110</v>
      </c>
      <c r="AA614" s="96" t="s">
        <v>439</v>
      </c>
      <c r="AB614" s="96" t="s">
        <v>110</v>
      </c>
      <c r="AC614" s="96" t="s">
        <v>440</v>
      </c>
      <c r="AD614" s="96" t="s">
        <v>441</v>
      </c>
      <c r="AE614" s="96" t="s">
        <v>442</v>
      </c>
      <c r="AF614" s="96" t="s">
        <v>443</v>
      </c>
      <c r="AG614" s="96" t="s">
        <v>110</v>
      </c>
      <c r="AH614" s="96">
        <v>2851</v>
      </c>
      <c r="AI614" s="96" t="s">
        <v>444</v>
      </c>
      <c r="AJ614" s="96" t="s">
        <v>445</v>
      </c>
      <c r="AK614" s="27" t="s">
        <v>110</v>
      </c>
    </row>
    <row r="615" spans="1:37">
      <c r="A615" s="70">
        <v>610</v>
      </c>
      <c r="B615" s="70">
        <f t="shared" si="27"/>
        <v>0</v>
      </c>
      <c r="C615" s="71"/>
      <c r="D615" s="59" t="s">
        <v>1024</v>
      </c>
      <c r="E615" s="60">
        <v>12958</v>
      </c>
      <c r="F615" s="10" t="s">
        <v>498</v>
      </c>
      <c r="G615" s="60">
        <v>804</v>
      </c>
      <c r="H615" s="81">
        <v>30</v>
      </c>
      <c r="I615" s="86">
        <v>30</v>
      </c>
      <c r="J615" s="81">
        <v>30</v>
      </c>
      <c r="K615" s="86">
        <v>30</v>
      </c>
      <c r="L615" s="81">
        <v>231</v>
      </c>
      <c r="M615" s="86">
        <v>197</v>
      </c>
      <c r="N615" s="81">
        <v>69118</v>
      </c>
      <c r="O615" s="86">
        <v>79055</v>
      </c>
      <c r="P615" s="89">
        <f t="shared" si="28"/>
        <v>214</v>
      </c>
      <c r="Q615" s="89">
        <f t="shared" si="29"/>
        <v>74086.5</v>
      </c>
      <c r="R615" s="96" t="s">
        <v>94</v>
      </c>
      <c r="S615" s="96" t="s">
        <v>499</v>
      </c>
      <c r="T615" s="96" t="s">
        <v>94</v>
      </c>
      <c r="U615" s="96" t="s">
        <v>136</v>
      </c>
      <c r="V615" s="96" t="s">
        <v>94</v>
      </c>
      <c r="W615" s="96" t="s">
        <v>97</v>
      </c>
      <c r="X615" s="96" t="s">
        <v>500</v>
      </c>
      <c r="Y615" s="96" t="s">
        <v>225</v>
      </c>
      <c r="Z615" s="96" t="s">
        <v>226</v>
      </c>
      <c r="AA615" s="96" t="s">
        <v>501</v>
      </c>
      <c r="AB615" s="96" t="s">
        <v>502</v>
      </c>
      <c r="AC615" s="96" t="s">
        <v>503</v>
      </c>
      <c r="AD615" s="96" t="s">
        <v>504</v>
      </c>
      <c r="AE615" s="96" t="s">
        <v>505</v>
      </c>
      <c r="AF615" s="96" t="s">
        <v>506</v>
      </c>
      <c r="AG615" s="96" t="s">
        <v>507</v>
      </c>
      <c r="AH615" s="96">
        <v>1527</v>
      </c>
      <c r="AI615" s="96" t="s">
        <v>508</v>
      </c>
      <c r="AJ615" s="96" t="s">
        <v>509</v>
      </c>
      <c r="AK615" s="27" t="s">
        <v>110</v>
      </c>
    </row>
    <row r="616" spans="1:37">
      <c r="A616" s="70">
        <v>611</v>
      </c>
      <c r="B616" s="70">
        <f t="shared" si="27"/>
        <v>0</v>
      </c>
      <c r="C616" s="71"/>
      <c r="D616" s="59" t="s">
        <v>1024</v>
      </c>
      <c r="E616" s="60">
        <v>14556</v>
      </c>
      <c r="F616" s="10" t="s">
        <v>319</v>
      </c>
      <c r="G616" s="60">
        <v>802</v>
      </c>
      <c r="H616" s="81">
        <v>50</v>
      </c>
      <c r="I616" s="86">
        <v>20</v>
      </c>
      <c r="J616" s="81">
        <v>50</v>
      </c>
      <c r="K616" s="86">
        <v>20</v>
      </c>
      <c r="L616" s="81">
        <v>221</v>
      </c>
      <c r="M616" s="86">
        <v>207</v>
      </c>
      <c r="N616" s="81">
        <v>77637</v>
      </c>
      <c r="O616" s="86">
        <v>70602</v>
      </c>
      <c r="P616" s="89">
        <f t="shared" si="28"/>
        <v>214</v>
      </c>
      <c r="Q616" s="89">
        <f t="shared" si="29"/>
        <v>74119.5</v>
      </c>
      <c r="R616" s="96" t="s">
        <v>94</v>
      </c>
      <c r="S616" s="96" t="s">
        <v>320</v>
      </c>
      <c r="T616" s="96" t="s">
        <v>94</v>
      </c>
      <c r="U616" s="96" t="s">
        <v>136</v>
      </c>
      <c r="V616" s="96" t="s">
        <v>94</v>
      </c>
      <c r="W616" s="96" t="s">
        <v>97</v>
      </c>
      <c r="X616" s="96" t="s">
        <v>147</v>
      </c>
      <c r="Y616" s="96" t="s">
        <v>110</v>
      </c>
      <c r="Z616" s="96" t="s">
        <v>148</v>
      </c>
      <c r="AA616" s="96" t="s">
        <v>321</v>
      </c>
      <c r="AB616" s="96" t="s">
        <v>110</v>
      </c>
      <c r="AC616" s="96" t="s">
        <v>322</v>
      </c>
      <c r="AD616" s="96" t="s">
        <v>323</v>
      </c>
      <c r="AE616" s="96" t="s">
        <v>324</v>
      </c>
      <c r="AF616" s="96" t="s">
        <v>325</v>
      </c>
      <c r="AG616" s="96" t="s">
        <v>110</v>
      </c>
      <c r="AH616" s="96">
        <v>2591</v>
      </c>
      <c r="AI616" s="96" t="s">
        <v>326</v>
      </c>
      <c r="AJ616" s="96" t="s">
        <v>327</v>
      </c>
      <c r="AK616" s="27" t="s">
        <v>110</v>
      </c>
    </row>
    <row r="617" spans="1:37">
      <c r="A617" s="70">
        <v>612</v>
      </c>
      <c r="B617" s="70">
        <f t="shared" si="27"/>
        <v>0</v>
      </c>
      <c r="C617" s="71"/>
      <c r="D617" s="59" t="s">
        <v>1024</v>
      </c>
      <c r="E617" s="60">
        <v>50853</v>
      </c>
      <c r="F617" s="10" t="s">
        <v>740</v>
      </c>
      <c r="G617" s="60">
        <v>806</v>
      </c>
      <c r="H617" s="81">
        <v>108</v>
      </c>
      <c r="I617" s="86">
        <v>113</v>
      </c>
      <c r="J617" s="81">
        <v>108</v>
      </c>
      <c r="K617" s="86">
        <v>113</v>
      </c>
      <c r="L617" s="81">
        <v>225</v>
      </c>
      <c r="M617" s="86">
        <v>203</v>
      </c>
      <c r="N617" s="81">
        <v>74781</v>
      </c>
      <c r="O617" s="86">
        <v>73509</v>
      </c>
      <c r="P617" s="89">
        <f t="shared" si="28"/>
        <v>214</v>
      </c>
      <c r="Q617" s="89">
        <f t="shared" si="29"/>
        <v>74145</v>
      </c>
      <c r="R617" s="96" t="s">
        <v>94</v>
      </c>
      <c r="S617" s="96" t="s">
        <v>741</v>
      </c>
      <c r="T617" s="96" t="s">
        <v>94</v>
      </c>
      <c r="U617" s="96" t="s">
        <v>136</v>
      </c>
      <c r="V617" s="96" t="s">
        <v>94</v>
      </c>
      <c r="W617" s="96" t="s">
        <v>97</v>
      </c>
      <c r="X617" s="96" t="s">
        <v>147</v>
      </c>
      <c r="Y617" s="96" t="s">
        <v>110</v>
      </c>
      <c r="Z617" s="96" t="s">
        <v>110</v>
      </c>
      <c r="AA617" s="96" t="s">
        <v>742</v>
      </c>
      <c r="AB617" s="96" t="s">
        <v>110</v>
      </c>
      <c r="AC617" s="96" t="s">
        <v>743</v>
      </c>
      <c r="AD617" s="96" t="s">
        <v>744</v>
      </c>
      <c r="AE617" s="96" t="s">
        <v>745</v>
      </c>
      <c r="AF617" s="96" t="s">
        <v>746</v>
      </c>
      <c r="AG617" s="96" t="s">
        <v>110</v>
      </c>
      <c r="AH617" s="96">
        <v>2633</v>
      </c>
      <c r="AI617" s="96" t="s">
        <v>747</v>
      </c>
      <c r="AJ617" s="96" t="s">
        <v>748</v>
      </c>
      <c r="AK617" s="27" t="s">
        <v>110</v>
      </c>
    </row>
    <row r="618" spans="1:37">
      <c r="A618" s="70">
        <v>613</v>
      </c>
      <c r="B618" s="70">
        <f t="shared" si="27"/>
        <v>0</v>
      </c>
      <c r="C618" s="71"/>
      <c r="D618" s="59" t="s">
        <v>1024</v>
      </c>
      <c r="E618" s="60">
        <v>12573</v>
      </c>
      <c r="F618" s="10" t="s">
        <v>371</v>
      </c>
      <c r="G618" s="60">
        <v>804</v>
      </c>
      <c r="H618" s="81">
        <v>61</v>
      </c>
      <c r="I618" s="86">
        <v>85</v>
      </c>
      <c r="J618" s="81">
        <v>61</v>
      </c>
      <c r="K618" s="86">
        <v>85</v>
      </c>
      <c r="L618" s="81">
        <v>226</v>
      </c>
      <c r="M618" s="86">
        <v>202</v>
      </c>
      <c r="N618" s="81">
        <v>73868</v>
      </c>
      <c r="O618" s="86">
        <v>74741</v>
      </c>
      <c r="P618" s="89">
        <f t="shared" si="28"/>
        <v>214</v>
      </c>
      <c r="Q618" s="89">
        <f t="shared" si="29"/>
        <v>74304.5</v>
      </c>
      <c r="R618" s="96" t="s">
        <v>94</v>
      </c>
      <c r="S618" s="96" t="s">
        <v>124</v>
      </c>
      <c r="T618" s="96" t="s">
        <v>94</v>
      </c>
      <c r="U618" s="96" t="s">
        <v>136</v>
      </c>
      <c r="V618" s="96" t="s">
        <v>94</v>
      </c>
      <c r="W618" s="96" t="s">
        <v>97</v>
      </c>
      <c r="X618" s="96" t="s">
        <v>98</v>
      </c>
      <c r="Y618" s="96" t="s">
        <v>268</v>
      </c>
      <c r="Z618" s="96" t="s">
        <v>257</v>
      </c>
      <c r="AA618" s="96" t="s">
        <v>372</v>
      </c>
      <c r="AB618" s="96" t="s">
        <v>373</v>
      </c>
      <c r="AC618" s="96" t="s">
        <v>374</v>
      </c>
      <c r="AD618" s="96" t="s">
        <v>375</v>
      </c>
      <c r="AE618" s="96" t="s">
        <v>376</v>
      </c>
      <c r="AF618" s="96" t="s">
        <v>377</v>
      </c>
      <c r="AG618" s="96" t="s">
        <v>378</v>
      </c>
      <c r="AH618" s="96">
        <v>1543</v>
      </c>
      <c r="AI618" s="96" t="s">
        <v>379</v>
      </c>
      <c r="AJ618" s="96" t="s">
        <v>380</v>
      </c>
      <c r="AK618" s="27" t="s">
        <v>110</v>
      </c>
    </row>
    <row r="619" spans="1:37">
      <c r="A619" s="70">
        <v>614</v>
      </c>
      <c r="B619" s="70">
        <f t="shared" si="27"/>
        <v>0</v>
      </c>
      <c r="C619" s="71"/>
      <c r="D619" s="59" t="s">
        <v>1024</v>
      </c>
      <c r="E619" s="60">
        <v>10861</v>
      </c>
      <c r="F619" s="10" t="s">
        <v>359</v>
      </c>
      <c r="G619" s="60">
        <v>806</v>
      </c>
      <c r="H619" s="81">
        <v>38</v>
      </c>
      <c r="I619" s="86">
        <v>10</v>
      </c>
      <c r="J619" s="81">
        <v>38</v>
      </c>
      <c r="K619" s="86">
        <v>10</v>
      </c>
      <c r="L619" s="81">
        <v>213</v>
      </c>
      <c r="M619" s="86">
        <v>215</v>
      </c>
      <c r="N619" s="81">
        <v>85512</v>
      </c>
      <c r="O619" s="86">
        <v>63205</v>
      </c>
      <c r="P619" s="89">
        <f t="shared" si="28"/>
        <v>214</v>
      </c>
      <c r="Q619" s="89">
        <f t="shared" si="29"/>
        <v>74358.5</v>
      </c>
      <c r="R619" s="96" t="s">
        <v>94</v>
      </c>
      <c r="S619" s="96" t="s">
        <v>124</v>
      </c>
      <c r="T619" s="96" t="s">
        <v>94</v>
      </c>
      <c r="U619" s="96" t="s">
        <v>136</v>
      </c>
      <c r="V619" s="96" t="s">
        <v>94</v>
      </c>
      <c r="W619" s="96" t="s">
        <v>97</v>
      </c>
      <c r="X619" s="96" t="s">
        <v>98</v>
      </c>
      <c r="Y619" s="96" t="s">
        <v>360</v>
      </c>
      <c r="Z619" s="96" t="s">
        <v>361</v>
      </c>
      <c r="AA619" s="96" t="s">
        <v>362</v>
      </c>
      <c r="AB619" s="96" t="s">
        <v>363</v>
      </c>
      <c r="AC619" s="96" t="s">
        <v>364</v>
      </c>
      <c r="AD619" s="96" t="s">
        <v>365</v>
      </c>
      <c r="AE619" s="96" t="s">
        <v>366</v>
      </c>
      <c r="AF619" s="96" t="s">
        <v>367</v>
      </c>
      <c r="AG619" s="96" t="s">
        <v>368</v>
      </c>
      <c r="AH619" s="96">
        <v>1765</v>
      </c>
      <c r="AI619" s="96" t="s">
        <v>369</v>
      </c>
      <c r="AJ619" s="96" t="s">
        <v>370</v>
      </c>
      <c r="AK619" s="27" t="s">
        <v>110</v>
      </c>
    </row>
    <row r="620" spans="1:37">
      <c r="A620" s="70">
        <v>615</v>
      </c>
      <c r="B620" s="70">
        <f t="shared" si="27"/>
        <v>0</v>
      </c>
      <c r="C620" s="71"/>
      <c r="D620" s="59" t="s">
        <v>1024</v>
      </c>
      <c r="E620" s="60">
        <v>13712</v>
      </c>
      <c r="F620" s="10" t="s">
        <v>600</v>
      </c>
      <c r="G620" s="60">
        <v>801</v>
      </c>
      <c r="H620" s="81">
        <v>160</v>
      </c>
      <c r="I620" s="86">
        <v>120</v>
      </c>
      <c r="J620" s="81">
        <v>160</v>
      </c>
      <c r="K620" s="86">
        <v>120</v>
      </c>
      <c r="L620" s="81">
        <v>223</v>
      </c>
      <c r="M620" s="86">
        <v>204</v>
      </c>
      <c r="N620" s="81">
        <v>76303</v>
      </c>
      <c r="O620" s="86">
        <v>72502</v>
      </c>
      <c r="P620" s="89">
        <f t="shared" si="28"/>
        <v>213.5</v>
      </c>
      <c r="Q620" s="89">
        <f t="shared" si="29"/>
        <v>74402.5</v>
      </c>
      <c r="R620" s="96" t="s">
        <v>94</v>
      </c>
      <c r="S620" s="96" t="s">
        <v>320</v>
      </c>
      <c r="T620" s="96" t="s">
        <v>94</v>
      </c>
      <c r="U620" s="96" t="s">
        <v>136</v>
      </c>
      <c r="V620" s="96" t="s">
        <v>94</v>
      </c>
      <c r="W620" s="96" t="s">
        <v>97</v>
      </c>
      <c r="X620" s="96" t="s">
        <v>147</v>
      </c>
      <c r="Y620" s="96" t="s">
        <v>110</v>
      </c>
      <c r="Z620" s="96" t="s">
        <v>110</v>
      </c>
      <c r="AA620" s="96" t="s">
        <v>601</v>
      </c>
      <c r="AB620" s="96" t="s">
        <v>602</v>
      </c>
      <c r="AC620" s="96" t="s">
        <v>603</v>
      </c>
      <c r="AD620" s="96" t="s">
        <v>604</v>
      </c>
      <c r="AE620" s="96" t="s">
        <v>605</v>
      </c>
      <c r="AF620" s="96" t="s">
        <v>606</v>
      </c>
      <c r="AG620" s="96" t="s">
        <v>110</v>
      </c>
      <c r="AH620" s="96">
        <v>2152</v>
      </c>
      <c r="AI620" s="96" t="s">
        <v>607</v>
      </c>
      <c r="AJ620" s="96" t="s">
        <v>608</v>
      </c>
      <c r="AK620" s="27" t="s">
        <v>110</v>
      </c>
    </row>
    <row r="621" spans="1:37">
      <c r="A621" s="70">
        <v>616</v>
      </c>
      <c r="B621" s="70">
        <f t="shared" si="27"/>
        <v>0</v>
      </c>
      <c r="C621" s="71"/>
      <c r="D621" s="59" t="s">
        <v>1024</v>
      </c>
      <c r="E621" s="60">
        <v>14758</v>
      </c>
      <c r="F621" s="10" t="s">
        <v>682</v>
      </c>
      <c r="G621" s="60">
        <v>805</v>
      </c>
      <c r="H621" s="81">
        <v>300</v>
      </c>
      <c r="I621" s="86">
        <v>200</v>
      </c>
      <c r="J621" s="81">
        <v>300</v>
      </c>
      <c r="K621" s="86">
        <v>200</v>
      </c>
      <c r="L621" s="81">
        <v>219</v>
      </c>
      <c r="M621" s="86">
        <v>208</v>
      </c>
      <c r="N621" s="81">
        <v>79683</v>
      </c>
      <c r="O621" s="86">
        <v>69188</v>
      </c>
      <c r="P621" s="89">
        <f t="shared" si="28"/>
        <v>213.5</v>
      </c>
      <c r="Q621" s="89">
        <f t="shared" si="29"/>
        <v>74435.5</v>
      </c>
      <c r="R621" s="96" t="s">
        <v>94</v>
      </c>
      <c r="S621" s="96" t="s">
        <v>683</v>
      </c>
      <c r="T621" s="96" t="s">
        <v>94</v>
      </c>
      <c r="U621" s="96" t="s">
        <v>136</v>
      </c>
      <c r="V621" s="96" t="s">
        <v>94</v>
      </c>
      <c r="W621" s="96" t="s">
        <v>97</v>
      </c>
      <c r="X621" s="96" t="s">
        <v>500</v>
      </c>
      <c r="Y621" s="96" t="s">
        <v>110</v>
      </c>
      <c r="Z621" s="96" t="s">
        <v>110</v>
      </c>
      <c r="AA621" s="96" t="s">
        <v>684</v>
      </c>
      <c r="AB621" s="96" t="s">
        <v>110</v>
      </c>
      <c r="AC621" s="96" t="s">
        <v>685</v>
      </c>
      <c r="AD621" s="96" t="s">
        <v>686</v>
      </c>
      <c r="AE621" s="96" t="s">
        <v>687</v>
      </c>
      <c r="AF621" s="96" t="s">
        <v>688</v>
      </c>
      <c r="AG621" s="96" t="s">
        <v>110</v>
      </c>
      <c r="AH621" s="96">
        <v>2687</v>
      </c>
      <c r="AI621" s="96" t="s">
        <v>689</v>
      </c>
      <c r="AJ621" s="96" t="s">
        <v>690</v>
      </c>
      <c r="AK621" s="27" t="s">
        <v>110</v>
      </c>
    </row>
    <row r="622" spans="1:37">
      <c r="A622" s="70">
        <v>617</v>
      </c>
      <c r="B622" s="70">
        <f t="shared" si="27"/>
        <v>0</v>
      </c>
      <c r="C622" s="71"/>
      <c r="D622" s="59" t="s">
        <v>1024</v>
      </c>
      <c r="E622" s="60">
        <v>14510</v>
      </c>
      <c r="F622" s="10" t="s">
        <v>609</v>
      </c>
      <c r="G622" s="60">
        <v>804</v>
      </c>
      <c r="H622" s="81">
        <v>350</v>
      </c>
      <c r="I622" s="86" t="s">
        <v>110</v>
      </c>
      <c r="J622" s="81">
        <v>350</v>
      </c>
      <c r="K622" s="86" t="s">
        <v>110</v>
      </c>
      <c r="L622" s="81">
        <v>225</v>
      </c>
      <c r="M622" s="86" t="s">
        <v>110</v>
      </c>
      <c r="N622" s="81">
        <v>74833</v>
      </c>
      <c r="O622" s="86" t="s">
        <v>110</v>
      </c>
      <c r="P622" s="89">
        <f t="shared" si="28"/>
        <v>225</v>
      </c>
      <c r="Q622" s="89">
        <f t="shared" si="29"/>
        <v>74833</v>
      </c>
      <c r="R622" s="96" t="s">
        <v>94</v>
      </c>
      <c r="S622" s="96" t="s">
        <v>329</v>
      </c>
      <c r="T622" s="96" t="s">
        <v>94</v>
      </c>
      <c r="U622" s="96" t="s">
        <v>136</v>
      </c>
      <c r="V622" s="96" t="s">
        <v>94</v>
      </c>
      <c r="W622" s="96" t="s">
        <v>97</v>
      </c>
      <c r="X622" s="96" t="s">
        <v>290</v>
      </c>
      <c r="Y622" s="96" t="s">
        <v>110</v>
      </c>
      <c r="Z622" s="96" t="s">
        <v>110</v>
      </c>
      <c r="AA622" s="96" t="s">
        <v>610</v>
      </c>
      <c r="AB622" s="96" t="s">
        <v>110</v>
      </c>
      <c r="AC622" s="96" t="s">
        <v>611</v>
      </c>
      <c r="AD622" s="96" t="s">
        <v>612</v>
      </c>
      <c r="AE622" s="96" t="s">
        <v>613</v>
      </c>
      <c r="AF622" s="96" t="s">
        <v>614</v>
      </c>
      <c r="AG622" s="96" t="s">
        <v>615</v>
      </c>
      <c r="AH622" s="96">
        <v>2357</v>
      </c>
      <c r="AI622" s="96" t="s">
        <v>616</v>
      </c>
      <c r="AJ622" s="96" t="s">
        <v>617</v>
      </c>
      <c r="AK622" s="27" t="s">
        <v>110</v>
      </c>
    </row>
    <row r="623" spans="1:37">
      <c r="A623" s="70">
        <v>618</v>
      </c>
      <c r="B623" s="70">
        <f t="shared" si="27"/>
        <v>0</v>
      </c>
      <c r="C623" s="71"/>
      <c r="D623" s="59" t="s">
        <v>1024</v>
      </c>
      <c r="E623" s="60">
        <v>14408</v>
      </c>
      <c r="F623" s="10" t="s">
        <v>328</v>
      </c>
      <c r="G623" s="60">
        <v>802</v>
      </c>
      <c r="H623" s="81">
        <v>926</v>
      </c>
      <c r="I623" s="86">
        <v>885</v>
      </c>
      <c r="J623" s="81">
        <v>926</v>
      </c>
      <c r="K623" s="86">
        <v>885</v>
      </c>
      <c r="L623" s="81">
        <v>224</v>
      </c>
      <c r="M623" s="86">
        <v>202</v>
      </c>
      <c r="N623" s="81">
        <v>75449</v>
      </c>
      <c r="O623" s="86">
        <v>74322</v>
      </c>
      <c r="P623" s="89">
        <f t="shared" si="28"/>
        <v>213</v>
      </c>
      <c r="Q623" s="89">
        <f t="shared" si="29"/>
        <v>74885.5</v>
      </c>
      <c r="R623" s="96" t="s">
        <v>94</v>
      </c>
      <c r="S623" s="96" t="s">
        <v>329</v>
      </c>
      <c r="T623" s="96" t="s">
        <v>94</v>
      </c>
      <c r="U623" s="96" t="s">
        <v>136</v>
      </c>
      <c r="V623" s="96" t="s">
        <v>94</v>
      </c>
      <c r="W623" s="96" t="s">
        <v>97</v>
      </c>
      <c r="X623" s="96" t="s">
        <v>290</v>
      </c>
      <c r="Y623" s="96" t="s">
        <v>110</v>
      </c>
      <c r="Z623" s="96" t="s">
        <v>110</v>
      </c>
      <c r="AA623" s="96" t="s">
        <v>330</v>
      </c>
      <c r="AB623" s="96" t="s">
        <v>110</v>
      </c>
      <c r="AC623" s="96" t="s">
        <v>331</v>
      </c>
      <c r="AD623" s="96" t="s">
        <v>332</v>
      </c>
      <c r="AE623" s="96" t="s">
        <v>333</v>
      </c>
      <c r="AF623" s="96" t="s">
        <v>334</v>
      </c>
      <c r="AG623" s="96" t="s">
        <v>335</v>
      </c>
      <c r="AH623" s="96">
        <v>1996</v>
      </c>
      <c r="AI623" s="96" t="s">
        <v>336</v>
      </c>
      <c r="AJ623" s="96" t="s">
        <v>337</v>
      </c>
      <c r="AK623" s="27" t="s">
        <v>110</v>
      </c>
    </row>
    <row r="624" spans="1:37">
      <c r="A624" s="70">
        <v>619</v>
      </c>
      <c r="B624" s="70">
        <f t="shared" si="27"/>
        <v>0</v>
      </c>
      <c r="C624" s="71"/>
      <c r="D624" s="59" t="s">
        <v>1024</v>
      </c>
      <c r="E624" s="60">
        <v>13712</v>
      </c>
      <c r="F624" s="10" t="s">
        <v>600</v>
      </c>
      <c r="G624" s="60">
        <v>802</v>
      </c>
      <c r="H624" s="81">
        <v>200</v>
      </c>
      <c r="I624" s="86">
        <v>238</v>
      </c>
      <c r="J624" s="81">
        <v>200</v>
      </c>
      <c r="K624" s="86">
        <v>238</v>
      </c>
      <c r="L624" s="81">
        <v>222</v>
      </c>
      <c r="M624" s="86">
        <v>203</v>
      </c>
      <c r="N624" s="81">
        <v>77073</v>
      </c>
      <c r="O624" s="86">
        <v>73472</v>
      </c>
      <c r="P624" s="89">
        <f t="shared" si="28"/>
        <v>212.5</v>
      </c>
      <c r="Q624" s="89">
        <f t="shared" si="29"/>
        <v>75272.5</v>
      </c>
      <c r="R624" s="96" t="s">
        <v>94</v>
      </c>
      <c r="S624" s="96" t="s">
        <v>320</v>
      </c>
      <c r="T624" s="96" t="s">
        <v>94</v>
      </c>
      <c r="U624" s="96" t="s">
        <v>136</v>
      </c>
      <c r="V624" s="96" t="s">
        <v>94</v>
      </c>
      <c r="W624" s="96" t="s">
        <v>97</v>
      </c>
      <c r="X624" s="96" t="s">
        <v>147</v>
      </c>
      <c r="Y624" s="96" t="s">
        <v>110</v>
      </c>
      <c r="Z624" s="96" t="s">
        <v>110</v>
      </c>
      <c r="AA624" s="96" t="s">
        <v>601</v>
      </c>
      <c r="AB624" s="96" t="s">
        <v>602</v>
      </c>
      <c r="AC624" s="96" t="s">
        <v>603</v>
      </c>
      <c r="AD624" s="96" t="s">
        <v>604</v>
      </c>
      <c r="AE624" s="96" t="s">
        <v>605</v>
      </c>
      <c r="AF624" s="96" t="s">
        <v>606</v>
      </c>
      <c r="AG624" s="96" t="s">
        <v>110</v>
      </c>
      <c r="AH624" s="96">
        <v>2152</v>
      </c>
      <c r="AI624" s="96" t="s">
        <v>607</v>
      </c>
      <c r="AJ624" s="96" t="s">
        <v>608</v>
      </c>
      <c r="AK624" s="27" t="s">
        <v>110</v>
      </c>
    </row>
    <row r="625" spans="1:37">
      <c r="A625" s="70">
        <v>620</v>
      </c>
      <c r="B625" s="70">
        <f t="shared" si="27"/>
        <v>0</v>
      </c>
      <c r="C625" s="71"/>
      <c r="D625" s="59" t="s">
        <v>1024</v>
      </c>
      <c r="E625" s="60">
        <v>12770</v>
      </c>
      <c r="F625" s="10" t="s">
        <v>446</v>
      </c>
      <c r="G625" s="60">
        <v>805</v>
      </c>
      <c r="H625" s="81">
        <v>35</v>
      </c>
      <c r="I625" s="86" t="s">
        <v>110</v>
      </c>
      <c r="J625" s="81">
        <v>35</v>
      </c>
      <c r="K625" s="86" t="s">
        <v>110</v>
      </c>
      <c r="L625" s="81">
        <v>224</v>
      </c>
      <c r="M625" s="86" t="s">
        <v>110</v>
      </c>
      <c r="N625" s="81">
        <v>75644</v>
      </c>
      <c r="O625" s="86" t="s">
        <v>110</v>
      </c>
      <c r="P625" s="89">
        <f t="shared" si="28"/>
        <v>224</v>
      </c>
      <c r="Q625" s="89">
        <f t="shared" si="29"/>
        <v>75644</v>
      </c>
      <c r="R625" s="96" t="s">
        <v>94</v>
      </c>
      <c r="S625" s="96" t="s">
        <v>447</v>
      </c>
      <c r="T625" s="96" t="s">
        <v>94</v>
      </c>
      <c r="U625" s="96" t="s">
        <v>136</v>
      </c>
      <c r="V625" s="96" t="s">
        <v>94</v>
      </c>
      <c r="W625" s="96" t="s">
        <v>97</v>
      </c>
      <c r="X625" s="96" t="s">
        <v>448</v>
      </c>
      <c r="Y625" s="96" t="s">
        <v>110</v>
      </c>
      <c r="Z625" s="96" t="s">
        <v>110</v>
      </c>
      <c r="AA625" s="96" t="s">
        <v>449</v>
      </c>
      <c r="AB625" s="96" t="s">
        <v>450</v>
      </c>
      <c r="AC625" s="96" t="s">
        <v>451</v>
      </c>
      <c r="AD625" s="96" t="s">
        <v>452</v>
      </c>
      <c r="AE625" s="96" t="s">
        <v>453</v>
      </c>
      <c r="AF625" s="96" t="s">
        <v>454</v>
      </c>
      <c r="AG625" s="96" t="s">
        <v>455</v>
      </c>
      <c r="AH625" s="96">
        <v>2300</v>
      </c>
      <c r="AI625" s="96" t="s">
        <v>456</v>
      </c>
      <c r="AJ625" s="96" t="s">
        <v>457</v>
      </c>
      <c r="AK625" s="27" t="s">
        <v>110</v>
      </c>
    </row>
    <row r="626" spans="1:37">
      <c r="A626" s="70">
        <v>621</v>
      </c>
      <c r="B626" s="70">
        <f t="shared" si="27"/>
        <v>0</v>
      </c>
      <c r="C626" s="71"/>
      <c r="D626" s="59" t="s">
        <v>1024</v>
      </c>
      <c r="E626" s="60">
        <v>12956</v>
      </c>
      <c r="F626" s="10" t="s">
        <v>709</v>
      </c>
      <c r="G626" s="60">
        <v>801</v>
      </c>
      <c r="H626" s="81">
        <v>448</v>
      </c>
      <c r="I626" s="86">
        <v>370</v>
      </c>
      <c r="J626" s="81">
        <v>448</v>
      </c>
      <c r="K626" s="86">
        <v>370</v>
      </c>
      <c r="L626" s="81">
        <v>222</v>
      </c>
      <c r="M626" s="86">
        <v>202</v>
      </c>
      <c r="N626" s="81">
        <v>76680</v>
      </c>
      <c r="O626" s="86">
        <v>74783</v>
      </c>
      <c r="P626" s="89">
        <f t="shared" si="28"/>
        <v>212</v>
      </c>
      <c r="Q626" s="89">
        <f t="shared" si="29"/>
        <v>75731.5</v>
      </c>
      <c r="R626" s="96" t="s">
        <v>94</v>
      </c>
      <c r="S626" s="96" t="s">
        <v>710</v>
      </c>
      <c r="T626" s="96" t="s">
        <v>94</v>
      </c>
      <c r="U626" s="96" t="s">
        <v>136</v>
      </c>
      <c r="V626" s="96" t="s">
        <v>94</v>
      </c>
      <c r="W626" s="96" t="s">
        <v>97</v>
      </c>
      <c r="X626" s="96" t="s">
        <v>147</v>
      </c>
      <c r="Y626" s="96" t="s">
        <v>110</v>
      </c>
      <c r="Z626" s="96" t="s">
        <v>148</v>
      </c>
      <c r="AA626" s="96" t="s">
        <v>711</v>
      </c>
      <c r="AB626" s="96" t="s">
        <v>110</v>
      </c>
      <c r="AC626" s="96" t="s">
        <v>712</v>
      </c>
      <c r="AD626" s="96" t="s">
        <v>713</v>
      </c>
      <c r="AE626" s="96" t="s">
        <v>714</v>
      </c>
      <c r="AF626" s="96" t="s">
        <v>715</v>
      </c>
      <c r="AG626" s="96" t="s">
        <v>716</v>
      </c>
      <c r="AH626" s="96">
        <v>1835</v>
      </c>
      <c r="AI626" s="96" t="s">
        <v>717</v>
      </c>
      <c r="AJ626" s="96" t="s">
        <v>718</v>
      </c>
      <c r="AK626" s="27" t="s">
        <v>110</v>
      </c>
    </row>
    <row r="627" spans="1:37">
      <c r="A627" s="70">
        <v>622</v>
      </c>
      <c r="B627" s="70">
        <f t="shared" si="27"/>
        <v>0</v>
      </c>
      <c r="C627" s="71"/>
      <c r="D627" s="59" t="s">
        <v>1024</v>
      </c>
      <c r="E627" s="60">
        <v>13711</v>
      </c>
      <c r="F627" s="10" t="s">
        <v>236</v>
      </c>
      <c r="G627" s="60">
        <v>811</v>
      </c>
      <c r="H627" s="81">
        <v>16</v>
      </c>
      <c r="I627" s="86">
        <v>14</v>
      </c>
      <c r="J627" s="81">
        <v>16</v>
      </c>
      <c r="K627" s="86">
        <v>14</v>
      </c>
      <c r="L627" s="81">
        <v>217</v>
      </c>
      <c r="M627" s="86">
        <v>207</v>
      </c>
      <c r="N627" s="81">
        <v>81221</v>
      </c>
      <c r="O627" s="86">
        <v>70252</v>
      </c>
      <c r="P627" s="89">
        <f t="shared" si="28"/>
        <v>212</v>
      </c>
      <c r="Q627" s="89">
        <f t="shared" si="29"/>
        <v>75736.5</v>
      </c>
      <c r="R627" s="96" t="s">
        <v>94</v>
      </c>
      <c r="S627" s="96" t="s">
        <v>237</v>
      </c>
      <c r="T627" s="96" t="s">
        <v>94</v>
      </c>
      <c r="U627" s="96" t="s">
        <v>136</v>
      </c>
      <c r="V627" s="96" t="s">
        <v>94</v>
      </c>
      <c r="W627" s="96" t="s">
        <v>97</v>
      </c>
      <c r="X627" s="96" t="s">
        <v>147</v>
      </c>
      <c r="Y627" s="96" t="s">
        <v>110</v>
      </c>
      <c r="Z627" s="96" t="s">
        <v>110</v>
      </c>
      <c r="AA627" s="96" t="s">
        <v>238</v>
      </c>
      <c r="AB627" s="96" t="s">
        <v>239</v>
      </c>
      <c r="AC627" s="96" t="s">
        <v>240</v>
      </c>
      <c r="AD627" s="96" t="s">
        <v>241</v>
      </c>
      <c r="AE627" s="96" t="s">
        <v>242</v>
      </c>
      <c r="AF627" s="96" t="s">
        <v>243</v>
      </c>
      <c r="AG627" s="96" t="s">
        <v>110</v>
      </c>
      <c r="AH627" s="96">
        <v>1606</v>
      </c>
      <c r="AI627" s="96" t="s">
        <v>244</v>
      </c>
      <c r="AJ627" s="96" t="s">
        <v>245</v>
      </c>
      <c r="AK627" s="27" t="s">
        <v>110</v>
      </c>
    </row>
    <row r="628" spans="1:37">
      <c r="A628" s="70">
        <v>623</v>
      </c>
      <c r="B628" s="70">
        <f t="shared" si="27"/>
        <v>0</v>
      </c>
      <c r="C628" s="71"/>
      <c r="D628" s="59" t="s">
        <v>1024</v>
      </c>
      <c r="E628" s="60">
        <v>12736</v>
      </c>
      <c r="F628" s="10" t="s">
        <v>572</v>
      </c>
      <c r="G628" s="60">
        <v>802</v>
      </c>
      <c r="H628" s="81">
        <v>240</v>
      </c>
      <c r="I628" s="86">
        <v>265</v>
      </c>
      <c r="J628" s="81">
        <v>240</v>
      </c>
      <c r="K628" s="86">
        <v>265</v>
      </c>
      <c r="L628" s="81">
        <v>220</v>
      </c>
      <c r="M628" s="86">
        <v>204</v>
      </c>
      <c r="N628" s="81">
        <v>78627</v>
      </c>
      <c r="O628" s="86">
        <v>72905</v>
      </c>
      <c r="P628" s="89">
        <f t="shared" si="28"/>
        <v>212</v>
      </c>
      <c r="Q628" s="89">
        <f t="shared" si="29"/>
        <v>75766</v>
      </c>
      <c r="R628" s="96" t="s">
        <v>94</v>
      </c>
      <c r="S628" s="96" t="s">
        <v>168</v>
      </c>
      <c r="T628" s="96" t="s">
        <v>94</v>
      </c>
      <c r="U628" s="96" t="s">
        <v>136</v>
      </c>
      <c r="V628" s="96" t="s">
        <v>94</v>
      </c>
      <c r="W628" s="96" t="s">
        <v>97</v>
      </c>
      <c r="X628" s="96" t="s">
        <v>169</v>
      </c>
      <c r="Y628" s="96" t="s">
        <v>573</v>
      </c>
      <c r="Z628" s="96" t="s">
        <v>110</v>
      </c>
      <c r="AA628" s="96" t="s">
        <v>574</v>
      </c>
      <c r="AB628" s="96" t="s">
        <v>110</v>
      </c>
      <c r="AC628" s="96" t="s">
        <v>575</v>
      </c>
      <c r="AD628" s="96" t="s">
        <v>576</v>
      </c>
      <c r="AE628" s="96" t="s">
        <v>577</v>
      </c>
      <c r="AF628" s="96" t="s">
        <v>578</v>
      </c>
      <c r="AG628" s="96" t="s">
        <v>110</v>
      </c>
      <c r="AH628" s="96">
        <v>1654</v>
      </c>
      <c r="AI628" s="96" t="s">
        <v>579</v>
      </c>
      <c r="AJ628" s="96" t="s">
        <v>580</v>
      </c>
      <c r="AK628" s="27" t="s">
        <v>110</v>
      </c>
    </row>
    <row r="629" spans="1:37">
      <c r="A629" s="70">
        <v>624</v>
      </c>
      <c r="B629" s="70">
        <f t="shared" si="27"/>
        <v>0</v>
      </c>
      <c r="C629" s="71"/>
      <c r="D629" s="59" t="s">
        <v>1024</v>
      </c>
      <c r="E629" s="60">
        <v>12772</v>
      </c>
      <c r="F629" s="10" t="s">
        <v>561</v>
      </c>
      <c r="G629" s="60">
        <v>808</v>
      </c>
      <c r="H629" s="81">
        <v>205</v>
      </c>
      <c r="I629" s="86" t="s">
        <v>110</v>
      </c>
      <c r="J629" s="81">
        <v>205</v>
      </c>
      <c r="K629" s="86" t="s">
        <v>110</v>
      </c>
      <c r="L629" s="81">
        <v>223</v>
      </c>
      <c r="M629" s="86" t="s">
        <v>110</v>
      </c>
      <c r="N629" s="81">
        <v>75884</v>
      </c>
      <c r="O629" s="86" t="s">
        <v>110</v>
      </c>
      <c r="P629" s="89">
        <f t="shared" si="28"/>
        <v>223</v>
      </c>
      <c r="Q629" s="89">
        <f t="shared" si="29"/>
        <v>75884</v>
      </c>
      <c r="R629" s="96" t="s">
        <v>94</v>
      </c>
      <c r="S629" s="96" t="s">
        <v>562</v>
      </c>
      <c r="T629" s="96" t="s">
        <v>94</v>
      </c>
      <c r="U629" s="96" t="s">
        <v>136</v>
      </c>
      <c r="V629" s="96" t="s">
        <v>94</v>
      </c>
      <c r="W629" s="96" t="s">
        <v>97</v>
      </c>
      <c r="X629" s="96" t="s">
        <v>500</v>
      </c>
      <c r="Y629" s="96" t="s">
        <v>225</v>
      </c>
      <c r="Z629" s="96" t="s">
        <v>226</v>
      </c>
      <c r="AA629" s="96" t="s">
        <v>563</v>
      </c>
      <c r="AB629" s="96" t="s">
        <v>564</v>
      </c>
      <c r="AC629" s="96" t="s">
        <v>565</v>
      </c>
      <c r="AD629" s="96" t="s">
        <v>566</v>
      </c>
      <c r="AE629" s="96" t="s">
        <v>567</v>
      </c>
      <c r="AF629" s="96" t="s">
        <v>568</v>
      </c>
      <c r="AG629" s="96" t="s">
        <v>569</v>
      </c>
      <c r="AH629" s="96">
        <v>1839</v>
      </c>
      <c r="AI629" s="96" t="s">
        <v>570</v>
      </c>
      <c r="AJ629" s="96" t="s">
        <v>571</v>
      </c>
      <c r="AK629" s="27" t="s">
        <v>110</v>
      </c>
    </row>
    <row r="630" spans="1:37">
      <c r="A630" s="70">
        <v>625</v>
      </c>
      <c r="B630" s="70">
        <f t="shared" si="27"/>
        <v>0</v>
      </c>
      <c r="C630" s="71"/>
      <c r="D630" s="59" t="s">
        <v>1024</v>
      </c>
      <c r="E630" s="60">
        <v>50853</v>
      </c>
      <c r="F630" s="10" t="s">
        <v>740</v>
      </c>
      <c r="G630" s="60">
        <v>808</v>
      </c>
      <c r="H630" s="81">
        <v>56</v>
      </c>
      <c r="I630" s="86">
        <v>63</v>
      </c>
      <c r="J630" s="81">
        <v>56</v>
      </c>
      <c r="K630" s="86">
        <v>63</v>
      </c>
      <c r="L630" s="81">
        <v>222</v>
      </c>
      <c r="M630" s="86">
        <v>201</v>
      </c>
      <c r="N630" s="81">
        <v>76796</v>
      </c>
      <c r="O630" s="86">
        <v>75390</v>
      </c>
      <c r="P630" s="89">
        <f t="shared" si="28"/>
        <v>211.5</v>
      </c>
      <c r="Q630" s="89">
        <f t="shared" si="29"/>
        <v>76093</v>
      </c>
      <c r="R630" s="96" t="s">
        <v>94</v>
      </c>
      <c r="S630" s="96" t="s">
        <v>741</v>
      </c>
      <c r="T630" s="96" t="s">
        <v>94</v>
      </c>
      <c r="U630" s="96" t="s">
        <v>136</v>
      </c>
      <c r="V630" s="96" t="s">
        <v>94</v>
      </c>
      <c r="W630" s="96" t="s">
        <v>97</v>
      </c>
      <c r="X630" s="96" t="s">
        <v>147</v>
      </c>
      <c r="Y630" s="96" t="s">
        <v>110</v>
      </c>
      <c r="Z630" s="96" t="s">
        <v>110</v>
      </c>
      <c r="AA630" s="96" t="s">
        <v>742</v>
      </c>
      <c r="AB630" s="96" t="s">
        <v>110</v>
      </c>
      <c r="AC630" s="96" t="s">
        <v>743</v>
      </c>
      <c r="AD630" s="96" t="s">
        <v>744</v>
      </c>
      <c r="AE630" s="96" t="s">
        <v>745</v>
      </c>
      <c r="AF630" s="96" t="s">
        <v>746</v>
      </c>
      <c r="AG630" s="96" t="s">
        <v>110</v>
      </c>
      <c r="AH630" s="96">
        <v>2633</v>
      </c>
      <c r="AI630" s="96" t="s">
        <v>747</v>
      </c>
      <c r="AJ630" s="96" t="s">
        <v>748</v>
      </c>
      <c r="AK630" s="27" t="s">
        <v>110</v>
      </c>
    </row>
    <row r="631" spans="1:37">
      <c r="A631" s="70">
        <v>626</v>
      </c>
      <c r="B631" s="70">
        <f t="shared" si="27"/>
        <v>0</v>
      </c>
      <c r="C631" s="71"/>
      <c r="D631" s="59" t="s">
        <v>1024</v>
      </c>
      <c r="E631" s="60">
        <v>50853</v>
      </c>
      <c r="F631" s="10" t="s">
        <v>740</v>
      </c>
      <c r="G631" s="60">
        <v>807</v>
      </c>
      <c r="H631" s="81">
        <v>26</v>
      </c>
      <c r="I631" s="86">
        <v>49</v>
      </c>
      <c r="J631" s="81">
        <v>26</v>
      </c>
      <c r="K631" s="86">
        <v>49</v>
      </c>
      <c r="L631" s="81">
        <v>222</v>
      </c>
      <c r="M631" s="86">
        <v>201</v>
      </c>
      <c r="N631" s="81">
        <v>77153</v>
      </c>
      <c r="O631" s="86">
        <v>75642</v>
      </c>
      <c r="P631" s="89">
        <f t="shared" si="28"/>
        <v>211.5</v>
      </c>
      <c r="Q631" s="89">
        <f t="shared" si="29"/>
        <v>76397.5</v>
      </c>
      <c r="R631" s="96" t="s">
        <v>94</v>
      </c>
      <c r="S631" s="96" t="s">
        <v>741</v>
      </c>
      <c r="T631" s="96" t="s">
        <v>94</v>
      </c>
      <c r="U631" s="96" t="s">
        <v>136</v>
      </c>
      <c r="V631" s="96" t="s">
        <v>94</v>
      </c>
      <c r="W631" s="96" t="s">
        <v>97</v>
      </c>
      <c r="X631" s="96" t="s">
        <v>147</v>
      </c>
      <c r="Y631" s="96" t="s">
        <v>110</v>
      </c>
      <c r="Z631" s="96" t="s">
        <v>110</v>
      </c>
      <c r="AA631" s="96" t="s">
        <v>742</v>
      </c>
      <c r="AB631" s="96" t="s">
        <v>110</v>
      </c>
      <c r="AC631" s="96" t="s">
        <v>743</v>
      </c>
      <c r="AD631" s="96" t="s">
        <v>744</v>
      </c>
      <c r="AE631" s="96" t="s">
        <v>745</v>
      </c>
      <c r="AF631" s="96" t="s">
        <v>746</v>
      </c>
      <c r="AG631" s="96" t="s">
        <v>110</v>
      </c>
      <c r="AH631" s="96">
        <v>2633</v>
      </c>
      <c r="AI631" s="96" t="s">
        <v>747</v>
      </c>
      <c r="AJ631" s="96" t="s">
        <v>748</v>
      </c>
      <c r="AK631" s="27" t="s">
        <v>110</v>
      </c>
    </row>
    <row r="632" spans="1:37">
      <c r="A632" s="70">
        <v>627</v>
      </c>
      <c r="B632" s="70">
        <f t="shared" si="27"/>
        <v>0</v>
      </c>
      <c r="C632" s="71"/>
      <c r="D632" s="59" t="s">
        <v>1024</v>
      </c>
      <c r="E632" s="60">
        <v>13712</v>
      </c>
      <c r="F632" s="10" t="s">
        <v>600</v>
      </c>
      <c r="G632" s="60">
        <v>807</v>
      </c>
      <c r="H632" s="81">
        <v>203</v>
      </c>
      <c r="I632" s="86">
        <v>203</v>
      </c>
      <c r="J632" s="81">
        <v>203</v>
      </c>
      <c r="K632" s="86">
        <v>203</v>
      </c>
      <c r="L632" s="81">
        <v>220</v>
      </c>
      <c r="M632" s="86">
        <v>202</v>
      </c>
      <c r="N632" s="81">
        <v>78476</v>
      </c>
      <c r="O632" s="86">
        <v>74955</v>
      </c>
      <c r="P632" s="89">
        <f t="shared" si="28"/>
        <v>211</v>
      </c>
      <c r="Q632" s="89">
        <f t="shared" si="29"/>
        <v>76715.5</v>
      </c>
      <c r="R632" s="96" t="s">
        <v>94</v>
      </c>
      <c r="S632" s="96" t="s">
        <v>320</v>
      </c>
      <c r="T632" s="96" t="s">
        <v>94</v>
      </c>
      <c r="U632" s="96" t="s">
        <v>136</v>
      </c>
      <c r="V632" s="96" t="s">
        <v>94</v>
      </c>
      <c r="W632" s="96" t="s">
        <v>97</v>
      </c>
      <c r="X632" s="96" t="s">
        <v>147</v>
      </c>
      <c r="Y632" s="96" t="s">
        <v>110</v>
      </c>
      <c r="Z632" s="96" t="s">
        <v>110</v>
      </c>
      <c r="AA632" s="96" t="s">
        <v>601</v>
      </c>
      <c r="AB632" s="96" t="s">
        <v>602</v>
      </c>
      <c r="AC632" s="96" t="s">
        <v>603</v>
      </c>
      <c r="AD632" s="96" t="s">
        <v>604</v>
      </c>
      <c r="AE632" s="96" t="s">
        <v>605</v>
      </c>
      <c r="AF632" s="96" t="s">
        <v>606</v>
      </c>
      <c r="AG632" s="96" t="s">
        <v>110</v>
      </c>
      <c r="AH632" s="96">
        <v>2152</v>
      </c>
      <c r="AI632" s="96" t="s">
        <v>607</v>
      </c>
      <c r="AJ632" s="96" t="s">
        <v>608</v>
      </c>
      <c r="AK632" s="27" t="s">
        <v>110</v>
      </c>
    </row>
    <row r="633" spans="1:37">
      <c r="A633" s="70">
        <v>628</v>
      </c>
      <c r="B633" s="70">
        <f t="shared" si="27"/>
        <v>0</v>
      </c>
      <c r="C633" s="71"/>
      <c r="D633" s="59" t="s">
        <v>1024</v>
      </c>
      <c r="E633" s="60">
        <v>14311</v>
      </c>
      <c r="F633" s="10" t="s">
        <v>654</v>
      </c>
      <c r="G633" s="60">
        <v>803</v>
      </c>
      <c r="H633" s="81">
        <v>98</v>
      </c>
      <c r="I633" s="86">
        <v>125</v>
      </c>
      <c r="J633" s="81">
        <v>98</v>
      </c>
      <c r="K633" s="86">
        <v>125</v>
      </c>
      <c r="L633" s="81">
        <v>223</v>
      </c>
      <c r="M633" s="86">
        <v>199</v>
      </c>
      <c r="N633" s="81">
        <v>76102</v>
      </c>
      <c r="O633" s="86">
        <v>77734</v>
      </c>
      <c r="P633" s="89">
        <f t="shared" si="28"/>
        <v>211</v>
      </c>
      <c r="Q633" s="89">
        <f t="shared" si="29"/>
        <v>76918</v>
      </c>
      <c r="R633" s="96" t="s">
        <v>94</v>
      </c>
      <c r="S633" s="96" t="s">
        <v>168</v>
      </c>
      <c r="T633" s="96" t="s">
        <v>94</v>
      </c>
      <c r="U633" s="96" t="s">
        <v>136</v>
      </c>
      <c r="V633" s="96" t="s">
        <v>94</v>
      </c>
      <c r="W633" s="96" t="s">
        <v>97</v>
      </c>
      <c r="X633" s="96" t="s">
        <v>169</v>
      </c>
      <c r="Y633" s="96" t="s">
        <v>349</v>
      </c>
      <c r="Z633" s="96" t="s">
        <v>226</v>
      </c>
      <c r="AA633" s="96" t="s">
        <v>655</v>
      </c>
      <c r="AB633" s="96" t="s">
        <v>656</v>
      </c>
      <c r="AC633" s="96" t="s">
        <v>657</v>
      </c>
      <c r="AD633" s="96" t="s">
        <v>658</v>
      </c>
      <c r="AE633" s="96" t="s">
        <v>659</v>
      </c>
      <c r="AF633" s="96" t="s">
        <v>660</v>
      </c>
      <c r="AG633" s="96" t="s">
        <v>661</v>
      </c>
      <c r="AH633" s="96">
        <v>2106</v>
      </c>
      <c r="AI633" s="96" t="s">
        <v>662</v>
      </c>
      <c r="AJ633" s="96" t="s">
        <v>663</v>
      </c>
      <c r="AK633" s="27" t="s">
        <v>110</v>
      </c>
    </row>
    <row r="634" spans="1:37">
      <c r="A634" s="70">
        <v>629</v>
      </c>
      <c r="B634" s="70">
        <f t="shared" si="27"/>
        <v>0</v>
      </c>
      <c r="C634" s="71"/>
      <c r="D634" s="59" t="s">
        <v>1024</v>
      </c>
      <c r="E634" s="60">
        <v>12954</v>
      </c>
      <c r="F634" s="10" t="s">
        <v>729</v>
      </c>
      <c r="G634" s="60">
        <v>802</v>
      </c>
      <c r="H634" s="81">
        <v>1757</v>
      </c>
      <c r="I634" s="86">
        <v>1689</v>
      </c>
      <c r="J634" s="81">
        <v>1757</v>
      </c>
      <c r="K634" s="86">
        <v>1689</v>
      </c>
      <c r="L634" s="81">
        <v>219</v>
      </c>
      <c r="M634" s="86">
        <v>202</v>
      </c>
      <c r="N634" s="81">
        <v>79572</v>
      </c>
      <c r="O634" s="86">
        <v>74565</v>
      </c>
      <c r="P634" s="89">
        <f t="shared" si="28"/>
        <v>210.5</v>
      </c>
      <c r="Q634" s="89">
        <f t="shared" si="29"/>
        <v>77068.5</v>
      </c>
      <c r="R634" s="96" t="s">
        <v>94</v>
      </c>
      <c r="S634" s="96" t="s">
        <v>730</v>
      </c>
      <c r="T634" s="96" t="s">
        <v>94</v>
      </c>
      <c r="U634" s="96" t="s">
        <v>136</v>
      </c>
      <c r="V634" s="96" t="s">
        <v>94</v>
      </c>
      <c r="W634" s="96" t="s">
        <v>97</v>
      </c>
      <c r="X634" s="96" t="s">
        <v>147</v>
      </c>
      <c r="Y634" s="96" t="s">
        <v>110</v>
      </c>
      <c r="Z634" s="96" t="s">
        <v>148</v>
      </c>
      <c r="AA634" s="96" t="s">
        <v>731</v>
      </c>
      <c r="AB634" s="96" t="s">
        <v>732</v>
      </c>
      <c r="AC634" s="96" t="s">
        <v>733</v>
      </c>
      <c r="AD634" s="96" t="s">
        <v>734</v>
      </c>
      <c r="AE634" s="96" t="s">
        <v>735</v>
      </c>
      <c r="AF634" s="96" t="s">
        <v>736</v>
      </c>
      <c r="AG634" s="96" t="s">
        <v>737</v>
      </c>
      <c r="AH634" s="96">
        <v>1724</v>
      </c>
      <c r="AI634" s="96" t="s">
        <v>738</v>
      </c>
      <c r="AJ634" s="96" t="s">
        <v>739</v>
      </c>
      <c r="AK634" s="27" t="s">
        <v>110</v>
      </c>
    </row>
    <row r="635" spans="1:37">
      <c r="A635" s="70">
        <v>630</v>
      </c>
      <c r="B635" s="70">
        <f t="shared" si="27"/>
        <v>0</v>
      </c>
      <c r="C635" s="71"/>
      <c r="D635" s="59" t="s">
        <v>1024</v>
      </c>
      <c r="E635" s="60">
        <v>13707</v>
      </c>
      <c r="F635" s="10" t="s">
        <v>402</v>
      </c>
      <c r="G635" s="60">
        <v>804</v>
      </c>
      <c r="H635" s="81">
        <v>268</v>
      </c>
      <c r="I635" s="86">
        <v>28</v>
      </c>
      <c r="J635" s="81">
        <v>268</v>
      </c>
      <c r="K635" s="86">
        <v>28</v>
      </c>
      <c r="L635" s="81">
        <v>200</v>
      </c>
      <c r="M635" s="86">
        <v>223</v>
      </c>
      <c r="N635" s="81">
        <v>97106</v>
      </c>
      <c r="O635" s="86">
        <v>57259</v>
      </c>
      <c r="P635" s="89">
        <f t="shared" si="28"/>
        <v>211.5</v>
      </c>
      <c r="Q635" s="89">
        <f t="shared" si="29"/>
        <v>77182.5</v>
      </c>
      <c r="R635" s="96" t="s">
        <v>94</v>
      </c>
      <c r="S635" s="96" t="s">
        <v>124</v>
      </c>
      <c r="T635" s="96" t="s">
        <v>94</v>
      </c>
      <c r="U635" s="96" t="s">
        <v>136</v>
      </c>
      <c r="V635" s="96" t="s">
        <v>94</v>
      </c>
      <c r="W635" s="96" t="s">
        <v>97</v>
      </c>
      <c r="X635" s="96" t="s">
        <v>98</v>
      </c>
      <c r="Y635" s="96" t="s">
        <v>110</v>
      </c>
      <c r="Z635" s="96" t="s">
        <v>110</v>
      </c>
      <c r="AA635" s="96" t="s">
        <v>403</v>
      </c>
      <c r="AB635" s="96" t="s">
        <v>404</v>
      </c>
      <c r="AC635" s="96" t="s">
        <v>405</v>
      </c>
      <c r="AD635" s="96" t="s">
        <v>406</v>
      </c>
      <c r="AE635" s="96" t="s">
        <v>407</v>
      </c>
      <c r="AF635" s="96" t="s">
        <v>408</v>
      </c>
      <c r="AG635" s="96" t="s">
        <v>110</v>
      </c>
      <c r="AH635" s="96">
        <v>2421</v>
      </c>
      <c r="AI635" s="96" t="s">
        <v>409</v>
      </c>
      <c r="AJ635" s="96" t="s">
        <v>410</v>
      </c>
      <c r="AK635" s="27" t="s">
        <v>110</v>
      </c>
    </row>
    <row r="636" spans="1:37">
      <c r="A636" s="70">
        <v>631</v>
      </c>
      <c r="B636" s="70">
        <f t="shared" si="27"/>
        <v>0</v>
      </c>
      <c r="C636" s="71"/>
      <c r="D636" s="59" t="s">
        <v>1024</v>
      </c>
      <c r="E636" s="60">
        <v>14638</v>
      </c>
      <c r="F636" s="10" t="s">
        <v>674</v>
      </c>
      <c r="G636" s="60">
        <v>802</v>
      </c>
      <c r="H636" s="81">
        <v>995</v>
      </c>
      <c r="I636" s="86">
        <v>723</v>
      </c>
      <c r="J636" s="81">
        <v>995</v>
      </c>
      <c r="K636" s="86">
        <v>723</v>
      </c>
      <c r="L636" s="81">
        <v>219</v>
      </c>
      <c r="M636" s="86">
        <v>202</v>
      </c>
      <c r="N636" s="81">
        <v>79673</v>
      </c>
      <c r="O636" s="86">
        <v>74950</v>
      </c>
      <c r="P636" s="89">
        <f t="shared" si="28"/>
        <v>210.5</v>
      </c>
      <c r="Q636" s="89">
        <f t="shared" si="29"/>
        <v>77311.5</v>
      </c>
      <c r="R636" s="96" t="s">
        <v>94</v>
      </c>
      <c r="S636" s="96" t="s">
        <v>320</v>
      </c>
      <c r="T636" s="96" t="s">
        <v>94</v>
      </c>
      <c r="U636" s="96" t="s">
        <v>136</v>
      </c>
      <c r="V636" s="96" t="s">
        <v>94</v>
      </c>
      <c r="W636" s="96" t="s">
        <v>97</v>
      </c>
      <c r="X636" s="96" t="s">
        <v>147</v>
      </c>
      <c r="Y636" s="96" t="s">
        <v>110</v>
      </c>
      <c r="Z636" s="96" t="s">
        <v>110</v>
      </c>
      <c r="AA636" s="96" t="s">
        <v>675</v>
      </c>
      <c r="AB636" s="96" t="s">
        <v>110</v>
      </c>
      <c r="AC636" s="96" t="s">
        <v>676</v>
      </c>
      <c r="AD636" s="96" t="s">
        <v>677</v>
      </c>
      <c r="AE636" s="96" t="s">
        <v>678</v>
      </c>
      <c r="AF636" s="96" t="s">
        <v>679</v>
      </c>
      <c r="AG636" s="96" t="s">
        <v>110</v>
      </c>
      <c r="AH636" s="96">
        <v>2550</v>
      </c>
      <c r="AI636" s="96" t="s">
        <v>680</v>
      </c>
      <c r="AJ636" s="96" t="s">
        <v>681</v>
      </c>
      <c r="AK636" s="27" t="s">
        <v>110</v>
      </c>
    </row>
    <row r="637" spans="1:37">
      <c r="A637" s="70">
        <v>632</v>
      </c>
      <c r="B637" s="70">
        <f t="shared" si="27"/>
        <v>0</v>
      </c>
      <c r="C637" s="71"/>
      <c r="D637" s="59" t="s">
        <v>1024</v>
      </c>
      <c r="E637" s="60">
        <v>13712</v>
      </c>
      <c r="F637" s="10" t="s">
        <v>600</v>
      </c>
      <c r="G637" s="60">
        <v>806</v>
      </c>
      <c r="H637" s="81">
        <v>350</v>
      </c>
      <c r="I637" s="86">
        <v>270</v>
      </c>
      <c r="J637" s="81">
        <v>350</v>
      </c>
      <c r="K637" s="86">
        <v>270</v>
      </c>
      <c r="L637" s="81">
        <v>219</v>
      </c>
      <c r="M637" s="86">
        <v>202</v>
      </c>
      <c r="N637" s="81">
        <v>79873</v>
      </c>
      <c r="O637" s="86">
        <v>74955</v>
      </c>
      <c r="P637" s="89">
        <f t="shared" si="28"/>
        <v>210.5</v>
      </c>
      <c r="Q637" s="89">
        <f t="shared" si="29"/>
        <v>77414</v>
      </c>
      <c r="R637" s="96" t="s">
        <v>94</v>
      </c>
      <c r="S637" s="96" t="s">
        <v>320</v>
      </c>
      <c r="T637" s="96" t="s">
        <v>94</v>
      </c>
      <c r="U637" s="96" t="s">
        <v>136</v>
      </c>
      <c r="V637" s="96" t="s">
        <v>94</v>
      </c>
      <c r="W637" s="96" t="s">
        <v>97</v>
      </c>
      <c r="X637" s="96" t="s">
        <v>147</v>
      </c>
      <c r="Y637" s="96" t="s">
        <v>110</v>
      </c>
      <c r="Z637" s="96" t="s">
        <v>110</v>
      </c>
      <c r="AA637" s="96" t="s">
        <v>601</v>
      </c>
      <c r="AB637" s="96" t="s">
        <v>602</v>
      </c>
      <c r="AC637" s="96" t="s">
        <v>603</v>
      </c>
      <c r="AD637" s="96" t="s">
        <v>604</v>
      </c>
      <c r="AE637" s="96" t="s">
        <v>605</v>
      </c>
      <c r="AF637" s="96" t="s">
        <v>606</v>
      </c>
      <c r="AG637" s="96" t="s">
        <v>110</v>
      </c>
      <c r="AH637" s="96">
        <v>2152</v>
      </c>
      <c r="AI637" s="96" t="s">
        <v>607</v>
      </c>
      <c r="AJ637" s="96" t="s">
        <v>608</v>
      </c>
      <c r="AK637" s="27" t="s">
        <v>110</v>
      </c>
    </row>
    <row r="638" spans="1:37">
      <c r="A638" s="70">
        <v>633</v>
      </c>
      <c r="B638" s="70">
        <f t="shared" si="27"/>
        <v>0</v>
      </c>
      <c r="C638" s="71"/>
      <c r="D638" s="59" t="s">
        <v>1024</v>
      </c>
      <c r="E638" s="60">
        <v>50853</v>
      </c>
      <c r="F638" s="10" t="s">
        <v>740</v>
      </c>
      <c r="G638" s="60">
        <v>809</v>
      </c>
      <c r="H638" s="81">
        <v>108</v>
      </c>
      <c r="I638" s="86">
        <v>179</v>
      </c>
      <c r="J638" s="81">
        <v>108</v>
      </c>
      <c r="K638" s="86">
        <v>179</v>
      </c>
      <c r="L638" s="81">
        <v>221</v>
      </c>
      <c r="M638" s="86">
        <v>200</v>
      </c>
      <c r="N638" s="81">
        <v>78393</v>
      </c>
      <c r="O638" s="86">
        <v>76601</v>
      </c>
      <c r="P638" s="89">
        <f t="shared" si="28"/>
        <v>210.5</v>
      </c>
      <c r="Q638" s="89">
        <f t="shared" si="29"/>
        <v>77497</v>
      </c>
      <c r="R638" s="96" t="s">
        <v>94</v>
      </c>
      <c r="S638" s="96" t="s">
        <v>741</v>
      </c>
      <c r="T638" s="96" t="s">
        <v>94</v>
      </c>
      <c r="U638" s="96" t="s">
        <v>136</v>
      </c>
      <c r="V638" s="96" t="s">
        <v>94</v>
      </c>
      <c r="W638" s="96" t="s">
        <v>97</v>
      </c>
      <c r="X638" s="96" t="s">
        <v>147</v>
      </c>
      <c r="Y638" s="96" t="s">
        <v>110</v>
      </c>
      <c r="Z638" s="96" t="s">
        <v>110</v>
      </c>
      <c r="AA638" s="96" t="s">
        <v>742</v>
      </c>
      <c r="AB638" s="96" t="s">
        <v>110</v>
      </c>
      <c r="AC638" s="96" t="s">
        <v>743</v>
      </c>
      <c r="AD638" s="96" t="s">
        <v>744</v>
      </c>
      <c r="AE638" s="96" t="s">
        <v>745</v>
      </c>
      <c r="AF638" s="96" t="s">
        <v>746</v>
      </c>
      <c r="AG638" s="96" t="s">
        <v>110</v>
      </c>
      <c r="AH638" s="96">
        <v>2633</v>
      </c>
      <c r="AI638" s="96" t="s">
        <v>747</v>
      </c>
      <c r="AJ638" s="96" t="s">
        <v>748</v>
      </c>
      <c r="AK638" s="27" t="s">
        <v>110</v>
      </c>
    </row>
    <row r="639" spans="1:37">
      <c r="A639" s="70">
        <v>634</v>
      </c>
      <c r="B639" s="70">
        <f t="shared" si="27"/>
        <v>0</v>
      </c>
      <c r="C639" s="71"/>
      <c r="D639" s="59" t="s">
        <v>1024</v>
      </c>
      <c r="E639" s="60">
        <v>14587</v>
      </c>
      <c r="F639" s="10" t="s">
        <v>757</v>
      </c>
      <c r="G639" s="60">
        <v>808</v>
      </c>
      <c r="H639" s="81">
        <v>226</v>
      </c>
      <c r="I639" s="86">
        <v>244</v>
      </c>
      <c r="J639" s="81">
        <v>226</v>
      </c>
      <c r="K639" s="86">
        <v>244</v>
      </c>
      <c r="L639" s="81">
        <v>221</v>
      </c>
      <c r="M639" s="86">
        <v>199</v>
      </c>
      <c r="N639" s="81">
        <v>78201</v>
      </c>
      <c r="O639" s="86">
        <v>77044</v>
      </c>
      <c r="P639" s="89">
        <f t="shared" si="28"/>
        <v>210</v>
      </c>
      <c r="Q639" s="89">
        <f t="shared" si="29"/>
        <v>77622.5</v>
      </c>
      <c r="R639" s="96" t="s">
        <v>94</v>
      </c>
      <c r="S639" s="96" t="s">
        <v>320</v>
      </c>
      <c r="T639" s="96" t="s">
        <v>94</v>
      </c>
      <c r="U639" s="96" t="s">
        <v>136</v>
      </c>
      <c r="V639" s="96" t="s">
        <v>94</v>
      </c>
      <c r="W639" s="96" t="s">
        <v>97</v>
      </c>
      <c r="X639" s="96" t="s">
        <v>147</v>
      </c>
      <c r="Y639" s="96" t="s">
        <v>110</v>
      </c>
      <c r="Z639" s="96" t="s">
        <v>110</v>
      </c>
      <c r="AA639" s="96" t="s">
        <v>758</v>
      </c>
      <c r="AB639" s="96" t="s">
        <v>110</v>
      </c>
      <c r="AC639" s="96" t="s">
        <v>759</v>
      </c>
      <c r="AD639" s="96" t="s">
        <v>760</v>
      </c>
      <c r="AE639" s="96">
        <v>6686618889</v>
      </c>
      <c r="AF639" s="96" t="s">
        <v>761</v>
      </c>
      <c r="AG639" s="96" t="s">
        <v>762</v>
      </c>
      <c r="AH639" s="96">
        <v>2631</v>
      </c>
      <c r="AI639" s="96" t="s">
        <v>763</v>
      </c>
      <c r="AJ639" s="96" t="s">
        <v>764</v>
      </c>
      <c r="AK639" s="27" t="s">
        <v>110</v>
      </c>
    </row>
    <row r="640" spans="1:37">
      <c r="A640" s="70">
        <v>635</v>
      </c>
      <c r="B640" s="70">
        <f t="shared" si="27"/>
        <v>0</v>
      </c>
      <c r="C640" s="71"/>
      <c r="D640" s="59" t="s">
        <v>1024</v>
      </c>
      <c r="E640" s="60">
        <v>10862</v>
      </c>
      <c r="F640" s="10" t="s">
        <v>278</v>
      </c>
      <c r="G640" s="60">
        <v>813</v>
      </c>
      <c r="H640" s="81">
        <v>20</v>
      </c>
      <c r="I640" s="86" t="s">
        <v>110</v>
      </c>
      <c r="J640" s="81">
        <v>20</v>
      </c>
      <c r="K640" s="86" t="s">
        <v>110</v>
      </c>
      <c r="L640" s="81">
        <v>221</v>
      </c>
      <c r="M640" s="86" t="s">
        <v>110</v>
      </c>
      <c r="N640" s="81">
        <v>77689</v>
      </c>
      <c r="O640" s="86" t="s">
        <v>110</v>
      </c>
      <c r="P640" s="89">
        <f t="shared" si="28"/>
        <v>221</v>
      </c>
      <c r="Q640" s="89">
        <f t="shared" si="29"/>
        <v>77689</v>
      </c>
      <c r="R640" s="96" t="s">
        <v>94</v>
      </c>
      <c r="S640" s="96" t="s">
        <v>124</v>
      </c>
      <c r="T640" s="96" t="s">
        <v>94</v>
      </c>
      <c r="U640" s="96" t="s">
        <v>136</v>
      </c>
      <c r="V640" s="96" t="s">
        <v>94</v>
      </c>
      <c r="W640" s="96" t="s">
        <v>97</v>
      </c>
      <c r="X640" s="96" t="s">
        <v>98</v>
      </c>
      <c r="Y640" s="96" t="s">
        <v>192</v>
      </c>
      <c r="Z640" s="96" t="s">
        <v>193</v>
      </c>
      <c r="AA640" s="96" t="s">
        <v>279</v>
      </c>
      <c r="AB640" s="96" t="s">
        <v>280</v>
      </c>
      <c r="AC640" s="96" t="s">
        <v>281</v>
      </c>
      <c r="AD640" s="96" t="s">
        <v>282</v>
      </c>
      <c r="AE640" s="96" t="s">
        <v>283</v>
      </c>
      <c r="AF640" s="96" t="s">
        <v>284</v>
      </c>
      <c r="AG640" s="96" t="s">
        <v>285</v>
      </c>
      <c r="AH640" s="96">
        <v>1410</v>
      </c>
      <c r="AI640" s="96" t="s">
        <v>286</v>
      </c>
      <c r="AJ640" s="96" t="s">
        <v>287</v>
      </c>
      <c r="AK640" s="27" t="s">
        <v>110</v>
      </c>
    </row>
    <row r="641" spans="1:37">
      <c r="A641" s="70">
        <v>636</v>
      </c>
      <c r="B641" s="70">
        <f t="shared" si="27"/>
        <v>0</v>
      </c>
      <c r="C641" s="71"/>
      <c r="D641" s="59" t="s">
        <v>1024</v>
      </c>
      <c r="E641" s="60">
        <v>13919</v>
      </c>
      <c r="F641" s="10" t="s">
        <v>348</v>
      </c>
      <c r="G641" s="60">
        <v>807</v>
      </c>
      <c r="H641" s="81">
        <v>40</v>
      </c>
      <c r="I641" s="86" t="s">
        <v>110</v>
      </c>
      <c r="J641" s="81">
        <v>40</v>
      </c>
      <c r="K641" s="86" t="s">
        <v>110</v>
      </c>
      <c r="L641" s="81">
        <v>221</v>
      </c>
      <c r="M641" s="86" t="s">
        <v>110</v>
      </c>
      <c r="N641" s="81">
        <v>78006</v>
      </c>
      <c r="O641" s="86" t="s">
        <v>110</v>
      </c>
      <c r="P641" s="89">
        <f t="shared" si="28"/>
        <v>221</v>
      </c>
      <c r="Q641" s="89">
        <f t="shared" si="29"/>
        <v>78006</v>
      </c>
      <c r="R641" s="96" t="s">
        <v>94</v>
      </c>
      <c r="S641" s="96" t="s">
        <v>124</v>
      </c>
      <c r="T641" s="96" t="s">
        <v>94</v>
      </c>
      <c r="U641" s="96" t="s">
        <v>136</v>
      </c>
      <c r="V641" s="96" t="s">
        <v>94</v>
      </c>
      <c r="W641" s="96" t="s">
        <v>97</v>
      </c>
      <c r="X641" s="96" t="s">
        <v>98</v>
      </c>
      <c r="Y641" s="96" t="s">
        <v>349</v>
      </c>
      <c r="Z641" s="96" t="s">
        <v>226</v>
      </c>
      <c r="AA641" s="96" t="s">
        <v>350</v>
      </c>
      <c r="AB641" s="96" t="s">
        <v>351</v>
      </c>
      <c r="AC641" s="96" t="s">
        <v>352</v>
      </c>
      <c r="AD641" s="96" t="s">
        <v>353</v>
      </c>
      <c r="AE641" s="96" t="s">
        <v>354</v>
      </c>
      <c r="AF641" s="96" t="s">
        <v>355</v>
      </c>
      <c r="AG641" s="96" t="s">
        <v>356</v>
      </c>
      <c r="AH641" s="96">
        <v>1626</v>
      </c>
      <c r="AI641" s="96" t="s">
        <v>357</v>
      </c>
      <c r="AJ641" s="96" t="s">
        <v>358</v>
      </c>
      <c r="AK641" s="27" t="s">
        <v>110</v>
      </c>
    </row>
    <row r="642" spans="1:37">
      <c r="A642" s="70">
        <v>637</v>
      </c>
      <c r="B642" s="70">
        <f t="shared" si="27"/>
        <v>0</v>
      </c>
      <c r="C642" s="71"/>
      <c r="D642" s="59" t="s">
        <v>1024</v>
      </c>
      <c r="E642" s="60">
        <v>13712</v>
      </c>
      <c r="F642" s="10" t="s">
        <v>600</v>
      </c>
      <c r="G642" s="60">
        <v>808</v>
      </c>
      <c r="H642" s="81">
        <v>190</v>
      </c>
      <c r="I642" s="86">
        <v>162</v>
      </c>
      <c r="J642" s="81">
        <v>190</v>
      </c>
      <c r="K642" s="86">
        <v>162</v>
      </c>
      <c r="L642" s="81">
        <v>218</v>
      </c>
      <c r="M642" s="86">
        <v>201</v>
      </c>
      <c r="N642" s="81">
        <v>80280</v>
      </c>
      <c r="O642" s="86">
        <v>75761</v>
      </c>
      <c r="P642" s="89">
        <f t="shared" si="28"/>
        <v>209.5</v>
      </c>
      <c r="Q642" s="89">
        <f t="shared" si="29"/>
        <v>78020.5</v>
      </c>
      <c r="R642" s="96" t="s">
        <v>94</v>
      </c>
      <c r="S642" s="96" t="s">
        <v>320</v>
      </c>
      <c r="T642" s="96" t="s">
        <v>94</v>
      </c>
      <c r="U642" s="96" t="s">
        <v>136</v>
      </c>
      <c r="V642" s="96" t="s">
        <v>94</v>
      </c>
      <c r="W642" s="96" t="s">
        <v>97</v>
      </c>
      <c r="X642" s="96" t="s">
        <v>147</v>
      </c>
      <c r="Y642" s="96" t="s">
        <v>110</v>
      </c>
      <c r="Z642" s="96" t="s">
        <v>110</v>
      </c>
      <c r="AA642" s="96" t="s">
        <v>601</v>
      </c>
      <c r="AB642" s="96" t="s">
        <v>602</v>
      </c>
      <c r="AC642" s="96" t="s">
        <v>603</v>
      </c>
      <c r="AD642" s="96" t="s">
        <v>604</v>
      </c>
      <c r="AE642" s="96" t="s">
        <v>605</v>
      </c>
      <c r="AF642" s="96" t="s">
        <v>606</v>
      </c>
      <c r="AG642" s="96" t="s">
        <v>110</v>
      </c>
      <c r="AH642" s="96">
        <v>2152</v>
      </c>
      <c r="AI642" s="96" t="s">
        <v>607</v>
      </c>
      <c r="AJ642" s="96" t="s">
        <v>608</v>
      </c>
      <c r="AK642" s="27" t="s">
        <v>110</v>
      </c>
    </row>
    <row r="643" spans="1:37">
      <c r="A643" s="70">
        <v>638</v>
      </c>
      <c r="B643" s="70">
        <f t="shared" si="27"/>
        <v>0</v>
      </c>
      <c r="C643" s="71"/>
      <c r="D643" s="59" t="s">
        <v>1024</v>
      </c>
      <c r="E643" s="60">
        <v>10862</v>
      </c>
      <c r="F643" s="10" t="s">
        <v>278</v>
      </c>
      <c r="G643" s="60">
        <v>811</v>
      </c>
      <c r="H643" s="81">
        <v>58</v>
      </c>
      <c r="I643" s="86" t="s">
        <v>110</v>
      </c>
      <c r="J643" s="81">
        <v>58</v>
      </c>
      <c r="K643" s="86" t="s">
        <v>110</v>
      </c>
      <c r="L643" s="81">
        <v>221</v>
      </c>
      <c r="M643" s="86" t="s">
        <v>110</v>
      </c>
      <c r="N643" s="81">
        <v>78070</v>
      </c>
      <c r="O643" s="86" t="s">
        <v>110</v>
      </c>
      <c r="P643" s="89">
        <f t="shared" si="28"/>
        <v>221</v>
      </c>
      <c r="Q643" s="89">
        <f t="shared" si="29"/>
        <v>78070</v>
      </c>
      <c r="R643" s="96" t="s">
        <v>94</v>
      </c>
      <c r="S643" s="96" t="s">
        <v>124</v>
      </c>
      <c r="T643" s="96" t="s">
        <v>94</v>
      </c>
      <c r="U643" s="96" t="s">
        <v>136</v>
      </c>
      <c r="V643" s="96" t="s">
        <v>94</v>
      </c>
      <c r="W643" s="96" t="s">
        <v>97</v>
      </c>
      <c r="X643" s="96" t="s">
        <v>98</v>
      </c>
      <c r="Y643" s="96" t="s">
        <v>192</v>
      </c>
      <c r="Z643" s="96" t="s">
        <v>193</v>
      </c>
      <c r="AA643" s="96" t="s">
        <v>279</v>
      </c>
      <c r="AB643" s="96" t="s">
        <v>280</v>
      </c>
      <c r="AC643" s="96" t="s">
        <v>281</v>
      </c>
      <c r="AD643" s="96" t="s">
        <v>282</v>
      </c>
      <c r="AE643" s="96" t="s">
        <v>283</v>
      </c>
      <c r="AF643" s="96" t="s">
        <v>284</v>
      </c>
      <c r="AG643" s="96" t="s">
        <v>285</v>
      </c>
      <c r="AH643" s="96">
        <v>1410</v>
      </c>
      <c r="AI643" s="96" t="s">
        <v>286</v>
      </c>
      <c r="AJ643" s="96" t="s">
        <v>287</v>
      </c>
      <c r="AK643" s="27" t="s">
        <v>110</v>
      </c>
    </row>
    <row r="644" spans="1:37">
      <c r="A644" s="70">
        <v>639</v>
      </c>
      <c r="B644" s="70">
        <f t="shared" si="27"/>
        <v>0</v>
      </c>
      <c r="C644" s="71"/>
      <c r="D644" s="59" t="s">
        <v>1024</v>
      </c>
      <c r="E644" s="60">
        <v>14664</v>
      </c>
      <c r="F644" s="10" t="s">
        <v>438</v>
      </c>
      <c r="G644" s="60">
        <v>802</v>
      </c>
      <c r="H644" s="81">
        <v>55</v>
      </c>
      <c r="I644" s="86">
        <v>53</v>
      </c>
      <c r="J644" s="81">
        <v>55</v>
      </c>
      <c r="K644" s="86">
        <v>53</v>
      </c>
      <c r="L644" s="81">
        <v>213</v>
      </c>
      <c r="M644" s="86">
        <v>205</v>
      </c>
      <c r="N644" s="81">
        <v>85188</v>
      </c>
      <c r="O644" s="86">
        <v>72072</v>
      </c>
      <c r="P644" s="89">
        <f t="shared" si="28"/>
        <v>209</v>
      </c>
      <c r="Q644" s="89">
        <f t="shared" si="29"/>
        <v>78630</v>
      </c>
      <c r="R644" s="96" t="s">
        <v>94</v>
      </c>
      <c r="S644" s="96" t="s">
        <v>237</v>
      </c>
      <c r="T644" s="96" t="s">
        <v>94</v>
      </c>
      <c r="U644" s="96" t="s">
        <v>136</v>
      </c>
      <c r="V644" s="96" t="s">
        <v>94</v>
      </c>
      <c r="W644" s="96" t="s">
        <v>97</v>
      </c>
      <c r="X644" s="96" t="s">
        <v>147</v>
      </c>
      <c r="Y644" s="96" t="s">
        <v>110</v>
      </c>
      <c r="Z644" s="96" t="s">
        <v>110</v>
      </c>
      <c r="AA644" s="96" t="s">
        <v>439</v>
      </c>
      <c r="AB644" s="96" t="s">
        <v>110</v>
      </c>
      <c r="AC644" s="96" t="s">
        <v>440</v>
      </c>
      <c r="AD644" s="96" t="s">
        <v>441</v>
      </c>
      <c r="AE644" s="96" t="s">
        <v>442</v>
      </c>
      <c r="AF644" s="96" t="s">
        <v>443</v>
      </c>
      <c r="AG644" s="96" t="s">
        <v>110</v>
      </c>
      <c r="AH644" s="96">
        <v>2851</v>
      </c>
      <c r="AI644" s="96" t="s">
        <v>444</v>
      </c>
      <c r="AJ644" s="96" t="s">
        <v>445</v>
      </c>
      <c r="AK644" s="27" t="s">
        <v>110</v>
      </c>
    </row>
    <row r="645" spans="1:37">
      <c r="A645" s="70">
        <v>640</v>
      </c>
      <c r="B645" s="70">
        <f t="shared" si="27"/>
        <v>0</v>
      </c>
      <c r="C645" s="71"/>
      <c r="D645" s="59" t="s">
        <v>1024</v>
      </c>
      <c r="E645" s="60">
        <v>50853</v>
      </c>
      <c r="F645" s="10" t="s">
        <v>740</v>
      </c>
      <c r="G645" s="60">
        <v>810</v>
      </c>
      <c r="H645" s="81">
        <v>44</v>
      </c>
      <c r="I645" s="86">
        <v>17</v>
      </c>
      <c r="J645" s="81">
        <v>44</v>
      </c>
      <c r="K645" s="86">
        <v>17</v>
      </c>
      <c r="L645" s="81">
        <v>218</v>
      </c>
      <c r="M645" s="86">
        <v>199</v>
      </c>
      <c r="N645" s="81">
        <v>80305</v>
      </c>
      <c r="O645" s="86">
        <v>77186</v>
      </c>
      <c r="P645" s="89">
        <f t="shared" si="28"/>
        <v>208.5</v>
      </c>
      <c r="Q645" s="89">
        <f t="shared" si="29"/>
        <v>78745.5</v>
      </c>
      <c r="R645" s="96" t="s">
        <v>94</v>
      </c>
      <c r="S645" s="96" t="s">
        <v>741</v>
      </c>
      <c r="T645" s="96" t="s">
        <v>94</v>
      </c>
      <c r="U645" s="96" t="s">
        <v>136</v>
      </c>
      <c r="V645" s="96" t="s">
        <v>94</v>
      </c>
      <c r="W645" s="96" t="s">
        <v>97</v>
      </c>
      <c r="X645" s="96" t="s">
        <v>147</v>
      </c>
      <c r="Y645" s="96" t="s">
        <v>110</v>
      </c>
      <c r="Z645" s="96" t="s">
        <v>110</v>
      </c>
      <c r="AA645" s="96" t="s">
        <v>742</v>
      </c>
      <c r="AB645" s="96" t="s">
        <v>110</v>
      </c>
      <c r="AC645" s="96" t="s">
        <v>743</v>
      </c>
      <c r="AD645" s="96" t="s">
        <v>744</v>
      </c>
      <c r="AE645" s="96" t="s">
        <v>745</v>
      </c>
      <c r="AF645" s="96" t="s">
        <v>746</v>
      </c>
      <c r="AG645" s="96" t="s">
        <v>110</v>
      </c>
      <c r="AH645" s="96">
        <v>2633</v>
      </c>
      <c r="AI645" s="96" t="s">
        <v>747</v>
      </c>
      <c r="AJ645" s="96" t="s">
        <v>748</v>
      </c>
      <c r="AK645" s="27" t="s">
        <v>110</v>
      </c>
    </row>
    <row r="646" spans="1:37">
      <c r="A646" s="70">
        <v>641</v>
      </c>
      <c r="B646" s="70">
        <f t="shared" ref="B646:B709" si="30">C646</f>
        <v>0</v>
      </c>
      <c r="C646" s="71"/>
      <c r="D646" s="59" t="s">
        <v>1024</v>
      </c>
      <c r="E646" s="60">
        <v>50853</v>
      </c>
      <c r="F646" s="10" t="s">
        <v>740</v>
      </c>
      <c r="G646" s="60">
        <v>803</v>
      </c>
      <c r="H646" s="81">
        <v>6</v>
      </c>
      <c r="I646" s="86">
        <v>4</v>
      </c>
      <c r="J646" s="81">
        <v>6</v>
      </c>
      <c r="K646" s="86">
        <v>4</v>
      </c>
      <c r="L646" s="81">
        <v>217</v>
      </c>
      <c r="M646" s="86">
        <v>200</v>
      </c>
      <c r="N646" s="81">
        <v>81493</v>
      </c>
      <c r="O646" s="86">
        <v>76123</v>
      </c>
      <c r="P646" s="89">
        <f t="shared" si="28"/>
        <v>208.5</v>
      </c>
      <c r="Q646" s="89">
        <f t="shared" si="29"/>
        <v>78808</v>
      </c>
      <c r="R646" s="96" t="s">
        <v>94</v>
      </c>
      <c r="S646" s="96" t="s">
        <v>741</v>
      </c>
      <c r="T646" s="96" t="s">
        <v>94</v>
      </c>
      <c r="U646" s="96" t="s">
        <v>136</v>
      </c>
      <c r="V646" s="96" t="s">
        <v>94</v>
      </c>
      <c r="W646" s="96" t="s">
        <v>97</v>
      </c>
      <c r="X646" s="96" t="s">
        <v>147</v>
      </c>
      <c r="Y646" s="96" t="s">
        <v>110</v>
      </c>
      <c r="Z646" s="96" t="s">
        <v>110</v>
      </c>
      <c r="AA646" s="96" t="s">
        <v>742</v>
      </c>
      <c r="AB646" s="96" t="s">
        <v>110</v>
      </c>
      <c r="AC646" s="96" t="s">
        <v>743</v>
      </c>
      <c r="AD646" s="96" t="s">
        <v>744</v>
      </c>
      <c r="AE646" s="96" t="s">
        <v>745</v>
      </c>
      <c r="AF646" s="96" t="s">
        <v>746</v>
      </c>
      <c r="AG646" s="96" t="s">
        <v>110</v>
      </c>
      <c r="AH646" s="96">
        <v>2633</v>
      </c>
      <c r="AI646" s="96" t="s">
        <v>747</v>
      </c>
      <c r="AJ646" s="96" t="s">
        <v>748</v>
      </c>
      <c r="AK646" s="27" t="s">
        <v>110</v>
      </c>
    </row>
    <row r="647" spans="1:37">
      <c r="A647" s="70">
        <v>642</v>
      </c>
      <c r="B647" s="70">
        <f t="shared" si="30"/>
        <v>0</v>
      </c>
      <c r="C647" s="71"/>
      <c r="D647" s="59" t="s">
        <v>1024</v>
      </c>
      <c r="E647" s="60">
        <v>13717</v>
      </c>
      <c r="F647" s="10" t="s">
        <v>765</v>
      </c>
      <c r="G647" s="60">
        <v>811</v>
      </c>
      <c r="H647" s="81">
        <v>175</v>
      </c>
      <c r="I647" s="86">
        <v>160</v>
      </c>
      <c r="J647" s="81">
        <v>175</v>
      </c>
      <c r="K647" s="86">
        <v>160</v>
      </c>
      <c r="L647" s="81">
        <v>218</v>
      </c>
      <c r="M647" s="86">
        <v>198</v>
      </c>
      <c r="N647" s="81">
        <v>80364</v>
      </c>
      <c r="O647" s="86">
        <v>78837</v>
      </c>
      <c r="P647" s="89">
        <f t="shared" ref="P647:P710" si="31">IFERROR(AVERAGE(L647:M647),"/")</f>
        <v>208</v>
      </c>
      <c r="Q647" s="89">
        <f t="shared" ref="Q647:Q710" si="32">IFERROR(AVERAGE(N647:O647),"/")</f>
        <v>79600.5</v>
      </c>
      <c r="R647" s="96" t="s">
        <v>94</v>
      </c>
      <c r="S647" s="96" t="s">
        <v>124</v>
      </c>
      <c r="T647" s="96" t="s">
        <v>94</v>
      </c>
      <c r="U647" s="96" t="s">
        <v>96</v>
      </c>
      <c r="V647" s="96" t="s">
        <v>766</v>
      </c>
      <c r="W647" s="96" t="s">
        <v>767</v>
      </c>
      <c r="X647" s="96" t="s">
        <v>98</v>
      </c>
      <c r="Y647" s="96" t="s">
        <v>110</v>
      </c>
      <c r="Z647" s="96" t="s">
        <v>110</v>
      </c>
      <c r="AA647" s="96" t="s">
        <v>768</v>
      </c>
      <c r="AB647" s="96" t="s">
        <v>110</v>
      </c>
      <c r="AC647" s="96" t="s">
        <v>769</v>
      </c>
      <c r="AD647" s="96" t="s">
        <v>770</v>
      </c>
      <c r="AE647" s="96" t="s">
        <v>771</v>
      </c>
      <c r="AF647" s="96" t="s">
        <v>772</v>
      </c>
      <c r="AG647" s="96" t="s">
        <v>773</v>
      </c>
      <c r="AH647" s="96">
        <v>1270</v>
      </c>
      <c r="AI647" s="96" t="s">
        <v>774</v>
      </c>
      <c r="AJ647" s="96" t="s">
        <v>775</v>
      </c>
      <c r="AK647" s="27" t="s">
        <v>110</v>
      </c>
    </row>
    <row r="648" spans="1:37">
      <c r="A648" s="70">
        <v>643</v>
      </c>
      <c r="B648" s="70">
        <f t="shared" si="30"/>
        <v>0</v>
      </c>
      <c r="C648" s="71"/>
      <c r="D648" s="59" t="s">
        <v>1024</v>
      </c>
      <c r="E648" s="60">
        <v>50853</v>
      </c>
      <c r="F648" s="10" t="s">
        <v>740</v>
      </c>
      <c r="G648" s="60">
        <v>802</v>
      </c>
      <c r="H648" s="81">
        <v>53</v>
      </c>
      <c r="I648" s="86">
        <v>76</v>
      </c>
      <c r="J648" s="81">
        <v>53</v>
      </c>
      <c r="K648" s="86">
        <v>76</v>
      </c>
      <c r="L648" s="81">
        <v>212</v>
      </c>
      <c r="M648" s="86">
        <v>204</v>
      </c>
      <c r="N648" s="81">
        <v>86289</v>
      </c>
      <c r="O648" s="86">
        <v>73026</v>
      </c>
      <c r="P648" s="89">
        <f t="shared" si="31"/>
        <v>208</v>
      </c>
      <c r="Q648" s="89">
        <f t="shared" si="32"/>
        <v>79657.5</v>
      </c>
      <c r="R648" s="96" t="s">
        <v>94</v>
      </c>
      <c r="S648" s="96" t="s">
        <v>741</v>
      </c>
      <c r="T648" s="96" t="s">
        <v>94</v>
      </c>
      <c r="U648" s="96" t="s">
        <v>136</v>
      </c>
      <c r="V648" s="96" t="s">
        <v>94</v>
      </c>
      <c r="W648" s="96" t="s">
        <v>97</v>
      </c>
      <c r="X648" s="96" t="s">
        <v>147</v>
      </c>
      <c r="Y648" s="96" t="s">
        <v>110</v>
      </c>
      <c r="Z648" s="96" t="s">
        <v>110</v>
      </c>
      <c r="AA648" s="96" t="s">
        <v>742</v>
      </c>
      <c r="AB648" s="96" t="s">
        <v>110</v>
      </c>
      <c r="AC648" s="96" t="s">
        <v>743</v>
      </c>
      <c r="AD648" s="96" t="s">
        <v>744</v>
      </c>
      <c r="AE648" s="96" t="s">
        <v>745</v>
      </c>
      <c r="AF648" s="96" t="s">
        <v>746</v>
      </c>
      <c r="AG648" s="96" t="s">
        <v>110</v>
      </c>
      <c r="AH648" s="96">
        <v>2633</v>
      </c>
      <c r="AI648" s="96" t="s">
        <v>747</v>
      </c>
      <c r="AJ648" s="96" t="s">
        <v>748</v>
      </c>
      <c r="AK648" s="27" t="s">
        <v>110</v>
      </c>
    </row>
    <row r="649" spans="1:37">
      <c r="A649" s="70">
        <v>644</v>
      </c>
      <c r="B649" s="70">
        <f t="shared" si="30"/>
        <v>0</v>
      </c>
      <c r="C649" s="71"/>
      <c r="D649" s="59" t="s">
        <v>1024</v>
      </c>
      <c r="E649" s="60">
        <v>14587</v>
      </c>
      <c r="F649" s="10" t="s">
        <v>757</v>
      </c>
      <c r="G649" s="60">
        <v>807</v>
      </c>
      <c r="H649" s="81">
        <v>15</v>
      </c>
      <c r="I649" s="86">
        <v>10</v>
      </c>
      <c r="J649" s="81">
        <v>15</v>
      </c>
      <c r="K649" s="86">
        <v>10</v>
      </c>
      <c r="L649" s="81">
        <v>218</v>
      </c>
      <c r="M649" s="86">
        <v>197</v>
      </c>
      <c r="N649" s="81">
        <v>80507</v>
      </c>
      <c r="O649" s="86">
        <v>79490</v>
      </c>
      <c r="P649" s="89">
        <f t="shared" si="31"/>
        <v>207.5</v>
      </c>
      <c r="Q649" s="89">
        <f t="shared" si="32"/>
        <v>79998.5</v>
      </c>
      <c r="R649" s="96" t="s">
        <v>94</v>
      </c>
      <c r="S649" s="96" t="s">
        <v>320</v>
      </c>
      <c r="T649" s="96" t="s">
        <v>94</v>
      </c>
      <c r="U649" s="96" t="s">
        <v>136</v>
      </c>
      <c r="V649" s="96" t="s">
        <v>94</v>
      </c>
      <c r="W649" s="96" t="s">
        <v>97</v>
      </c>
      <c r="X649" s="96" t="s">
        <v>147</v>
      </c>
      <c r="Y649" s="96" t="s">
        <v>110</v>
      </c>
      <c r="Z649" s="96" t="s">
        <v>110</v>
      </c>
      <c r="AA649" s="96" t="s">
        <v>758</v>
      </c>
      <c r="AB649" s="96" t="s">
        <v>110</v>
      </c>
      <c r="AC649" s="96" t="s">
        <v>759</v>
      </c>
      <c r="AD649" s="96" t="s">
        <v>760</v>
      </c>
      <c r="AE649" s="96">
        <v>6686618889</v>
      </c>
      <c r="AF649" s="96" t="s">
        <v>761</v>
      </c>
      <c r="AG649" s="96" t="s">
        <v>762</v>
      </c>
      <c r="AH649" s="96">
        <v>2631</v>
      </c>
      <c r="AI649" s="96" t="s">
        <v>763</v>
      </c>
      <c r="AJ649" s="96" t="s">
        <v>764</v>
      </c>
      <c r="AK649" s="27" t="s">
        <v>110</v>
      </c>
    </row>
    <row r="650" spans="1:37">
      <c r="A650" s="70">
        <v>645</v>
      </c>
      <c r="B650" s="70">
        <f t="shared" si="30"/>
        <v>0</v>
      </c>
      <c r="C650" s="71"/>
      <c r="D650" s="59" t="s">
        <v>1024</v>
      </c>
      <c r="E650" s="60">
        <v>10862</v>
      </c>
      <c r="F650" s="10" t="s">
        <v>278</v>
      </c>
      <c r="G650" s="60">
        <v>817</v>
      </c>
      <c r="H650" s="81">
        <v>23</v>
      </c>
      <c r="I650" s="86" t="s">
        <v>110</v>
      </c>
      <c r="J650" s="81">
        <v>23</v>
      </c>
      <c r="K650" s="86" t="s">
        <v>110</v>
      </c>
      <c r="L650" s="81">
        <v>219</v>
      </c>
      <c r="M650" s="86" t="s">
        <v>110</v>
      </c>
      <c r="N650" s="81">
        <v>80115</v>
      </c>
      <c r="O650" s="86" t="s">
        <v>110</v>
      </c>
      <c r="P650" s="89">
        <f t="shared" si="31"/>
        <v>219</v>
      </c>
      <c r="Q650" s="89">
        <f t="shared" si="32"/>
        <v>80115</v>
      </c>
      <c r="R650" s="96" t="s">
        <v>94</v>
      </c>
      <c r="S650" s="96" t="s">
        <v>124</v>
      </c>
      <c r="T650" s="96" t="s">
        <v>94</v>
      </c>
      <c r="U650" s="96" t="s">
        <v>136</v>
      </c>
      <c r="V650" s="96" t="s">
        <v>94</v>
      </c>
      <c r="W650" s="96" t="s">
        <v>97</v>
      </c>
      <c r="X650" s="96" t="s">
        <v>98</v>
      </c>
      <c r="Y650" s="96" t="s">
        <v>192</v>
      </c>
      <c r="Z650" s="96" t="s">
        <v>193</v>
      </c>
      <c r="AA650" s="96" t="s">
        <v>279</v>
      </c>
      <c r="AB650" s="96" t="s">
        <v>280</v>
      </c>
      <c r="AC650" s="96" t="s">
        <v>281</v>
      </c>
      <c r="AD650" s="96" t="s">
        <v>282</v>
      </c>
      <c r="AE650" s="96" t="s">
        <v>283</v>
      </c>
      <c r="AF650" s="96" t="s">
        <v>284</v>
      </c>
      <c r="AG650" s="96" t="s">
        <v>285</v>
      </c>
      <c r="AH650" s="96">
        <v>1410</v>
      </c>
      <c r="AI650" s="96" t="s">
        <v>286</v>
      </c>
      <c r="AJ650" s="96" t="s">
        <v>287</v>
      </c>
      <c r="AK650" s="27" t="s">
        <v>110</v>
      </c>
    </row>
    <row r="651" spans="1:37">
      <c r="A651" s="70">
        <v>646</v>
      </c>
      <c r="B651" s="70">
        <f t="shared" si="30"/>
        <v>0</v>
      </c>
      <c r="C651" s="71"/>
      <c r="D651" s="59" t="s">
        <v>1024</v>
      </c>
      <c r="E651" s="60">
        <v>50853</v>
      </c>
      <c r="F651" s="10" t="s">
        <v>740</v>
      </c>
      <c r="G651" s="60">
        <v>811</v>
      </c>
      <c r="H651" s="81">
        <v>29</v>
      </c>
      <c r="I651" s="86" t="s">
        <v>110</v>
      </c>
      <c r="J651" s="81">
        <v>29</v>
      </c>
      <c r="K651" s="86" t="s">
        <v>110</v>
      </c>
      <c r="L651" s="81">
        <v>218</v>
      </c>
      <c r="M651" s="86" t="s">
        <v>110</v>
      </c>
      <c r="N651" s="81">
        <v>80685</v>
      </c>
      <c r="O651" s="86" t="s">
        <v>110</v>
      </c>
      <c r="P651" s="89">
        <f t="shared" si="31"/>
        <v>218</v>
      </c>
      <c r="Q651" s="89">
        <f t="shared" si="32"/>
        <v>80685</v>
      </c>
      <c r="R651" s="96" t="s">
        <v>94</v>
      </c>
      <c r="S651" s="96" t="s">
        <v>741</v>
      </c>
      <c r="T651" s="96" t="s">
        <v>94</v>
      </c>
      <c r="U651" s="96" t="s">
        <v>136</v>
      </c>
      <c r="V651" s="96" t="s">
        <v>94</v>
      </c>
      <c r="W651" s="96" t="s">
        <v>97</v>
      </c>
      <c r="X651" s="96" t="s">
        <v>147</v>
      </c>
      <c r="Y651" s="96" t="s">
        <v>110</v>
      </c>
      <c r="Z651" s="96" t="s">
        <v>110</v>
      </c>
      <c r="AA651" s="96" t="s">
        <v>742</v>
      </c>
      <c r="AB651" s="96" t="s">
        <v>110</v>
      </c>
      <c r="AC651" s="96" t="s">
        <v>743</v>
      </c>
      <c r="AD651" s="96" t="s">
        <v>744</v>
      </c>
      <c r="AE651" s="96" t="s">
        <v>745</v>
      </c>
      <c r="AF651" s="96" t="s">
        <v>746</v>
      </c>
      <c r="AG651" s="96" t="s">
        <v>110</v>
      </c>
      <c r="AH651" s="96">
        <v>2633</v>
      </c>
      <c r="AI651" s="96" t="s">
        <v>747</v>
      </c>
      <c r="AJ651" s="96" t="s">
        <v>748</v>
      </c>
      <c r="AK651" s="27" t="s">
        <v>110</v>
      </c>
    </row>
    <row r="652" spans="1:37">
      <c r="A652" s="70">
        <v>647</v>
      </c>
      <c r="B652" s="70">
        <f t="shared" si="30"/>
        <v>0</v>
      </c>
      <c r="C652" s="71"/>
      <c r="D652" s="59" t="s">
        <v>1024</v>
      </c>
      <c r="E652" s="60">
        <v>12578</v>
      </c>
      <c r="F652" s="10" t="s">
        <v>634</v>
      </c>
      <c r="G652" s="60">
        <v>802</v>
      </c>
      <c r="H652" s="81">
        <v>172</v>
      </c>
      <c r="I652" s="86">
        <v>227</v>
      </c>
      <c r="J652" s="81">
        <v>172</v>
      </c>
      <c r="K652" s="86">
        <v>227</v>
      </c>
      <c r="L652" s="81">
        <v>225</v>
      </c>
      <c r="M652" s="86">
        <v>190</v>
      </c>
      <c r="N652" s="81">
        <v>74675</v>
      </c>
      <c r="O652" s="86">
        <v>86718</v>
      </c>
      <c r="P652" s="89">
        <f t="shared" si="31"/>
        <v>207.5</v>
      </c>
      <c r="Q652" s="89">
        <f t="shared" si="32"/>
        <v>80696.5</v>
      </c>
      <c r="R652" s="96" t="s">
        <v>94</v>
      </c>
      <c r="S652" s="96" t="s">
        <v>124</v>
      </c>
      <c r="T652" s="96" t="s">
        <v>94</v>
      </c>
      <c r="U652" s="96" t="s">
        <v>136</v>
      </c>
      <c r="V652" s="96" t="s">
        <v>94</v>
      </c>
      <c r="W652" s="96" t="s">
        <v>97</v>
      </c>
      <c r="X652" s="96" t="s">
        <v>98</v>
      </c>
      <c r="Y652" s="96" t="s">
        <v>110</v>
      </c>
      <c r="Z652" s="96" t="s">
        <v>148</v>
      </c>
      <c r="AA652" s="96" t="s">
        <v>635</v>
      </c>
      <c r="AB652" s="96" t="s">
        <v>636</v>
      </c>
      <c r="AC652" s="96" t="s">
        <v>637</v>
      </c>
      <c r="AD652" s="96" t="s">
        <v>638</v>
      </c>
      <c r="AE652" s="96" t="s">
        <v>639</v>
      </c>
      <c r="AF652" s="96" t="s">
        <v>640</v>
      </c>
      <c r="AG652" s="96" t="s">
        <v>641</v>
      </c>
      <c r="AH652" s="96">
        <v>2030</v>
      </c>
      <c r="AI652" s="96" t="s">
        <v>642</v>
      </c>
      <c r="AJ652" s="96" t="s">
        <v>643</v>
      </c>
      <c r="AK652" s="27" t="s">
        <v>110</v>
      </c>
    </row>
    <row r="653" spans="1:37">
      <c r="A653" s="70">
        <v>648</v>
      </c>
      <c r="B653" s="70">
        <f t="shared" si="30"/>
        <v>0</v>
      </c>
      <c r="C653" s="71"/>
      <c r="D653" s="59" t="s">
        <v>1024</v>
      </c>
      <c r="E653" s="60">
        <v>14509</v>
      </c>
      <c r="F653" s="10" t="s">
        <v>490</v>
      </c>
      <c r="G653" s="60">
        <v>807</v>
      </c>
      <c r="H653" s="81">
        <v>25</v>
      </c>
      <c r="I653" s="86" t="s">
        <v>110</v>
      </c>
      <c r="J653" s="81">
        <v>25</v>
      </c>
      <c r="K653" s="86" t="s">
        <v>110</v>
      </c>
      <c r="L653" s="81">
        <v>217</v>
      </c>
      <c r="M653" s="86" t="s">
        <v>110</v>
      </c>
      <c r="N653" s="81">
        <v>81204</v>
      </c>
      <c r="O653" s="86" t="s">
        <v>110</v>
      </c>
      <c r="P653" s="89">
        <f t="shared" si="31"/>
        <v>217</v>
      </c>
      <c r="Q653" s="89">
        <f t="shared" si="32"/>
        <v>81204</v>
      </c>
      <c r="R653" s="96" t="s">
        <v>94</v>
      </c>
      <c r="S653" s="96" t="s">
        <v>124</v>
      </c>
      <c r="T653" s="96" t="s">
        <v>94</v>
      </c>
      <c r="U653" s="96" t="s">
        <v>136</v>
      </c>
      <c r="V653" s="96" t="s">
        <v>94</v>
      </c>
      <c r="W653" s="96" t="s">
        <v>97</v>
      </c>
      <c r="X653" s="96" t="s">
        <v>98</v>
      </c>
      <c r="Y653" s="96" t="s">
        <v>110</v>
      </c>
      <c r="Z653" s="96" t="s">
        <v>148</v>
      </c>
      <c r="AA653" s="96" t="s">
        <v>491</v>
      </c>
      <c r="AB653" s="96" t="s">
        <v>110</v>
      </c>
      <c r="AC653" s="96" t="s">
        <v>492</v>
      </c>
      <c r="AD653" s="96" t="s">
        <v>493</v>
      </c>
      <c r="AE653" s="96" t="s">
        <v>494</v>
      </c>
      <c r="AF653" s="96" t="s">
        <v>495</v>
      </c>
      <c r="AG653" s="96" t="s">
        <v>110</v>
      </c>
      <c r="AH653" s="96">
        <v>1977</v>
      </c>
      <c r="AI653" s="96" t="s">
        <v>496</v>
      </c>
      <c r="AJ653" s="96" t="s">
        <v>497</v>
      </c>
      <c r="AK653" s="27" t="s">
        <v>110</v>
      </c>
    </row>
    <row r="654" spans="1:37">
      <c r="A654" s="70">
        <v>649</v>
      </c>
      <c r="B654" s="70">
        <f t="shared" si="30"/>
        <v>0</v>
      </c>
      <c r="C654" s="71"/>
      <c r="D654" s="59" t="s">
        <v>1024</v>
      </c>
      <c r="E654" s="60">
        <v>13711</v>
      </c>
      <c r="F654" s="10" t="s">
        <v>236</v>
      </c>
      <c r="G654" s="60">
        <v>806</v>
      </c>
      <c r="H654" s="81">
        <v>10</v>
      </c>
      <c r="I654" s="86">
        <v>12</v>
      </c>
      <c r="J654" s="81">
        <v>10</v>
      </c>
      <c r="K654" s="86">
        <v>12</v>
      </c>
      <c r="L654" s="81">
        <v>217</v>
      </c>
      <c r="M654" s="86">
        <v>195</v>
      </c>
      <c r="N654" s="81">
        <v>81323</v>
      </c>
      <c r="O654" s="86">
        <v>81724</v>
      </c>
      <c r="P654" s="89">
        <f t="shared" si="31"/>
        <v>206</v>
      </c>
      <c r="Q654" s="89">
        <f t="shared" si="32"/>
        <v>81523.5</v>
      </c>
      <c r="R654" s="96" t="s">
        <v>94</v>
      </c>
      <c r="S654" s="96" t="s">
        <v>237</v>
      </c>
      <c r="T654" s="96" t="s">
        <v>94</v>
      </c>
      <c r="U654" s="96" t="s">
        <v>136</v>
      </c>
      <c r="V654" s="96" t="s">
        <v>94</v>
      </c>
      <c r="W654" s="96" t="s">
        <v>97</v>
      </c>
      <c r="X654" s="96" t="s">
        <v>147</v>
      </c>
      <c r="Y654" s="96" t="s">
        <v>110</v>
      </c>
      <c r="Z654" s="96" t="s">
        <v>110</v>
      </c>
      <c r="AA654" s="96" t="s">
        <v>238</v>
      </c>
      <c r="AB654" s="96" t="s">
        <v>239</v>
      </c>
      <c r="AC654" s="96" t="s">
        <v>240</v>
      </c>
      <c r="AD654" s="96" t="s">
        <v>241</v>
      </c>
      <c r="AE654" s="96" t="s">
        <v>242</v>
      </c>
      <c r="AF654" s="96" t="s">
        <v>243</v>
      </c>
      <c r="AG654" s="96" t="s">
        <v>110</v>
      </c>
      <c r="AH654" s="96">
        <v>1606</v>
      </c>
      <c r="AI654" s="96" t="s">
        <v>244</v>
      </c>
      <c r="AJ654" s="96" t="s">
        <v>245</v>
      </c>
      <c r="AK654" s="27" t="s">
        <v>110</v>
      </c>
    </row>
    <row r="655" spans="1:37">
      <c r="A655" s="70">
        <v>650</v>
      </c>
      <c r="B655" s="70">
        <f t="shared" si="30"/>
        <v>0</v>
      </c>
      <c r="C655" s="71"/>
      <c r="D655" s="59" t="s">
        <v>1024</v>
      </c>
      <c r="E655" s="60">
        <v>12736</v>
      </c>
      <c r="F655" s="10" t="s">
        <v>572</v>
      </c>
      <c r="G655" s="60">
        <v>805</v>
      </c>
      <c r="H655" s="81">
        <v>55</v>
      </c>
      <c r="I655" s="86" t="s">
        <v>110</v>
      </c>
      <c r="J655" s="81">
        <v>55</v>
      </c>
      <c r="K655" s="86" t="s">
        <v>110</v>
      </c>
      <c r="L655" s="81">
        <v>217</v>
      </c>
      <c r="M655" s="86" t="s">
        <v>110</v>
      </c>
      <c r="N655" s="81">
        <v>81868</v>
      </c>
      <c r="O655" s="86" t="s">
        <v>110</v>
      </c>
      <c r="P655" s="89">
        <f t="shared" si="31"/>
        <v>217</v>
      </c>
      <c r="Q655" s="89">
        <f t="shared" si="32"/>
        <v>81868</v>
      </c>
      <c r="R655" s="96" t="s">
        <v>94</v>
      </c>
      <c r="S655" s="96" t="s">
        <v>168</v>
      </c>
      <c r="T655" s="96" t="s">
        <v>94</v>
      </c>
      <c r="U655" s="96" t="s">
        <v>136</v>
      </c>
      <c r="V655" s="96" t="s">
        <v>94</v>
      </c>
      <c r="W655" s="96" t="s">
        <v>97</v>
      </c>
      <c r="X655" s="96" t="s">
        <v>169</v>
      </c>
      <c r="Y655" s="96" t="s">
        <v>573</v>
      </c>
      <c r="Z655" s="96" t="s">
        <v>110</v>
      </c>
      <c r="AA655" s="96" t="s">
        <v>574</v>
      </c>
      <c r="AB655" s="96" t="s">
        <v>110</v>
      </c>
      <c r="AC655" s="96" t="s">
        <v>575</v>
      </c>
      <c r="AD655" s="96" t="s">
        <v>576</v>
      </c>
      <c r="AE655" s="96" t="s">
        <v>577</v>
      </c>
      <c r="AF655" s="96" t="s">
        <v>578</v>
      </c>
      <c r="AG655" s="96" t="s">
        <v>110</v>
      </c>
      <c r="AH655" s="96">
        <v>1654</v>
      </c>
      <c r="AI655" s="96" t="s">
        <v>579</v>
      </c>
      <c r="AJ655" s="96" t="s">
        <v>580</v>
      </c>
      <c r="AK655" s="27" t="s">
        <v>110</v>
      </c>
    </row>
    <row r="656" spans="1:37">
      <c r="A656" s="70">
        <v>651</v>
      </c>
      <c r="B656" s="70">
        <f t="shared" si="30"/>
        <v>0</v>
      </c>
      <c r="C656" s="71"/>
      <c r="D656" s="59" t="s">
        <v>1024</v>
      </c>
      <c r="E656" s="60">
        <v>13719</v>
      </c>
      <c r="F656" s="10" t="s">
        <v>1025</v>
      </c>
      <c r="G656" s="60">
        <v>801</v>
      </c>
      <c r="H656" s="81">
        <v>30</v>
      </c>
      <c r="I656" s="86">
        <v>30</v>
      </c>
      <c r="J656" s="81">
        <v>30</v>
      </c>
      <c r="K656" s="86">
        <v>30</v>
      </c>
      <c r="L656" s="81">
        <v>215</v>
      </c>
      <c r="M656" s="86">
        <v>195</v>
      </c>
      <c r="N656" s="81">
        <v>83353</v>
      </c>
      <c r="O656" s="86">
        <v>80845</v>
      </c>
      <c r="P656" s="89">
        <f t="shared" si="31"/>
        <v>205</v>
      </c>
      <c r="Q656" s="89">
        <f t="shared" si="32"/>
        <v>82099</v>
      </c>
      <c r="R656" s="96" t="s">
        <v>94</v>
      </c>
      <c r="S656" s="96" t="s">
        <v>255</v>
      </c>
      <c r="T656" s="96" t="s">
        <v>94</v>
      </c>
      <c r="U656" s="96" t="s">
        <v>146</v>
      </c>
      <c r="V656" s="96" t="s">
        <v>766</v>
      </c>
      <c r="W656" s="96" t="s">
        <v>767</v>
      </c>
      <c r="X656" s="96" t="s">
        <v>169</v>
      </c>
      <c r="Y656" s="96" t="s">
        <v>382</v>
      </c>
      <c r="Z656" s="96" t="s">
        <v>1026</v>
      </c>
      <c r="AA656" s="96" t="s">
        <v>1027</v>
      </c>
      <c r="AB656" s="96" t="s">
        <v>110</v>
      </c>
      <c r="AC656" s="96" t="s">
        <v>1028</v>
      </c>
      <c r="AD656" s="96" t="s">
        <v>1028</v>
      </c>
      <c r="AE656" s="96" t="s">
        <v>1029</v>
      </c>
      <c r="AF656" s="96" t="s">
        <v>1030</v>
      </c>
      <c r="AG656" s="96" t="s">
        <v>1031</v>
      </c>
      <c r="AH656" s="96">
        <v>1265</v>
      </c>
      <c r="AI656" s="96" t="s">
        <v>1032</v>
      </c>
      <c r="AJ656" s="96" t="s">
        <v>1033</v>
      </c>
      <c r="AK656" s="27" t="s">
        <v>110</v>
      </c>
    </row>
    <row r="657" spans="1:37">
      <c r="A657" s="70">
        <v>652</v>
      </c>
      <c r="B657" s="70">
        <f t="shared" si="30"/>
        <v>0</v>
      </c>
      <c r="C657" s="71"/>
      <c r="D657" s="59" t="s">
        <v>1024</v>
      </c>
      <c r="E657" s="60">
        <v>14667</v>
      </c>
      <c r="F657" s="10" t="s">
        <v>626</v>
      </c>
      <c r="G657" s="60">
        <v>805</v>
      </c>
      <c r="H657" s="81">
        <v>272</v>
      </c>
      <c r="I657" s="86">
        <v>41</v>
      </c>
      <c r="J657" s="81">
        <v>272</v>
      </c>
      <c r="K657" s="86">
        <v>41</v>
      </c>
      <c r="L657" s="81">
        <v>191</v>
      </c>
      <c r="M657" s="86">
        <v>221</v>
      </c>
      <c r="N657" s="81">
        <v>106645</v>
      </c>
      <c r="O657" s="86">
        <v>58949</v>
      </c>
      <c r="P657" s="89">
        <f t="shared" si="31"/>
        <v>206</v>
      </c>
      <c r="Q657" s="89">
        <f t="shared" si="32"/>
        <v>82797</v>
      </c>
      <c r="R657" s="96" t="s">
        <v>94</v>
      </c>
      <c r="S657" s="96" t="s">
        <v>499</v>
      </c>
      <c r="T657" s="96" t="s">
        <v>94</v>
      </c>
      <c r="U657" s="96" t="s">
        <v>136</v>
      </c>
      <c r="V657" s="96" t="s">
        <v>94</v>
      </c>
      <c r="W657" s="96" t="s">
        <v>97</v>
      </c>
      <c r="X657" s="96" t="s">
        <v>500</v>
      </c>
      <c r="Y657" s="96" t="s">
        <v>382</v>
      </c>
      <c r="Z657" s="96" t="s">
        <v>110</v>
      </c>
      <c r="AA657" s="96" t="s">
        <v>627</v>
      </c>
      <c r="AB657" s="96" t="s">
        <v>110</v>
      </c>
      <c r="AC657" s="96" t="s">
        <v>628</v>
      </c>
      <c r="AD657" s="96" t="s">
        <v>629</v>
      </c>
      <c r="AE657" s="96" t="s">
        <v>630</v>
      </c>
      <c r="AF657" s="96" t="s">
        <v>631</v>
      </c>
      <c r="AG657" s="96" t="s">
        <v>110</v>
      </c>
      <c r="AH657" s="96">
        <v>1912</v>
      </c>
      <c r="AI657" s="96" t="s">
        <v>632</v>
      </c>
      <c r="AJ657" s="96" t="s">
        <v>633</v>
      </c>
      <c r="AK657" s="27" t="s">
        <v>110</v>
      </c>
    </row>
    <row r="658" spans="1:37">
      <c r="A658" s="70">
        <v>653</v>
      </c>
      <c r="B658" s="70">
        <f t="shared" si="30"/>
        <v>0</v>
      </c>
      <c r="C658" s="71"/>
      <c r="D658" s="59" t="s">
        <v>1024</v>
      </c>
      <c r="E658" s="60">
        <v>14756</v>
      </c>
      <c r="F658" s="10" t="s">
        <v>519</v>
      </c>
      <c r="G658" s="60">
        <v>806</v>
      </c>
      <c r="H658" s="81">
        <v>50</v>
      </c>
      <c r="I658" s="86">
        <v>50</v>
      </c>
      <c r="J658" s="81">
        <v>50</v>
      </c>
      <c r="K658" s="86">
        <v>50</v>
      </c>
      <c r="L658" s="81">
        <v>205</v>
      </c>
      <c r="M658" s="86">
        <v>204</v>
      </c>
      <c r="N658" s="81">
        <v>93010</v>
      </c>
      <c r="O658" s="86">
        <v>72898</v>
      </c>
      <c r="P658" s="89">
        <f t="shared" si="31"/>
        <v>204.5</v>
      </c>
      <c r="Q658" s="89">
        <f t="shared" si="32"/>
        <v>82954</v>
      </c>
      <c r="R658" s="96" t="s">
        <v>94</v>
      </c>
      <c r="S658" s="96" t="s">
        <v>124</v>
      </c>
      <c r="T658" s="96" t="s">
        <v>94</v>
      </c>
      <c r="U658" s="96" t="s">
        <v>136</v>
      </c>
      <c r="V658" s="96" t="s">
        <v>94</v>
      </c>
      <c r="W658" s="96" t="s">
        <v>97</v>
      </c>
      <c r="X658" s="96" t="s">
        <v>98</v>
      </c>
      <c r="Y658" s="96" t="s">
        <v>110</v>
      </c>
      <c r="Z658" s="96" t="s">
        <v>110</v>
      </c>
      <c r="AA658" s="96" t="s">
        <v>520</v>
      </c>
      <c r="AB658" s="96" t="s">
        <v>110</v>
      </c>
      <c r="AC658" s="96" t="s">
        <v>110</v>
      </c>
      <c r="AD658" s="96" t="s">
        <v>110</v>
      </c>
      <c r="AE658" s="96" t="s">
        <v>521</v>
      </c>
      <c r="AF658" s="96" t="s">
        <v>522</v>
      </c>
      <c r="AG658" s="96" t="s">
        <v>110</v>
      </c>
      <c r="AH658" s="96">
        <v>2685</v>
      </c>
      <c r="AI658" s="96" t="s">
        <v>523</v>
      </c>
      <c r="AJ658" s="96" t="s">
        <v>524</v>
      </c>
      <c r="AK658" s="27" t="s">
        <v>110</v>
      </c>
    </row>
    <row r="659" spans="1:37">
      <c r="A659" s="70">
        <v>654</v>
      </c>
      <c r="B659" s="70">
        <f t="shared" si="30"/>
        <v>0</v>
      </c>
      <c r="C659" s="71"/>
      <c r="D659" s="59" t="s">
        <v>1024</v>
      </c>
      <c r="E659" s="60">
        <v>12962</v>
      </c>
      <c r="F659" s="10" t="s">
        <v>691</v>
      </c>
      <c r="G659" s="60">
        <v>811</v>
      </c>
      <c r="H659" s="81">
        <v>20</v>
      </c>
      <c r="I659" s="86">
        <v>30</v>
      </c>
      <c r="J659" s="81">
        <v>20</v>
      </c>
      <c r="K659" s="86">
        <v>30</v>
      </c>
      <c r="L659" s="81">
        <v>224</v>
      </c>
      <c r="M659" s="86">
        <v>183</v>
      </c>
      <c r="N659" s="81">
        <v>75214</v>
      </c>
      <c r="O659" s="86">
        <v>93500</v>
      </c>
      <c r="P659" s="89">
        <f t="shared" si="31"/>
        <v>203.5</v>
      </c>
      <c r="Q659" s="89">
        <f t="shared" si="32"/>
        <v>84357</v>
      </c>
      <c r="R659" s="96" t="s">
        <v>94</v>
      </c>
      <c r="S659" s="96" t="s">
        <v>124</v>
      </c>
      <c r="T659" s="96" t="s">
        <v>94</v>
      </c>
      <c r="U659" s="96" t="s">
        <v>136</v>
      </c>
      <c r="V659" s="96" t="s">
        <v>94</v>
      </c>
      <c r="W659" s="96" t="s">
        <v>97</v>
      </c>
      <c r="X659" s="96" t="s">
        <v>98</v>
      </c>
      <c r="Y659" s="96" t="s">
        <v>382</v>
      </c>
      <c r="Z659" s="96" t="s">
        <v>110</v>
      </c>
      <c r="AA659" s="96" t="s">
        <v>692</v>
      </c>
      <c r="AB659" s="96" t="s">
        <v>693</v>
      </c>
      <c r="AC659" s="96" t="s">
        <v>694</v>
      </c>
      <c r="AD659" s="96" t="s">
        <v>695</v>
      </c>
      <c r="AE659" s="96" t="s">
        <v>696</v>
      </c>
      <c r="AF659" s="96" t="s">
        <v>697</v>
      </c>
      <c r="AG659" s="96" t="s">
        <v>698</v>
      </c>
      <c r="AH659" s="96">
        <v>1491</v>
      </c>
      <c r="AI659" s="96" t="s">
        <v>699</v>
      </c>
      <c r="AJ659" s="96" t="s">
        <v>700</v>
      </c>
      <c r="AK659" s="27" t="s">
        <v>110</v>
      </c>
    </row>
    <row r="660" spans="1:37">
      <c r="A660" s="70">
        <v>655</v>
      </c>
      <c r="B660" s="70">
        <f t="shared" si="30"/>
        <v>0</v>
      </c>
      <c r="C660" s="71"/>
      <c r="D660" s="59" t="s">
        <v>1024</v>
      </c>
      <c r="E660" s="60">
        <v>14587</v>
      </c>
      <c r="F660" s="10" t="s">
        <v>757</v>
      </c>
      <c r="G660" s="60">
        <v>803</v>
      </c>
      <c r="H660" s="81">
        <v>27</v>
      </c>
      <c r="I660" s="86">
        <v>38</v>
      </c>
      <c r="J660" s="81">
        <v>27</v>
      </c>
      <c r="K660" s="86">
        <v>38</v>
      </c>
      <c r="L660" s="81">
        <v>214</v>
      </c>
      <c r="M660" s="86">
        <v>191</v>
      </c>
      <c r="N660" s="81">
        <v>83939</v>
      </c>
      <c r="O660" s="86">
        <v>84811</v>
      </c>
      <c r="P660" s="89">
        <f t="shared" si="31"/>
        <v>202.5</v>
      </c>
      <c r="Q660" s="89">
        <f t="shared" si="32"/>
        <v>84375</v>
      </c>
      <c r="R660" s="96" t="s">
        <v>94</v>
      </c>
      <c r="S660" s="96" t="s">
        <v>320</v>
      </c>
      <c r="T660" s="96" t="s">
        <v>94</v>
      </c>
      <c r="U660" s="96" t="s">
        <v>136</v>
      </c>
      <c r="V660" s="96" t="s">
        <v>94</v>
      </c>
      <c r="W660" s="96" t="s">
        <v>97</v>
      </c>
      <c r="X660" s="96" t="s">
        <v>147</v>
      </c>
      <c r="Y660" s="96" t="s">
        <v>110</v>
      </c>
      <c r="Z660" s="96" t="s">
        <v>110</v>
      </c>
      <c r="AA660" s="96" t="s">
        <v>758</v>
      </c>
      <c r="AB660" s="96" t="s">
        <v>110</v>
      </c>
      <c r="AC660" s="96" t="s">
        <v>759</v>
      </c>
      <c r="AD660" s="96" t="s">
        <v>760</v>
      </c>
      <c r="AE660" s="96">
        <v>6686618889</v>
      </c>
      <c r="AF660" s="96" t="s">
        <v>761</v>
      </c>
      <c r="AG660" s="96" t="s">
        <v>762</v>
      </c>
      <c r="AH660" s="96">
        <v>2631</v>
      </c>
      <c r="AI660" s="96" t="s">
        <v>763</v>
      </c>
      <c r="AJ660" s="96" t="s">
        <v>764</v>
      </c>
      <c r="AK660" s="27" t="s">
        <v>110</v>
      </c>
    </row>
    <row r="661" spans="1:37">
      <c r="A661" s="70">
        <v>656</v>
      </c>
      <c r="B661" s="70">
        <f t="shared" si="30"/>
        <v>0</v>
      </c>
      <c r="C661" s="71"/>
      <c r="D661" s="59" t="s">
        <v>1024</v>
      </c>
      <c r="E661" s="60">
        <v>12742</v>
      </c>
      <c r="F661" s="10" t="s">
        <v>469</v>
      </c>
      <c r="G661" s="60">
        <v>804</v>
      </c>
      <c r="H661" s="81">
        <v>20</v>
      </c>
      <c r="I661" s="86" t="s">
        <v>110</v>
      </c>
      <c r="J661" s="81">
        <v>20</v>
      </c>
      <c r="K661" s="86" t="s">
        <v>110</v>
      </c>
      <c r="L661" s="81">
        <v>213</v>
      </c>
      <c r="M661" s="86" t="s">
        <v>110</v>
      </c>
      <c r="N661" s="81">
        <v>84908</v>
      </c>
      <c r="O661" s="86" t="s">
        <v>110</v>
      </c>
      <c r="P661" s="89">
        <f t="shared" si="31"/>
        <v>213</v>
      </c>
      <c r="Q661" s="89">
        <f t="shared" si="32"/>
        <v>84908</v>
      </c>
      <c r="R661" s="96" t="s">
        <v>94</v>
      </c>
      <c r="S661" s="96" t="s">
        <v>124</v>
      </c>
      <c r="T661" s="96" t="s">
        <v>94</v>
      </c>
      <c r="U661" s="96" t="s">
        <v>136</v>
      </c>
      <c r="V661" s="96" t="s">
        <v>94</v>
      </c>
      <c r="W661" s="96" t="s">
        <v>97</v>
      </c>
      <c r="X661" s="96" t="s">
        <v>98</v>
      </c>
      <c r="Y661" s="96" t="s">
        <v>110</v>
      </c>
      <c r="Z661" s="96" t="s">
        <v>110</v>
      </c>
      <c r="AA661" s="96" t="s">
        <v>470</v>
      </c>
      <c r="AB661" s="96" t="s">
        <v>471</v>
      </c>
      <c r="AC661" s="96" t="s">
        <v>472</v>
      </c>
      <c r="AD661" s="96" t="s">
        <v>473</v>
      </c>
      <c r="AE661" s="96" t="s">
        <v>474</v>
      </c>
      <c r="AF661" s="96" t="s">
        <v>475</v>
      </c>
      <c r="AG661" s="96" t="s">
        <v>110</v>
      </c>
      <c r="AH661" s="96">
        <v>2027</v>
      </c>
      <c r="AI661" s="96" t="s">
        <v>476</v>
      </c>
      <c r="AJ661" s="96" t="s">
        <v>477</v>
      </c>
      <c r="AK661" s="27" t="s">
        <v>110</v>
      </c>
    </row>
    <row r="662" spans="1:37">
      <c r="A662" s="70">
        <v>657</v>
      </c>
      <c r="B662" s="70">
        <f t="shared" si="30"/>
        <v>0</v>
      </c>
      <c r="C662" s="71"/>
      <c r="D662" s="59" t="s">
        <v>1024</v>
      </c>
      <c r="E662" s="60">
        <v>14587</v>
      </c>
      <c r="F662" s="10" t="s">
        <v>757</v>
      </c>
      <c r="G662" s="60">
        <v>813</v>
      </c>
      <c r="H662" s="81">
        <v>31</v>
      </c>
      <c r="I662" s="86">
        <v>58</v>
      </c>
      <c r="J662" s="81">
        <v>31</v>
      </c>
      <c r="K662" s="86">
        <v>58</v>
      </c>
      <c r="L662" s="81">
        <v>215</v>
      </c>
      <c r="M662" s="86">
        <v>189</v>
      </c>
      <c r="N662" s="81">
        <v>83275</v>
      </c>
      <c r="O662" s="86">
        <v>87430</v>
      </c>
      <c r="P662" s="89">
        <f t="shared" si="31"/>
        <v>202</v>
      </c>
      <c r="Q662" s="89">
        <f t="shared" si="32"/>
        <v>85352.5</v>
      </c>
      <c r="R662" s="96" t="s">
        <v>94</v>
      </c>
      <c r="S662" s="96" t="s">
        <v>320</v>
      </c>
      <c r="T662" s="96" t="s">
        <v>94</v>
      </c>
      <c r="U662" s="96" t="s">
        <v>136</v>
      </c>
      <c r="V662" s="96" t="s">
        <v>94</v>
      </c>
      <c r="W662" s="96" t="s">
        <v>97</v>
      </c>
      <c r="X662" s="96" t="s">
        <v>147</v>
      </c>
      <c r="Y662" s="96" t="s">
        <v>110</v>
      </c>
      <c r="Z662" s="96" t="s">
        <v>110</v>
      </c>
      <c r="AA662" s="96" t="s">
        <v>758</v>
      </c>
      <c r="AB662" s="96" t="s">
        <v>110</v>
      </c>
      <c r="AC662" s="96" t="s">
        <v>759</v>
      </c>
      <c r="AD662" s="96" t="s">
        <v>760</v>
      </c>
      <c r="AE662" s="96">
        <v>6686618889</v>
      </c>
      <c r="AF662" s="96" t="s">
        <v>761</v>
      </c>
      <c r="AG662" s="96" t="s">
        <v>762</v>
      </c>
      <c r="AH662" s="96">
        <v>2631</v>
      </c>
      <c r="AI662" s="96" t="s">
        <v>763</v>
      </c>
      <c r="AJ662" s="96" t="s">
        <v>764</v>
      </c>
      <c r="AK662" s="27" t="s">
        <v>110</v>
      </c>
    </row>
    <row r="663" spans="1:37">
      <c r="A663" s="70">
        <v>658</v>
      </c>
      <c r="B663" s="70">
        <f t="shared" si="30"/>
        <v>0</v>
      </c>
      <c r="C663" s="71"/>
      <c r="D663" s="59" t="s">
        <v>1024</v>
      </c>
      <c r="E663" s="60">
        <v>50853</v>
      </c>
      <c r="F663" s="10" t="s">
        <v>740</v>
      </c>
      <c r="G663" s="60">
        <v>804</v>
      </c>
      <c r="H663" s="81">
        <v>24</v>
      </c>
      <c r="I663" s="86">
        <v>20</v>
      </c>
      <c r="J663" s="81">
        <v>24</v>
      </c>
      <c r="K663" s="86">
        <v>20</v>
      </c>
      <c r="L663" s="81">
        <v>213</v>
      </c>
      <c r="M663" s="86">
        <v>191</v>
      </c>
      <c r="N663" s="81">
        <v>85201</v>
      </c>
      <c r="O663" s="86">
        <v>85645</v>
      </c>
      <c r="P663" s="89">
        <f t="shared" si="31"/>
        <v>202</v>
      </c>
      <c r="Q663" s="89">
        <f t="shared" si="32"/>
        <v>85423</v>
      </c>
      <c r="R663" s="96" t="s">
        <v>94</v>
      </c>
      <c r="S663" s="96" t="s">
        <v>741</v>
      </c>
      <c r="T663" s="96" t="s">
        <v>94</v>
      </c>
      <c r="U663" s="96" t="s">
        <v>136</v>
      </c>
      <c r="V663" s="96" t="s">
        <v>94</v>
      </c>
      <c r="W663" s="96" t="s">
        <v>97</v>
      </c>
      <c r="X663" s="96" t="s">
        <v>147</v>
      </c>
      <c r="Y663" s="96" t="s">
        <v>110</v>
      </c>
      <c r="Z663" s="96" t="s">
        <v>110</v>
      </c>
      <c r="AA663" s="96" t="s">
        <v>742</v>
      </c>
      <c r="AB663" s="96" t="s">
        <v>110</v>
      </c>
      <c r="AC663" s="96" t="s">
        <v>743</v>
      </c>
      <c r="AD663" s="96" t="s">
        <v>744</v>
      </c>
      <c r="AE663" s="96" t="s">
        <v>745</v>
      </c>
      <c r="AF663" s="96" t="s">
        <v>746</v>
      </c>
      <c r="AG663" s="96" t="s">
        <v>110</v>
      </c>
      <c r="AH663" s="96">
        <v>2633</v>
      </c>
      <c r="AI663" s="96" t="s">
        <v>747</v>
      </c>
      <c r="AJ663" s="96" t="s">
        <v>748</v>
      </c>
      <c r="AK663" s="27" t="s">
        <v>110</v>
      </c>
    </row>
    <row r="664" spans="1:37">
      <c r="A664" s="70">
        <v>659</v>
      </c>
      <c r="B664" s="70">
        <f t="shared" si="30"/>
        <v>0</v>
      </c>
      <c r="C664" s="71"/>
      <c r="D664" s="59" t="s">
        <v>1024</v>
      </c>
      <c r="E664" s="60">
        <v>14587</v>
      </c>
      <c r="F664" s="10" t="s">
        <v>757</v>
      </c>
      <c r="G664" s="60">
        <v>815</v>
      </c>
      <c r="H664" s="81">
        <v>41</v>
      </c>
      <c r="I664" s="86">
        <v>43</v>
      </c>
      <c r="J664" s="81">
        <v>41</v>
      </c>
      <c r="K664" s="86">
        <v>43</v>
      </c>
      <c r="L664" s="81">
        <v>213</v>
      </c>
      <c r="M664" s="86">
        <v>189</v>
      </c>
      <c r="N664" s="81">
        <v>85450</v>
      </c>
      <c r="O664" s="86">
        <v>87845</v>
      </c>
      <c r="P664" s="89">
        <f t="shared" si="31"/>
        <v>201</v>
      </c>
      <c r="Q664" s="89">
        <f t="shared" si="32"/>
        <v>86647.5</v>
      </c>
      <c r="R664" s="96" t="s">
        <v>94</v>
      </c>
      <c r="S664" s="96" t="s">
        <v>320</v>
      </c>
      <c r="T664" s="96" t="s">
        <v>94</v>
      </c>
      <c r="U664" s="96" t="s">
        <v>136</v>
      </c>
      <c r="V664" s="96" t="s">
        <v>94</v>
      </c>
      <c r="W664" s="96" t="s">
        <v>97</v>
      </c>
      <c r="X664" s="96" t="s">
        <v>147</v>
      </c>
      <c r="Y664" s="96" t="s">
        <v>110</v>
      </c>
      <c r="Z664" s="96" t="s">
        <v>110</v>
      </c>
      <c r="AA664" s="96" t="s">
        <v>758</v>
      </c>
      <c r="AB664" s="96" t="s">
        <v>110</v>
      </c>
      <c r="AC664" s="96" t="s">
        <v>759</v>
      </c>
      <c r="AD664" s="96" t="s">
        <v>760</v>
      </c>
      <c r="AE664" s="96">
        <v>6686618889</v>
      </c>
      <c r="AF664" s="96" t="s">
        <v>761</v>
      </c>
      <c r="AG664" s="96" t="s">
        <v>762</v>
      </c>
      <c r="AH664" s="96">
        <v>2631</v>
      </c>
      <c r="AI664" s="96" t="s">
        <v>763</v>
      </c>
      <c r="AJ664" s="96" t="s">
        <v>764</v>
      </c>
      <c r="AK664" s="27" t="s">
        <v>110</v>
      </c>
    </row>
    <row r="665" spans="1:37">
      <c r="A665" s="70">
        <v>660</v>
      </c>
      <c r="B665" s="70">
        <f t="shared" si="30"/>
        <v>0</v>
      </c>
      <c r="C665" s="71"/>
      <c r="D665" s="59" t="s">
        <v>1024</v>
      </c>
      <c r="E665" s="60">
        <v>14136</v>
      </c>
      <c r="F665" s="10" t="s">
        <v>796</v>
      </c>
      <c r="G665" s="60">
        <v>801</v>
      </c>
      <c r="H665" s="81">
        <v>1600</v>
      </c>
      <c r="I665" s="86">
        <v>1800</v>
      </c>
      <c r="J665" s="81">
        <v>1600</v>
      </c>
      <c r="K665" s="86">
        <v>1800</v>
      </c>
      <c r="L665" s="81">
        <v>211</v>
      </c>
      <c r="M665" s="86">
        <v>190</v>
      </c>
      <c r="N665" s="81">
        <v>87111</v>
      </c>
      <c r="O665" s="86">
        <v>86324</v>
      </c>
      <c r="P665" s="89">
        <f t="shared" si="31"/>
        <v>200.5</v>
      </c>
      <c r="Q665" s="89">
        <f t="shared" si="32"/>
        <v>86717.5</v>
      </c>
      <c r="R665" s="96" t="s">
        <v>94</v>
      </c>
      <c r="S665" s="96" t="s">
        <v>124</v>
      </c>
      <c r="T665" s="96" t="s">
        <v>94</v>
      </c>
      <c r="U665" s="96" t="s">
        <v>136</v>
      </c>
      <c r="V665" s="96" t="s">
        <v>766</v>
      </c>
      <c r="W665" s="96" t="s">
        <v>767</v>
      </c>
      <c r="X665" s="96" t="s">
        <v>98</v>
      </c>
      <c r="Y665" s="96" t="s">
        <v>225</v>
      </c>
      <c r="Z665" s="96" t="s">
        <v>797</v>
      </c>
      <c r="AA665" s="96" t="s">
        <v>798</v>
      </c>
      <c r="AB665" s="96" t="s">
        <v>799</v>
      </c>
      <c r="AC665" s="96" t="s">
        <v>800</v>
      </c>
      <c r="AD665" s="96" t="s">
        <v>801</v>
      </c>
      <c r="AE665" s="96" t="s">
        <v>802</v>
      </c>
      <c r="AF665" s="96" t="s">
        <v>803</v>
      </c>
      <c r="AG665" s="96" t="s">
        <v>804</v>
      </c>
      <c r="AH665" s="96">
        <v>1781</v>
      </c>
      <c r="AI665" s="96" t="s">
        <v>805</v>
      </c>
      <c r="AJ665" s="96" t="s">
        <v>806</v>
      </c>
      <c r="AK665" s="27" t="s">
        <v>110</v>
      </c>
    </row>
    <row r="666" spans="1:37">
      <c r="A666" s="70">
        <v>661</v>
      </c>
      <c r="B666" s="70">
        <f t="shared" si="30"/>
        <v>0</v>
      </c>
      <c r="C666" s="71"/>
      <c r="D666" s="59" t="s">
        <v>1024</v>
      </c>
      <c r="E666" s="60">
        <v>14757</v>
      </c>
      <c r="F666" s="10" t="s">
        <v>749</v>
      </c>
      <c r="G666" s="60">
        <v>804</v>
      </c>
      <c r="H666" s="81">
        <v>120</v>
      </c>
      <c r="I666" s="86">
        <v>66</v>
      </c>
      <c r="J666" s="81">
        <v>120</v>
      </c>
      <c r="K666" s="86">
        <v>66</v>
      </c>
      <c r="L666" s="81">
        <v>206</v>
      </c>
      <c r="M666" s="86">
        <v>195</v>
      </c>
      <c r="N666" s="81">
        <v>91759</v>
      </c>
      <c r="O666" s="86">
        <v>81766</v>
      </c>
      <c r="P666" s="89">
        <f t="shared" si="31"/>
        <v>200.5</v>
      </c>
      <c r="Q666" s="89">
        <f t="shared" si="32"/>
        <v>86762.5</v>
      </c>
      <c r="R666" s="96" t="s">
        <v>94</v>
      </c>
      <c r="S666" s="96" t="s">
        <v>730</v>
      </c>
      <c r="T666" s="96" t="s">
        <v>94</v>
      </c>
      <c r="U666" s="96" t="s">
        <v>136</v>
      </c>
      <c r="V666" s="96" t="s">
        <v>94</v>
      </c>
      <c r="W666" s="96" t="s">
        <v>97</v>
      </c>
      <c r="X666" s="96" t="s">
        <v>147</v>
      </c>
      <c r="Y666" s="96" t="s">
        <v>110</v>
      </c>
      <c r="Z666" s="96" t="s">
        <v>110</v>
      </c>
      <c r="AA666" s="96" t="s">
        <v>750</v>
      </c>
      <c r="AB666" s="96" t="s">
        <v>110</v>
      </c>
      <c r="AC666" s="96" t="s">
        <v>751</v>
      </c>
      <c r="AD666" s="96" t="s">
        <v>752</v>
      </c>
      <c r="AE666" s="96" t="s">
        <v>753</v>
      </c>
      <c r="AF666" s="96" t="s">
        <v>754</v>
      </c>
      <c r="AG666" s="96" t="s">
        <v>110</v>
      </c>
      <c r="AH666" s="96">
        <v>2686</v>
      </c>
      <c r="AI666" s="96" t="s">
        <v>755</v>
      </c>
      <c r="AJ666" s="96" t="s">
        <v>756</v>
      </c>
      <c r="AK666" s="27" t="s">
        <v>110</v>
      </c>
    </row>
    <row r="667" spans="1:37">
      <c r="A667" s="70">
        <v>662</v>
      </c>
      <c r="B667" s="70">
        <f t="shared" si="30"/>
        <v>0</v>
      </c>
      <c r="C667" s="71"/>
      <c r="D667" s="59" t="s">
        <v>1024</v>
      </c>
      <c r="E667" s="60">
        <v>12954</v>
      </c>
      <c r="F667" s="10" t="s">
        <v>729</v>
      </c>
      <c r="G667" s="60">
        <v>803</v>
      </c>
      <c r="H667" s="81">
        <v>30</v>
      </c>
      <c r="I667" s="86" t="s">
        <v>110</v>
      </c>
      <c r="J667" s="81">
        <v>30</v>
      </c>
      <c r="K667" s="86" t="s">
        <v>110</v>
      </c>
      <c r="L667" s="81">
        <v>210</v>
      </c>
      <c r="M667" s="86" t="s">
        <v>110</v>
      </c>
      <c r="N667" s="81">
        <v>88185</v>
      </c>
      <c r="O667" s="86" t="s">
        <v>110</v>
      </c>
      <c r="P667" s="89">
        <f t="shared" si="31"/>
        <v>210</v>
      </c>
      <c r="Q667" s="89">
        <f t="shared" si="32"/>
        <v>88185</v>
      </c>
      <c r="R667" s="96" t="s">
        <v>94</v>
      </c>
      <c r="S667" s="96" t="s">
        <v>730</v>
      </c>
      <c r="T667" s="96" t="s">
        <v>94</v>
      </c>
      <c r="U667" s="96" t="s">
        <v>136</v>
      </c>
      <c r="V667" s="96" t="s">
        <v>94</v>
      </c>
      <c r="W667" s="96" t="s">
        <v>97</v>
      </c>
      <c r="X667" s="96" t="s">
        <v>147</v>
      </c>
      <c r="Y667" s="96" t="s">
        <v>110</v>
      </c>
      <c r="Z667" s="96" t="s">
        <v>148</v>
      </c>
      <c r="AA667" s="96" t="s">
        <v>731</v>
      </c>
      <c r="AB667" s="96" t="s">
        <v>732</v>
      </c>
      <c r="AC667" s="96" t="s">
        <v>733</v>
      </c>
      <c r="AD667" s="96" t="s">
        <v>734</v>
      </c>
      <c r="AE667" s="96" t="s">
        <v>735</v>
      </c>
      <c r="AF667" s="96" t="s">
        <v>736</v>
      </c>
      <c r="AG667" s="96" t="s">
        <v>737</v>
      </c>
      <c r="AH667" s="96">
        <v>1724</v>
      </c>
      <c r="AI667" s="96" t="s">
        <v>738</v>
      </c>
      <c r="AJ667" s="96" t="s">
        <v>739</v>
      </c>
      <c r="AK667" s="27" t="s">
        <v>110</v>
      </c>
    </row>
    <row r="668" spans="1:37">
      <c r="A668" s="70">
        <v>663</v>
      </c>
      <c r="B668" s="70">
        <f t="shared" si="30"/>
        <v>0</v>
      </c>
      <c r="C668" s="71"/>
      <c r="D668" s="59" t="s">
        <v>1024</v>
      </c>
      <c r="E668" s="60">
        <v>12962</v>
      </c>
      <c r="F668" s="10" t="s">
        <v>691</v>
      </c>
      <c r="G668" s="60">
        <v>810</v>
      </c>
      <c r="H668" s="81">
        <v>30</v>
      </c>
      <c r="I668" s="86">
        <v>40</v>
      </c>
      <c r="J668" s="81">
        <v>30</v>
      </c>
      <c r="K668" s="86">
        <v>40</v>
      </c>
      <c r="L668" s="81">
        <v>219</v>
      </c>
      <c r="M668" s="86">
        <v>180</v>
      </c>
      <c r="N668" s="81">
        <v>79757</v>
      </c>
      <c r="O668" s="86">
        <v>97518</v>
      </c>
      <c r="P668" s="89">
        <f t="shared" si="31"/>
        <v>199.5</v>
      </c>
      <c r="Q668" s="89">
        <f t="shared" si="32"/>
        <v>88637.5</v>
      </c>
      <c r="R668" s="96" t="s">
        <v>94</v>
      </c>
      <c r="S668" s="96" t="s">
        <v>124</v>
      </c>
      <c r="T668" s="96" t="s">
        <v>94</v>
      </c>
      <c r="U668" s="96" t="s">
        <v>136</v>
      </c>
      <c r="V668" s="96" t="s">
        <v>94</v>
      </c>
      <c r="W668" s="96" t="s">
        <v>97</v>
      </c>
      <c r="X668" s="96" t="s">
        <v>98</v>
      </c>
      <c r="Y668" s="96" t="s">
        <v>382</v>
      </c>
      <c r="Z668" s="96" t="s">
        <v>110</v>
      </c>
      <c r="AA668" s="96" t="s">
        <v>692</v>
      </c>
      <c r="AB668" s="96" t="s">
        <v>693</v>
      </c>
      <c r="AC668" s="96" t="s">
        <v>694</v>
      </c>
      <c r="AD668" s="96" t="s">
        <v>695</v>
      </c>
      <c r="AE668" s="96" t="s">
        <v>696</v>
      </c>
      <c r="AF668" s="96" t="s">
        <v>697</v>
      </c>
      <c r="AG668" s="96" t="s">
        <v>698</v>
      </c>
      <c r="AH668" s="96">
        <v>1491</v>
      </c>
      <c r="AI668" s="96" t="s">
        <v>699</v>
      </c>
      <c r="AJ668" s="96" t="s">
        <v>700</v>
      </c>
      <c r="AK668" s="27" t="s">
        <v>110</v>
      </c>
    </row>
    <row r="669" spans="1:37">
      <c r="A669" s="70">
        <v>664</v>
      </c>
      <c r="B669" s="70">
        <f t="shared" si="30"/>
        <v>0</v>
      </c>
      <c r="C669" s="71"/>
      <c r="D669" s="59" t="s">
        <v>1024</v>
      </c>
      <c r="E669" s="60">
        <v>14407</v>
      </c>
      <c r="F669" s="10" t="s">
        <v>701</v>
      </c>
      <c r="G669" s="60">
        <v>801</v>
      </c>
      <c r="H669" s="81">
        <v>375</v>
      </c>
      <c r="I669" s="86">
        <v>269</v>
      </c>
      <c r="J669" s="81">
        <v>375</v>
      </c>
      <c r="K669" s="86">
        <v>269</v>
      </c>
      <c r="L669" s="81">
        <v>201</v>
      </c>
      <c r="M669" s="86">
        <v>194</v>
      </c>
      <c r="N669" s="81">
        <v>96462</v>
      </c>
      <c r="O669" s="86">
        <v>82277</v>
      </c>
      <c r="P669" s="89">
        <f t="shared" si="31"/>
        <v>197.5</v>
      </c>
      <c r="Q669" s="89">
        <f t="shared" si="32"/>
        <v>89369.5</v>
      </c>
      <c r="R669" s="96" t="s">
        <v>94</v>
      </c>
      <c r="S669" s="96" t="s">
        <v>124</v>
      </c>
      <c r="T669" s="96" t="s">
        <v>94</v>
      </c>
      <c r="U669" s="96" t="s">
        <v>136</v>
      </c>
      <c r="V669" s="96" t="s">
        <v>94</v>
      </c>
      <c r="W669" s="96" t="s">
        <v>97</v>
      </c>
      <c r="X669" s="96" t="s">
        <v>98</v>
      </c>
      <c r="Y669" s="96" t="s">
        <v>110</v>
      </c>
      <c r="Z669" s="96" t="s">
        <v>148</v>
      </c>
      <c r="AA669" s="96" t="s">
        <v>702</v>
      </c>
      <c r="AB669" s="96" t="s">
        <v>110</v>
      </c>
      <c r="AC669" s="96" t="s">
        <v>703</v>
      </c>
      <c r="AD669" s="96" t="s">
        <v>704</v>
      </c>
      <c r="AE669" s="96" t="s">
        <v>705</v>
      </c>
      <c r="AF669" s="96" t="s">
        <v>706</v>
      </c>
      <c r="AG669" s="96" t="s">
        <v>110</v>
      </c>
      <c r="AH669" s="96">
        <v>2265</v>
      </c>
      <c r="AI669" s="96" t="s">
        <v>707</v>
      </c>
      <c r="AJ669" s="96" t="s">
        <v>708</v>
      </c>
      <c r="AK669" s="27" t="s">
        <v>110</v>
      </c>
    </row>
    <row r="670" spans="1:37">
      <c r="A670" s="70">
        <v>665</v>
      </c>
      <c r="B670" s="70">
        <f t="shared" si="30"/>
        <v>0</v>
      </c>
      <c r="C670" s="71"/>
      <c r="D670" s="59" t="s">
        <v>1024</v>
      </c>
      <c r="E670" s="60">
        <v>14587</v>
      </c>
      <c r="F670" s="10" t="s">
        <v>757</v>
      </c>
      <c r="G670" s="60">
        <v>811</v>
      </c>
      <c r="H670" s="81">
        <v>15</v>
      </c>
      <c r="I670" s="86">
        <v>18</v>
      </c>
      <c r="J670" s="81">
        <v>15</v>
      </c>
      <c r="K670" s="86">
        <v>18</v>
      </c>
      <c r="L670" s="81">
        <v>195</v>
      </c>
      <c r="M670" s="86">
        <v>197</v>
      </c>
      <c r="N670" s="81">
        <v>102105</v>
      </c>
      <c r="O670" s="86">
        <v>79616</v>
      </c>
      <c r="P670" s="89">
        <f t="shared" si="31"/>
        <v>196</v>
      </c>
      <c r="Q670" s="89">
        <f t="shared" si="32"/>
        <v>90860.5</v>
      </c>
      <c r="R670" s="96" t="s">
        <v>94</v>
      </c>
      <c r="S670" s="96" t="s">
        <v>320</v>
      </c>
      <c r="T670" s="96" t="s">
        <v>94</v>
      </c>
      <c r="U670" s="96" t="s">
        <v>136</v>
      </c>
      <c r="V670" s="96" t="s">
        <v>94</v>
      </c>
      <c r="W670" s="96" t="s">
        <v>97</v>
      </c>
      <c r="X670" s="96" t="s">
        <v>147</v>
      </c>
      <c r="Y670" s="96" t="s">
        <v>110</v>
      </c>
      <c r="Z670" s="96" t="s">
        <v>110</v>
      </c>
      <c r="AA670" s="96" t="s">
        <v>758</v>
      </c>
      <c r="AB670" s="96" t="s">
        <v>110</v>
      </c>
      <c r="AC670" s="96" t="s">
        <v>759</v>
      </c>
      <c r="AD670" s="96" t="s">
        <v>760</v>
      </c>
      <c r="AE670" s="96">
        <v>6686618889</v>
      </c>
      <c r="AF670" s="96" t="s">
        <v>761</v>
      </c>
      <c r="AG670" s="96" t="s">
        <v>762</v>
      </c>
      <c r="AH670" s="96">
        <v>2631</v>
      </c>
      <c r="AI670" s="96" t="s">
        <v>763</v>
      </c>
      <c r="AJ670" s="96" t="s">
        <v>764</v>
      </c>
      <c r="AK670" s="27" t="s">
        <v>110</v>
      </c>
    </row>
    <row r="671" spans="1:37">
      <c r="A671" s="70">
        <v>666</v>
      </c>
      <c r="B671" s="70">
        <f t="shared" si="30"/>
        <v>0</v>
      </c>
      <c r="C671" s="71"/>
      <c r="D671" s="59" t="s">
        <v>1024</v>
      </c>
      <c r="E671" s="60">
        <v>12772</v>
      </c>
      <c r="F671" s="10" t="s">
        <v>561</v>
      </c>
      <c r="G671" s="60">
        <v>809</v>
      </c>
      <c r="H671" s="81">
        <v>30</v>
      </c>
      <c r="I671" s="86" t="s">
        <v>110</v>
      </c>
      <c r="J671" s="81">
        <v>30</v>
      </c>
      <c r="K671" s="86" t="s">
        <v>110</v>
      </c>
      <c r="L671" s="81">
        <v>206</v>
      </c>
      <c r="M671" s="86" t="s">
        <v>110</v>
      </c>
      <c r="N671" s="81">
        <v>91410</v>
      </c>
      <c r="O671" s="86" t="s">
        <v>110</v>
      </c>
      <c r="P671" s="89">
        <f t="shared" si="31"/>
        <v>206</v>
      </c>
      <c r="Q671" s="89">
        <f t="shared" si="32"/>
        <v>91410</v>
      </c>
      <c r="R671" s="96" t="s">
        <v>94</v>
      </c>
      <c r="S671" s="96" t="s">
        <v>562</v>
      </c>
      <c r="T671" s="96" t="s">
        <v>94</v>
      </c>
      <c r="U671" s="96" t="s">
        <v>136</v>
      </c>
      <c r="V671" s="96" t="s">
        <v>94</v>
      </c>
      <c r="W671" s="96" t="s">
        <v>97</v>
      </c>
      <c r="X671" s="96" t="s">
        <v>500</v>
      </c>
      <c r="Y671" s="96" t="s">
        <v>225</v>
      </c>
      <c r="Z671" s="96" t="s">
        <v>226</v>
      </c>
      <c r="AA671" s="96" t="s">
        <v>563</v>
      </c>
      <c r="AB671" s="96" t="s">
        <v>564</v>
      </c>
      <c r="AC671" s="96" t="s">
        <v>565</v>
      </c>
      <c r="AD671" s="96" t="s">
        <v>566</v>
      </c>
      <c r="AE671" s="96" t="s">
        <v>567</v>
      </c>
      <c r="AF671" s="96" t="s">
        <v>568</v>
      </c>
      <c r="AG671" s="96" t="s">
        <v>569</v>
      </c>
      <c r="AH671" s="96">
        <v>1839</v>
      </c>
      <c r="AI671" s="96" t="s">
        <v>570</v>
      </c>
      <c r="AJ671" s="96" t="s">
        <v>571</v>
      </c>
      <c r="AK671" s="27" t="s">
        <v>110</v>
      </c>
    </row>
    <row r="672" spans="1:37">
      <c r="A672" s="70">
        <v>667</v>
      </c>
      <c r="B672" s="70">
        <f t="shared" si="30"/>
        <v>0</v>
      </c>
      <c r="C672" s="71"/>
      <c r="D672" s="59" t="s">
        <v>1024</v>
      </c>
      <c r="E672" s="60">
        <v>12325</v>
      </c>
      <c r="F672" s="10" t="s">
        <v>853</v>
      </c>
      <c r="G672" s="60">
        <v>801</v>
      </c>
      <c r="H672" s="81">
        <v>470</v>
      </c>
      <c r="I672" s="86">
        <v>285</v>
      </c>
      <c r="J672" s="81">
        <v>470</v>
      </c>
      <c r="K672" s="86">
        <v>285</v>
      </c>
      <c r="L672" s="81">
        <v>207</v>
      </c>
      <c r="M672" s="86">
        <v>183</v>
      </c>
      <c r="N672" s="81">
        <v>90556</v>
      </c>
      <c r="O672" s="86">
        <v>93664</v>
      </c>
      <c r="P672" s="89">
        <f t="shared" si="31"/>
        <v>195</v>
      </c>
      <c r="Q672" s="89">
        <f t="shared" si="32"/>
        <v>92110</v>
      </c>
      <c r="R672" s="96" t="s">
        <v>94</v>
      </c>
      <c r="S672" s="96" t="s">
        <v>95</v>
      </c>
      <c r="T672" s="96" t="s">
        <v>94</v>
      </c>
      <c r="U672" s="96" t="s">
        <v>136</v>
      </c>
      <c r="V672" s="96" t="s">
        <v>766</v>
      </c>
      <c r="W672" s="96" t="s">
        <v>767</v>
      </c>
      <c r="X672" s="96" t="s">
        <v>98</v>
      </c>
      <c r="Y672" s="96" t="s">
        <v>110</v>
      </c>
      <c r="Z672" s="96" t="s">
        <v>797</v>
      </c>
      <c r="AA672" s="96" t="s">
        <v>854</v>
      </c>
      <c r="AB672" s="96" t="s">
        <v>855</v>
      </c>
      <c r="AC672" s="96" t="s">
        <v>856</v>
      </c>
      <c r="AD672" s="96" t="s">
        <v>857</v>
      </c>
      <c r="AE672" s="96" t="s">
        <v>858</v>
      </c>
      <c r="AF672" s="96" t="s">
        <v>859</v>
      </c>
      <c r="AG672" s="96" t="s">
        <v>110</v>
      </c>
      <c r="AH672" s="96">
        <v>1327</v>
      </c>
      <c r="AI672" s="96" t="s">
        <v>860</v>
      </c>
      <c r="AJ672" s="96" t="s">
        <v>861</v>
      </c>
      <c r="AK672" s="27" t="s">
        <v>110</v>
      </c>
    </row>
    <row r="673" spans="1:37">
      <c r="A673" s="70">
        <v>668</v>
      </c>
      <c r="B673" s="70">
        <f t="shared" si="30"/>
        <v>0</v>
      </c>
      <c r="C673" s="71"/>
      <c r="D673" s="59" t="s">
        <v>1024</v>
      </c>
      <c r="E673" s="60">
        <v>11121</v>
      </c>
      <c r="F673" s="10" t="s">
        <v>776</v>
      </c>
      <c r="G673" s="60">
        <v>801</v>
      </c>
      <c r="H673" s="81">
        <v>645</v>
      </c>
      <c r="I673" s="86">
        <v>638</v>
      </c>
      <c r="J673" s="81">
        <v>645</v>
      </c>
      <c r="K673" s="86">
        <v>638</v>
      </c>
      <c r="L673" s="81">
        <v>205</v>
      </c>
      <c r="M673" s="86">
        <v>183</v>
      </c>
      <c r="N673" s="81">
        <v>92295</v>
      </c>
      <c r="O673" s="86">
        <v>93972</v>
      </c>
      <c r="P673" s="89">
        <f t="shared" si="31"/>
        <v>194</v>
      </c>
      <c r="Q673" s="89">
        <f t="shared" si="32"/>
        <v>93133.5</v>
      </c>
      <c r="R673" s="96" t="s">
        <v>94</v>
      </c>
      <c r="S673" s="96" t="s">
        <v>124</v>
      </c>
      <c r="T673" s="96" t="s">
        <v>94</v>
      </c>
      <c r="U673" s="96" t="s">
        <v>136</v>
      </c>
      <c r="V673" s="96" t="s">
        <v>766</v>
      </c>
      <c r="W673" s="96" t="s">
        <v>767</v>
      </c>
      <c r="X673" s="96" t="s">
        <v>98</v>
      </c>
      <c r="Y673" s="96" t="s">
        <v>110</v>
      </c>
      <c r="Z673" s="96" t="s">
        <v>110</v>
      </c>
      <c r="AA673" s="96" t="s">
        <v>777</v>
      </c>
      <c r="AB673" s="96" t="s">
        <v>778</v>
      </c>
      <c r="AC673" s="96" t="s">
        <v>779</v>
      </c>
      <c r="AD673" s="96" t="s">
        <v>780</v>
      </c>
      <c r="AE673" s="96" t="s">
        <v>781</v>
      </c>
      <c r="AF673" s="96" t="s">
        <v>782</v>
      </c>
      <c r="AG673" s="96" t="s">
        <v>783</v>
      </c>
      <c r="AH673" s="96">
        <v>2335</v>
      </c>
      <c r="AI673" s="96" t="s">
        <v>784</v>
      </c>
      <c r="AJ673" s="96" t="s">
        <v>785</v>
      </c>
      <c r="AK673" s="27" t="s">
        <v>110</v>
      </c>
    </row>
    <row r="674" spans="1:37">
      <c r="A674" s="70">
        <v>669</v>
      </c>
      <c r="B674" s="70">
        <f t="shared" si="30"/>
        <v>0</v>
      </c>
      <c r="C674" s="71"/>
      <c r="D674" s="59" t="s">
        <v>1024</v>
      </c>
      <c r="E674" s="60">
        <v>12046</v>
      </c>
      <c r="F674" s="10" t="s">
        <v>156</v>
      </c>
      <c r="G674" s="60">
        <v>812</v>
      </c>
      <c r="H674" s="81">
        <v>75</v>
      </c>
      <c r="I674" s="86">
        <v>5</v>
      </c>
      <c r="J674" s="81">
        <v>75</v>
      </c>
      <c r="K674" s="86">
        <v>5</v>
      </c>
      <c r="L674" s="81">
        <v>122</v>
      </c>
      <c r="M674" s="86">
        <v>349</v>
      </c>
      <c r="N674" s="81">
        <v>184509</v>
      </c>
      <c r="O674" s="86">
        <v>4529</v>
      </c>
      <c r="P674" s="89">
        <f t="shared" si="31"/>
        <v>235.5</v>
      </c>
      <c r="Q674" s="89">
        <f t="shared" si="32"/>
        <v>94519</v>
      </c>
      <c r="R674" s="96" t="s">
        <v>94</v>
      </c>
      <c r="S674" s="96" t="s">
        <v>124</v>
      </c>
      <c r="T674" s="96" t="s">
        <v>94</v>
      </c>
      <c r="U674" s="96" t="s">
        <v>96</v>
      </c>
      <c r="V674" s="96" t="s">
        <v>94</v>
      </c>
      <c r="W674" s="96" t="s">
        <v>97</v>
      </c>
      <c r="X674" s="96" t="s">
        <v>98</v>
      </c>
      <c r="Y674" s="96" t="s">
        <v>157</v>
      </c>
      <c r="Z674" s="96" t="s">
        <v>126</v>
      </c>
      <c r="AA674" s="96" t="s">
        <v>158</v>
      </c>
      <c r="AB674" s="96" t="s">
        <v>159</v>
      </c>
      <c r="AC674" s="96" t="s">
        <v>160</v>
      </c>
      <c r="AD674" s="96" t="s">
        <v>161</v>
      </c>
      <c r="AE674" s="96" t="s">
        <v>162</v>
      </c>
      <c r="AF674" s="96" t="s">
        <v>163</v>
      </c>
      <c r="AG674" s="96" t="s">
        <v>164</v>
      </c>
      <c r="AH674" s="96">
        <v>426</v>
      </c>
      <c r="AI674" s="96" t="s">
        <v>165</v>
      </c>
      <c r="AJ674" s="96" t="s">
        <v>166</v>
      </c>
      <c r="AK674" s="27" t="s">
        <v>110</v>
      </c>
    </row>
    <row r="675" spans="1:37">
      <c r="A675" s="70">
        <v>670</v>
      </c>
      <c r="B675" s="70">
        <f t="shared" si="30"/>
        <v>0</v>
      </c>
      <c r="C675" s="71"/>
      <c r="D675" s="59" t="s">
        <v>1024</v>
      </c>
      <c r="E675" s="60">
        <v>12572</v>
      </c>
      <c r="F675" s="10" t="s">
        <v>191</v>
      </c>
      <c r="G675" s="60">
        <v>813</v>
      </c>
      <c r="H675" s="81">
        <v>50</v>
      </c>
      <c r="I675" s="86" t="s">
        <v>110</v>
      </c>
      <c r="J675" s="81">
        <v>50</v>
      </c>
      <c r="K675" s="86" t="s">
        <v>110</v>
      </c>
      <c r="L675" s="81">
        <v>203</v>
      </c>
      <c r="M675" s="86" t="s">
        <v>110</v>
      </c>
      <c r="N675" s="81">
        <v>94638</v>
      </c>
      <c r="O675" s="86" t="s">
        <v>110</v>
      </c>
      <c r="P675" s="89">
        <f t="shared" si="31"/>
        <v>203</v>
      </c>
      <c r="Q675" s="89">
        <f t="shared" si="32"/>
        <v>94638</v>
      </c>
      <c r="R675" s="96" t="s">
        <v>94</v>
      </c>
      <c r="S675" s="96" t="s">
        <v>124</v>
      </c>
      <c r="T675" s="96" t="s">
        <v>94</v>
      </c>
      <c r="U675" s="96" t="s">
        <v>136</v>
      </c>
      <c r="V675" s="96" t="s">
        <v>94</v>
      </c>
      <c r="W675" s="96" t="s">
        <v>97</v>
      </c>
      <c r="X675" s="96" t="s">
        <v>98</v>
      </c>
      <c r="Y675" s="96" t="s">
        <v>192</v>
      </c>
      <c r="Z675" s="96" t="s">
        <v>193</v>
      </c>
      <c r="AA675" s="96" t="s">
        <v>194</v>
      </c>
      <c r="AB675" s="96" t="s">
        <v>195</v>
      </c>
      <c r="AC675" s="96" t="s">
        <v>196</v>
      </c>
      <c r="AD675" s="96" t="s">
        <v>197</v>
      </c>
      <c r="AE675" s="96" t="s">
        <v>198</v>
      </c>
      <c r="AF675" s="96" t="s">
        <v>199</v>
      </c>
      <c r="AG675" s="96" t="s">
        <v>200</v>
      </c>
      <c r="AH675" s="96">
        <v>1329</v>
      </c>
      <c r="AI675" s="96" t="s">
        <v>201</v>
      </c>
      <c r="AJ675" s="96" t="s">
        <v>202</v>
      </c>
      <c r="AK675" s="27" t="s">
        <v>110</v>
      </c>
    </row>
    <row r="676" spans="1:37">
      <c r="A676" s="70">
        <v>671</v>
      </c>
      <c r="B676" s="70">
        <f t="shared" si="30"/>
        <v>0</v>
      </c>
      <c r="C676" s="71"/>
      <c r="D676" s="59" t="s">
        <v>1024</v>
      </c>
      <c r="E676" s="60">
        <v>12325</v>
      </c>
      <c r="F676" s="10" t="s">
        <v>853</v>
      </c>
      <c r="G676" s="60">
        <v>802</v>
      </c>
      <c r="H676" s="81">
        <v>15</v>
      </c>
      <c r="I676" s="86">
        <v>15</v>
      </c>
      <c r="J676" s="81">
        <v>15</v>
      </c>
      <c r="K676" s="86">
        <v>15</v>
      </c>
      <c r="L676" s="81">
        <v>211</v>
      </c>
      <c r="M676" s="86">
        <v>175</v>
      </c>
      <c r="N676" s="81">
        <v>87143</v>
      </c>
      <c r="O676" s="86">
        <v>103401</v>
      </c>
      <c r="P676" s="89">
        <f t="shared" si="31"/>
        <v>193</v>
      </c>
      <c r="Q676" s="89">
        <f t="shared" si="32"/>
        <v>95272</v>
      </c>
      <c r="R676" s="96" t="s">
        <v>94</v>
      </c>
      <c r="S676" s="96" t="s">
        <v>95</v>
      </c>
      <c r="T676" s="96" t="s">
        <v>94</v>
      </c>
      <c r="U676" s="96" t="s">
        <v>136</v>
      </c>
      <c r="V676" s="96" t="s">
        <v>766</v>
      </c>
      <c r="W676" s="96" t="s">
        <v>767</v>
      </c>
      <c r="X676" s="96" t="s">
        <v>98</v>
      </c>
      <c r="Y676" s="96" t="s">
        <v>110</v>
      </c>
      <c r="Z676" s="96" t="s">
        <v>797</v>
      </c>
      <c r="AA676" s="96" t="s">
        <v>854</v>
      </c>
      <c r="AB676" s="96" t="s">
        <v>855</v>
      </c>
      <c r="AC676" s="96" t="s">
        <v>856</v>
      </c>
      <c r="AD676" s="96" t="s">
        <v>857</v>
      </c>
      <c r="AE676" s="96" t="s">
        <v>858</v>
      </c>
      <c r="AF676" s="96" t="s">
        <v>859</v>
      </c>
      <c r="AG676" s="96" t="s">
        <v>110</v>
      </c>
      <c r="AH676" s="96">
        <v>1327</v>
      </c>
      <c r="AI676" s="96" t="s">
        <v>860</v>
      </c>
      <c r="AJ676" s="96" t="s">
        <v>861</v>
      </c>
      <c r="AK676" s="27" t="s">
        <v>110</v>
      </c>
    </row>
    <row r="677" spans="1:37">
      <c r="A677" s="70">
        <v>672</v>
      </c>
      <c r="B677" s="70">
        <f t="shared" si="30"/>
        <v>0</v>
      </c>
      <c r="C677" s="71"/>
      <c r="D677" s="59" t="s">
        <v>1024</v>
      </c>
      <c r="E677" s="60">
        <v>50853</v>
      </c>
      <c r="F677" s="10" t="s">
        <v>740</v>
      </c>
      <c r="G677" s="60">
        <v>805</v>
      </c>
      <c r="H677" s="81">
        <v>14</v>
      </c>
      <c r="I677" s="86">
        <v>25</v>
      </c>
      <c r="J677" s="81">
        <v>14</v>
      </c>
      <c r="K677" s="86">
        <v>25</v>
      </c>
      <c r="L677" s="81">
        <v>200</v>
      </c>
      <c r="M677" s="86">
        <v>182</v>
      </c>
      <c r="N677" s="81">
        <v>97576</v>
      </c>
      <c r="O677" s="86">
        <v>94831</v>
      </c>
      <c r="P677" s="89">
        <f t="shared" si="31"/>
        <v>191</v>
      </c>
      <c r="Q677" s="89">
        <f t="shared" si="32"/>
        <v>96203.5</v>
      </c>
      <c r="R677" s="96" t="s">
        <v>94</v>
      </c>
      <c r="S677" s="96" t="s">
        <v>741</v>
      </c>
      <c r="T677" s="96" t="s">
        <v>94</v>
      </c>
      <c r="U677" s="96" t="s">
        <v>136</v>
      </c>
      <c r="V677" s="96" t="s">
        <v>94</v>
      </c>
      <c r="W677" s="96" t="s">
        <v>97</v>
      </c>
      <c r="X677" s="96" t="s">
        <v>147</v>
      </c>
      <c r="Y677" s="96" t="s">
        <v>110</v>
      </c>
      <c r="Z677" s="96" t="s">
        <v>110</v>
      </c>
      <c r="AA677" s="96" t="s">
        <v>742</v>
      </c>
      <c r="AB677" s="96" t="s">
        <v>110</v>
      </c>
      <c r="AC677" s="96" t="s">
        <v>743</v>
      </c>
      <c r="AD677" s="96" t="s">
        <v>744</v>
      </c>
      <c r="AE677" s="96" t="s">
        <v>745</v>
      </c>
      <c r="AF677" s="96" t="s">
        <v>746</v>
      </c>
      <c r="AG677" s="96" t="s">
        <v>110</v>
      </c>
      <c r="AH677" s="96">
        <v>2633</v>
      </c>
      <c r="AI677" s="96" t="s">
        <v>747</v>
      </c>
      <c r="AJ677" s="96" t="s">
        <v>748</v>
      </c>
      <c r="AK677" s="27" t="s">
        <v>110</v>
      </c>
    </row>
    <row r="678" spans="1:37">
      <c r="A678" s="70">
        <v>673</v>
      </c>
      <c r="B678" s="70">
        <f t="shared" si="30"/>
        <v>0</v>
      </c>
      <c r="C678" s="71"/>
      <c r="D678" s="59" t="s">
        <v>1024</v>
      </c>
      <c r="E678" s="60">
        <v>10965</v>
      </c>
      <c r="F678" s="10" t="s">
        <v>899</v>
      </c>
      <c r="G678" s="60">
        <v>801</v>
      </c>
      <c r="H678" s="81">
        <v>200</v>
      </c>
      <c r="I678" s="86">
        <v>400</v>
      </c>
      <c r="J678" s="81">
        <v>200</v>
      </c>
      <c r="K678" s="86">
        <v>400</v>
      </c>
      <c r="L678" s="81">
        <v>206</v>
      </c>
      <c r="M678" s="86">
        <v>177</v>
      </c>
      <c r="N678" s="81">
        <v>91273</v>
      </c>
      <c r="O678" s="86">
        <v>101208</v>
      </c>
      <c r="P678" s="89">
        <f t="shared" si="31"/>
        <v>191.5</v>
      </c>
      <c r="Q678" s="89">
        <f t="shared" si="32"/>
        <v>96240.5</v>
      </c>
      <c r="R678" s="96" t="s">
        <v>94</v>
      </c>
      <c r="S678" s="96" t="s">
        <v>710</v>
      </c>
      <c r="T678" s="96" t="s">
        <v>94</v>
      </c>
      <c r="U678" s="96" t="s">
        <v>136</v>
      </c>
      <c r="V678" s="96" t="s">
        <v>766</v>
      </c>
      <c r="W678" s="96" t="s">
        <v>767</v>
      </c>
      <c r="X678" s="96" t="s">
        <v>147</v>
      </c>
      <c r="Y678" s="96" t="s">
        <v>110</v>
      </c>
      <c r="Z678" s="96" t="s">
        <v>797</v>
      </c>
      <c r="AA678" s="96" t="s">
        <v>900</v>
      </c>
      <c r="AB678" s="96" t="s">
        <v>901</v>
      </c>
      <c r="AC678" s="96" t="s">
        <v>902</v>
      </c>
      <c r="AD678" s="96" t="s">
        <v>903</v>
      </c>
      <c r="AE678" s="96" t="s">
        <v>904</v>
      </c>
      <c r="AF678" s="96" t="s">
        <v>905</v>
      </c>
      <c r="AG678" s="96" t="s">
        <v>110</v>
      </c>
      <c r="AH678" s="96">
        <v>2489</v>
      </c>
      <c r="AI678" s="96" t="s">
        <v>906</v>
      </c>
      <c r="AJ678" s="96" t="s">
        <v>907</v>
      </c>
      <c r="AK678" s="27" t="s">
        <v>110</v>
      </c>
    </row>
    <row r="679" spans="1:37">
      <c r="A679" s="70">
        <v>674</v>
      </c>
      <c r="B679" s="70">
        <f t="shared" si="30"/>
        <v>0</v>
      </c>
      <c r="C679" s="71"/>
      <c r="D679" s="59" t="s">
        <v>1024</v>
      </c>
      <c r="E679" s="60">
        <v>14587</v>
      </c>
      <c r="F679" s="10" t="s">
        <v>757</v>
      </c>
      <c r="G679" s="60">
        <v>814</v>
      </c>
      <c r="H679" s="81">
        <v>25</v>
      </c>
      <c r="I679" s="86">
        <v>35</v>
      </c>
      <c r="J679" s="81">
        <v>25</v>
      </c>
      <c r="K679" s="86">
        <v>35</v>
      </c>
      <c r="L679" s="81">
        <v>205</v>
      </c>
      <c r="M679" s="86">
        <v>175</v>
      </c>
      <c r="N679" s="81">
        <v>92736</v>
      </c>
      <c r="O679" s="86">
        <v>102777</v>
      </c>
      <c r="P679" s="89">
        <f t="shared" si="31"/>
        <v>190</v>
      </c>
      <c r="Q679" s="89">
        <f t="shared" si="32"/>
        <v>97756.5</v>
      </c>
      <c r="R679" s="96" t="s">
        <v>94</v>
      </c>
      <c r="S679" s="96" t="s">
        <v>320</v>
      </c>
      <c r="T679" s="96" t="s">
        <v>94</v>
      </c>
      <c r="U679" s="96" t="s">
        <v>136</v>
      </c>
      <c r="V679" s="96" t="s">
        <v>94</v>
      </c>
      <c r="W679" s="96" t="s">
        <v>97</v>
      </c>
      <c r="X679" s="96" t="s">
        <v>147</v>
      </c>
      <c r="Y679" s="96" t="s">
        <v>110</v>
      </c>
      <c r="Z679" s="96" t="s">
        <v>110</v>
      </c>
      <c r="AA679" s="96" t="s">
        <v>758</v>
      </c>
      <c r="AB679" s="96" t="s">
        <v>110</v>
      </c>
      <c r="AC679" s="96" t="s">
        <v>759</v>
      </c>
      <c r="AD679" s="96" t="s">
        <v>760</v>
      </c>
      <c r="AE679" s="96">
        <v>6686618889</v>
      </c>
      <c r="AF679" s="96" t="s">
        <v>761</v>
      </c>
      <c r="AG679" s="96" t="s">
        <v>762</v>
      </c>
      <c r="AH679" s="96">
        <v>2631</v>
      </c>
      <c r="AI679" s="96" t="s">
        <v>763</v>
      </c>
      <c r="AJ679" s="96" t="s">
        <v>764</v>
      </c>
      <c r="AK679" s="27" t="s">
        <v>110</v>
      </c>
    </row>
    <row r="680" spans="1:37">
      <c r="A680" s="70">
        <v>675</v>
      </c>
      <c r="B680" s="70">
        <f t="shared" si="30"/>
        <v>0</v>
      </c>
      <c r="C680" s="71"/>
      <c r="D680" s="59" t="s">
        <v>1024</v>
      </c>
      <c r="E680" s="60">
        <v>12575</v>
      </c>
      <c r="F680" s="10" t="s">
        <v>786</v>
      </c>
      <c r="G680" s="60">
        <v>801</v>
      </c>
      <c r="H680" s="81">
        <v>350</v>
      </c>
      <c r="I680" s="86">
        <v>480</v>
      </c>
      <c r="J680" s="81">
        <v>350</v>
      </c>
      <c r="K680" s="86">
        <v>480</v>
      </c>
      <c r="L680" s="81">
        <v>204</v>
      </c>
      <c r="M680" s="86">
        <v>176</v>
      </c>
      <c r="N680" s="81">
        <v>93987</v>
      </c>
      <c r="O680" s="86">
        <v>102000</v>
      </c>
      <c r="P680" s="89">
        <f t="shared" si="31"/>
        <v>190</v>
      </c>
      <c r="Q680" s="89">
        <f t="shared" si="32"/>
        <v>97993.5</v>
      </c>
      <c r="R680" s="96" t="s">
        <v>94</v>
      </c>
      <c r="S680" s="96" t="s">
        <v>124</v>
      </c>
      <c r="T680" s="96" t="s">
        <v>94</v>
      </c>
      <c r="U680" s="96" t="s">
        <v>136</v>
      </c>
      <c r="V680" s="96" t="s">
        <v>766</v>
      </c>
      <c r="W680" s="96" t="s">
        <v>767</v>
      </c>
      <c r="X680" s="96" t="s">
        <v>98</v>
      </c>
      <c r="Y680" s="96" t="s">
        <v>110</v>
      </c>
      <c r="Z680" s="96" t="s">
        <v>110</v>
      </c>
      <c r="AA680" s="96" t="s">
        <v>787</v>
      </c>
      <c r="AB680" s="96" t="s">
        <v>788</v>
      </c>
      <c r="AC680" s="96" t="s">
        <v>789</v>
      </c>
      <c r="AD680" s="96" t="s">
        <v>790</v>
      </c>
      <c r="AE680" s="96" t="s">
        <v>791</v>
      </c>
      <c r="AF680" s="96" t="s">
        <v>792</v>
      </c>
      <c r="AG680" s="96" t="s">
        <v>793</v>
      </c>
      <c r="AH680" s="96">
        <v>2071</v>
      </c>
      <c r="AI680" s="96" t="s">
        <v>794</v>
      </c>
      <c r="AJ680" s="96" t="s">
        <v>795</v>
      </c>
      <c r="AK680" s="27" t="s">
        <v>110</v>
      </c>
    </row>
    <row r="681" spans="1:37">
      <c r="A681" s="70">
        <v>676</v>
      </c>
      <c r="B681" s="70">
        <f t="shared" si="30"/>
        <v>0</v>
      </c>
      <c r="C681" s="71"/>
      <c r="D681" s="59" t="s">
        <v>1024</v>
      </c>
      <c r="E681" s="60">
        <v>13718</v>
      </c>
      <c r="F681" s="10" t="s">
        <v>871</v>
      </c>
      <c r="G681" s="60">
        <v>801</v>
      </c>
      <c r="H681" s="81">
        <v>1159</v>
      </c>
      <c r="I681" s="86">
        <v>688</v>
      </c>
      <c r="J681" s="81">
        <v>1159</v>
      </c>
      <c r="K681" s="86">
        <v>688</v>
      </c>
      <c r="L681" s="81">
        <v>195</v>
      </c>
      <c r="M681" s="86">
        <v>183</v>
      </c>
      <c r="N681" s="81">
        <v>102541</v>
      </c>
      <c r="O681" s="86">
        <v>94469</v>
      </c>
      <c r="P681" s="89">
        <f t="shared" si="31"/>
        <v>189</v>
      </c>
      <c r="Q681" s="89">
        <f t="shared" si="32"/>
        <v>98505</v>
      </c>
      <c r="R681" s="96" t="s">
        <v>94</v>
      </c>
      <c r="S681" s="96" t="s">
        <v>329</v>
      </c>
      <c r="T681" s="96" t="s">
        <v>94</v>
      </c>
      <c r="U681" s="96" t="s">
        <v>136</v>
      </c>
      <c r="V681" s="96" t="s">
        <v>766</v>
      </c>
      <c r="W681" s="96" t="s">
        <v>767</v>
      </c>
      <c r="X681" s="96" t="s">
        <v>290</v>
      </c>
      <c r="Y681" s="96" t="s">
        <v>110</v>
      </c>
      <c r="Z681" s="96" t="s">
        <v>797</v>
      </c>
      <c r="AA681" s="96" t="s">
        <v>872</v>
      </c>
      <c r="AB681" s="96" t="s">
        <v>873</v>
      </c>
      <c r="AC681" s="96" t="s">
        <v>874</v>
      </c>
      <c r="AD681" s="96" t="s">
        <v>875</v>
      </c>
      <c r="AE681" s="96" t="s">
        <v>876</v>
      </c>
      <c r="AF681" s="96" t="s">
        <v>877</v>
      </c>
      <c r="AG681" s="96" t="s">
        <v>878</v>
      </c>
      <c r="AH681" s="96">
        <v>2425</v>
      </c>
      <c r="AI681" s="96" t="s">
        <v>879</v>
      </c>
      <c r="AJ681" s="96" t="s">
        <v>880</v>
      </c>
      <c r="AK681" s="27" t="s">
        <v>110</v>
      </c>
    </row>
    <row r="682" spans="1:37">
      <c r="A682" s="70">
        <v>677</v>
      </c>
      <c r="B682" s="70">
        <f t="shared" si="30"/>
        <v>0</v>
      </c>
      <c r="C682" s="71"/>
      <c r="D682" s="59" t="s">
        <v>1024</v>
      </c>
      <c r="E682" s="60">
        <v>14407</v>
      </c>
      <c r="F682" s="10" t="s">
        <v>701</v>
      </c>
      <c r="G682" s="60">
        <v>805</v>
      </c>
      <c r="H682" s="81">
        <v>20</v>
      </c>
      <c r="I682" s="86" t="s">
        <v>110</v>
      </c>
      <c r="J682" s="81">
        <v>20</v>
      </c>
      <c r="K682" s="86" t="s">
        <v>110</v>
      </c>
      <c r="L682" s="81">
        <v>195</v>
      </c>
      <c r="M682" s="86" t="s">
        <v>110</v>
      </c>
      <c r="N682" s="81">
        <v>102790</v>
      </c>
      <c r="O682" s="86" t="s">
        <v>110</v>
      </c>
      <c r="P682" s="89">
        <f t="shared" si="31"/>
        <v>195</v>
      </c>
      <c r="Q682" s="89">
        <f t="shared" si="32"/>
        <v>102790</v>
      </c>
      <c r="R682" s="96" t="s">
        <v>94</v>
      </c>
      <c r="S682" s="96" t="s">
        <v>124</v>
      </c>
      <c r="T682" s="96" t="s">
        <v>94</v>
      </c>
      <c r="U682" s="96" t="s">
        <v>136</v>
      </c>
      <c r="V682" s="96" t="s">
        <v>94</v>
      </c>
      <c r="W682" s="96" t="s">
        <v>97</v>
      </c>
      <c r="X682" s="96" t="s">
        <v>98</v>
      </c>
      <c r="Y682" s="96" t="s">
        <v>110</v>
      </c>
      <c r="Z682" s="96" t="s">
        <v>148</v>
      </c>
      <c r="AA682" s="96" t="s">
        <v>702</v>
      </c>
      <c r="AB682" s="96" t="s">
        <v>110</v>
      </c>
      <c r="AC682" s="96" t="s">
        <v>703</v>
      </c>
      <c r="AD682" s="96" t="s">
        <v>704</v>
      </c>
      <c r="AE682" s="96" t="s">
        <v>705</v>
      </c>
      <c r="AF682" s="96" t="s">
        <v>706</v>
      </c>
      <c r="AG682" s="96" t="s">
        <v>110</v>
      </c>
      <c r="AH682" s="96">
        <v>2265</v>
      </c>
      <c r="AI682" s="96" t="s">
        <v>707</v>
      </c>
      <c r="AJ682" s="96" t="s">
        <v>708</v>
      </c>
      <c r="AK682" s="27" t="s">
        <v>110</v>
      </c>
    </row>
    <row r="683" spans="1:37">
      <c r="A683" s="70">
        <v>678</v>
      </c>
      <c r="B683" s="70">
        <f t="shared" si="30"/>
        <v>0</v>
      </c>
      <c r="C683" s="71"/>
      <c r="D683" s="59" t="s">
        <v>1024</v>
      </c>
      <c r="E683" s="60">
        <v>12749</v>
      </c>
      <c r="F683" s="10" t="s">
        <v>862</v>
      </c>
      <c r="G683" s="60">
        <v>801</v>
      </c>
      <c r="H683" s="81">
        <v>2705</v>
      </c>
      <c r="I683" s="86">
        <v>3150</v>
      </c>
      <c r="J683" s="81">
        <v>2705</v>
      </c>
      <c r="K683" s="86">
        <v>3150</v>
      </c>
      <c r="L683" s="81">
        <v>191</v>
      </c>
      <c r="M683" s="86">
        <v>175</v>
      </c>
      <c r="N683" s="81">
        <v>106377</v>
      </c>
      <c r="O683" s="86">
        <v>102715</v>
      </c>
      <c r="P683" s="89">
        <f t="shared" si="31"/>
        <v>183</v>
      </c>
      <c r="Q683" s="89">
        <f t="shared" si="32"/>
        <v>104546</v>
      </c>
      <c r="R683" s="96" t="s">
        <v>94</v>
      </c>
      <c r="S683" s="96" t="s">
        <v>124</v>
      </c>
      <c r="T683" s="96" t="s">
        <v>94</v>
      </c>
      <c r="U683" s="96" t="s">
        <v>136</v>
      </c>
      <c r="V683" s="96" t="s">
        <v>766</v>
      </c>
      <c r="W683" s="96" t="s">
        <v>767</v>
      </c>
      <c r="X683" s="96" t="s">
        <v>98</v>
      </c>
      <c r="Y683" s="96" t="s">
        <v>110</v>
      </c>
      <c r="Z683" s="96" t="s">
        <v>797</v>
      </c>
      <c r="AA683" s="96" t="s">
        <v>863</v>
      </c>
      <c r="AB683" s="96" t="s">
        <v>864</v>
      </c>
      <c r="AC683" s="96" t="s">
        <v>865</v>
      </c>
      <c r="AD683" s="96" t="s">
        <v>866</v>
      </c>
      <c r="AE683" s="96" t="s">
        <v>867</v>
      </c>
      <c r="AF683" s="96" t="s">
        <v>868</v>
      </c>
      <c r="AG683" s="96" t="s">
        <v>110</v>
      </c>
      <c r="AH683" s="96">
        <v>1622</v>
      </c>
      <c r="AI683" s="96" t="s">
        <v>869</v>
      </c>
      <c r="AJ683" s="96" t="s">
        <v>870</v>
      </c>
      <c r="AK683" s="27" t="s">
        <v>110</v>
      </c>
    </row>
    <row r="684" spans="1:37">
      <c r="A684" s="70">
        <v>679</v>
      </c>
      <c r="B684" s="70">
        <f t="shared" si="30"/>
        <v>0</v>
      </c>
      <c r="C684" s="71"/>
      <c r="D684" s="59" t="s">
        <v>1024</v>
      </c>
      <c r="E684" s="60">
        <v>14756</v>
      </c>
      <c r="F684" s="10" t="s">
        <v>519</v>
      </c>
      <c r="G684" s="60">
        <v>802</v>
      </c>
      <c r="H684" s="81">
        <v>70</v>
      </c>
      <c r="I684" s="86">
        <v>100</v>
      </c>
      <c r="J684" s="81">
        <v>70</v>
      </c>
      <c r="K684" s="86">
        <v>100</v>
      </c>
      <c r="L684" s="81">
        <v>139</v>
      </c>
      <c r="M684" s="86">
        <v>246</v>
      </c>
      <c r="N684" s="81">
        <v>168408</v>
      </c>
      <c r="O684" s="86">
        <v>41002</v>
      </c>
      <c r="P684" s="89">
        <f t="shared" si="31"/>
        <v>192.5</v>
      </c>
      <c r="Q684" s="89">
        <f t="shared" si="32"/>
        <v>104705</v>
      </c>
      <c r="R684" s="96" t="s">
        <v>94</v>
      </c>
      <c r="S684" s="96" t="s">
        <v>124</v>
      </c>
      <c r="T684" s="96" t="s">
        <v>94</v>
      </c>
      <c r="U684" s="96" t="s">
        <v>136</v>
      </c>
      <c r="V684" s="96" t="s">
        <v>94</v>
      </c>
      <c r="W684" s="96" t="s">
        <v>97</v>
      </c>
      <c r="X684" s="96" t="s">
        <v>98</v>
      </c>
      <c r="Y684" s="96" t="s">
        <v>110</v>
      </c>
      <c r="Z684" s="96" t="s">
        <v>110</v>
      </c>
      <c r="AA684" s="96" t="s">
        <v>520</v>
      </c>
      <c r="AB684" s="96" t="s">
        <v>110</v>
      </c>
      <c r="AC684" s="96" t="s">
        <v>110</v>
      </c>
      <c r="AD684" s="96" t="s">
        <v>110</v>
      </c>
      <c r="AE684" s="96" t="s">
        <v>521</v>
      </c>
      <c r="AF684" s="96" t="s">
        <v>522</v>
      </c>
      <c r="AG684" s="96" t="s">
        <v>110</v>
      </c>
      <c r="AH684" s="96">
        <v>2685</v>
      </c>
      <c r="AI684" s="96" t="s">
        <v>523</v>
      </c>
      <c r="AJ684" s="96" t="s">
        <v>524</v>
      </c>
      <c r="AK684" s="27" t="s">
        <v>110</v>
      </c>
    </row>
    <row r="685" spans="1:37">
      <c r="A685" s="70">
        <v>680</v>
      </c>
      <c r="B685" s="70">
        <f t="shared" si="30"/>
        <v>0</v>
      </c>
      <c r="C685" s="71"/>
      <c r="D685" s="59" t="s">
        <v>1024</v>
      </c>
      <c r="E685" s="60">
        <v>13717</v>
      </c>
      <c r="F685" s="10" t="s">
        <v>765</v>
      </c>
      <c r="G685" s="60">
        <v>812</v>
      </c>
      <c r="H685" s="81">
        <v>30</v>
      </c>
      <c r="I685" s="86">
        <v>15</v>
      </c>
      <c r="J685" s="81">
        <v>30</v>
      </c>
      <c r="K685" s="86">
        <v>15</v>
      </c>
      <c r="L685" s="81">
        <v>188</v>
      </c>
      <c r="M685" s="86">
        <v>175</v>
      </c>
      <c r="N685" s="81">
        <v>109105</v>
      </c>
      <c r="O685" s="86">
        <v>103572</v>
      </c>
      <c r="P685" s="89">
        <f t="shared" si="31"/>
        <v>181.5</v>
      </c>
      <c r="Q685" s="89">
        <f t="shared" si="32"/>
        <v>106338.5</v>
      </c>
      <c r="R685" s="96" t="s">
        <v>94</v>
      </c>
      <c r="S685" s="96" t="s">
        <v>124</v>
      </c>
      <c r="T685" s="96" t="s">
        <v>94</v>
      </c>
      <c r="U685" s="96" t="s">
        <v>96</v>
      </c>
      <c r="V685" s="96" t="s">
        <v>766</v>
      </c>
      <c r="W685" s="96" t="s">
        <v>767</v>
      </c>
      <c r="X685" s="96" t="s">
        <v>98</v>
      </c>
      <c r="Y685" s="96" t="s">
        <v>110</v>
      </c>
      <c r="Z685" s="96" t="s">
        <v>110</v>
      </c>
      <c r="AA685" s="96" t="s">
        <v>768</v>
      </c>
      <c r="AB685" s="96" t="s">
        <v>110</v>
      </c>
      <c r="AC685" s="96" t="s">
        <v>769</v>
      </c>
      <c r="AD685" s="96" t="s">
        <v>770</v>
      </c>
      <c r="AE685" s="96" t="s">
        <v>771</v>
      </c>
      <c r="AF685" s="96" t="s">
        <v>772</v>
      </c>
      <c r="AG685" s="96" t="s">
        <v>773</v>
      </c>
      <c r="AH685" s="96">
        <v>1270</v>
      </c>
      <c r="AI685" s="96" t="s">
        <v>774</v>
      </c>
      <c r="AJ685" s="96" t="s">
        <v>775</v>
      </c>
      <c r="AK685" s="27" t="s">
        <v>110</v>
      </c>
    </row>
    <row r="686" spans="1:37">
      <c r="A686" s="70">
        <v>681</v>
      </c>
      <c r="B686" s="70">
        <f t="shared" si="30"/>
        <v>0</v>
      </c>
      <c r="C686" s="71"/>
      <c r="D686" s="59" t="s">
        <v>1024</v>
      </c>
      <c r="E686" s="60">
        <v>14587</v>
      </c>
      <c r="F686" s="10" t="s">
        <v>757</v>
      </c>
      <c r="G686" s="60">
        <v>812</v>
      </c>
      <c r="H686" s="81">
        <v>15</v>
      </c>
      <c r="I686" s="86">
        <v>52</v>
      </c>
      <c r="J686" s="81">
        <v>15</v>
      </c>
      <c r="K686" s="86">
        <v>52</v>
      </c>
      <c r="L686" s="81">
        <v>177</v>
      </c>
      <c r="M686" s="86">
        <v>180</v>
      </c>
      <c r="N686" s="81">
        <v>121774</v>
      </c>
      <c r="O686" s="86">
        <v>96819</v>
      </c>
      <c r="P686" s="89">
        <f t="shared" si="31"/>
        <v>178.5</v>
      </c>
      <c r="Q686" s="89">
        <f t="shared" si="32"/>
        <v>109296.5</v>
      </c>
      <c r="R686" s="96" t="s">
        <v>94</v>
      </c>
      <c r="S686" s="96" t="s">
        <v>320</v>
      </c>
      <c r="T686" s="96" t="s">
        <v>94</v>
      </c>
      <c r="U686" s="96" t="s">
        <v>136</v>
      </c>
      <c r="V686" s="96" t="s">
        <v>94</v>
      </c>
      <c r="W686" s="96" t="s">
        <v>97</v>
      </c>
      <c r="X686" s="96" t="s">
        <v>147</v>
      </c>
      <c r="Y686" s="96" t="s">
        <v>110</v>
      </c>
      <c r="Z686" s="96" t="s">
        <v>110</v>
      </c>
      <c r="AA686" s="96" t="s">
        <v>758</v>
      </c>
      <c r="AB686" s="96" t="s">
        <v>110</v>
      </c>
      <c r="AC686" s="96" t="s">
        <v>759</v>
      </c>
      <c r="AD686" s="96" t="s">
        <v>760</v>
      </c>
      <c r="AE686" s="96">
        <v>6686618889</v>
      </c>
      <c r="AF686" s="96" t="s">
        <v>761</v>
      </c>
      <c r="AG686" s="96" t="s">
        <v>762</v>
      </c>
      <c r="AH686" s="96">
        <v>2631</v>
      </c>
      <c r="AI686" s="96" t="s">
        <v>763</v>
      </c>
      <c r="AJ686" s="96" t="s">
        <v>764</v>
      </c>
      <c r="AK686" s="27" t="s">
        <v>110</v>
      </c>
    </row>
    <row r="687" spans="1:37">
      <c r="A687" s="70">
        <v>682</v>
      </c>
      <c r="B687" s="70">
        <f t="shared" si="30"/>
        <v>0</v>
      </c>
      <c r="C687" s="71"/>
      <c r="D687" s="59" t="s">
        <v>1024</v>
      </c>
      <c r="E687" s="60">
        <v>11121</v>
      </c>
      <c r="F687" s="10" t="s">
        <v>776</v>
      </c>
      <c r="G687" s="60">
        <v>802</v>
      </c>
      <c r="H687" s="81">
        <v>64</v>
      </c>
      <c r="I687" s="86">
        <v>54</v>
      </c>
      <c r="J687" s="81">
        <v>64</v>
      </c>
      <c r="K687" s="86">
        <v>54</v>
      </c>
      <c r="L687" s="81">
        <v>196</v>
      </c>
      <c r="M687" s="86">
        <v>163</v>
      </c>
      <c r="N687" s="81">
        <v>101396</v>
      </c>
      <c r="O687" s="86">
        <v>118527</v>
      </c>
      <c r="P687" s="89">
        <f t="shared" si="31"/>
        <v>179.5</v>
      </c>
      <c r="Q687" s="89">
        <f t="shared" si="32"/>
        <v>109961.5</v>
      </c>
      <c r="R687" s="96" t="s">
        <v>94</v>
      </c>
      <c r="S687" s="96" t="s">
        <v>124</v>
      </c>
      <c r="T687" s="96" t="s">
        <v>94</v>
      </c>
      <c r="U687" s="96" t="s">
        <v>136</v>
      </c>
      <c r="V687" s="96" t="s">
        <v>766</v>
      </c>
      <c r="W687" s="96" t="s">
        <v>767</v>
      </c>
      <c r="X687" s="96" t="s">
        <v>98</v>
      </c>
      <c r="Y687" s="96" t="s">
        <v>110</v>
      </c>
      <c r="Z687" s="96" t="s">
        <v>110</v>
      </c>
      <c r="AA687" s="96" t="s">
        <v>777</v>
      </c>
      <c r="AB687" s="96" t="s">
        <v>778</v>
      </c>
      <c r="AC687" s="96" t="s">
        <v>779</v>
      </c>
      <c r="AD687" s="96" t="s">
        <v>780</v>
      </c>
      <c r="AE687" s="96" t="s">
        <v>781</v>
      </c>
      <c r="AF687" s="96" t="s">
        <v>782</v>
      </c>
      <c r="AG687" s="96" t="s">
        <v>783</v>
      </c>
      <c r="AH687" s="96">
        <v>2335</v>
      </c>
      <c r="AI687" s="96" t="s">
        <v>784</v>
      </c>
      <c r="AJ687" s="96" t="s">
        <v>785</v>
      </c>
      <c r="AK687" s="27" t="s">
        <v>110</v>
      </c>
    </row>
    <row r="688" spans="1:37">
      <c r="A688" s="70">
        <v>683</v>
      </c>
      <c r="B688" s="70">
        <f t="shared" si="30"/>
        <v>0</v>
      </c>
      <c r="C688" s="71"/>
      <c r="D688" s="59" t="s">
        <v>1024</v>
      </c>
      <c r="E688" s="60">
        <v>14427</v>
      </c>
      <c r="F688" s="10" t="s">
        <v>924</v>
      </c>
      <c r="G688" s="60">
        <v>801</v>
      </c>
      <c r="H688" s="81">
        <v>1262</v>
      </c>
      <c r="I688" s="86">
        <v>460</v>
      </c>
      <c r="J688" s="81">
        <v>1262</v>
      </c>
      <c r="K688" s="86">
        <v>460</v>
      </c>
      <c r="L688" s="81">
        <v>179</v>
      </c>
      <c r="M688" s="86">
        <v>168</v>
      </c>
      <c r="N688" s="81">
        <v>118707</v>
      </c>
      <c r="O688" s="86">
        <v>111631</v>
      </c>
      <c r="P688" s="89">
        <f t="shared" si="31"/>
        <v>173.5</v>
      </c>
      <c r="Q688" s="89">
        <f t="shared" si="32"/>
        <v>115169</v>
      </c>
      <c r="R688" s="96" t="s">
        <v>94</v>
      </c>
      <c r="S688" s="96" t="s">
        <v>145</v>
      </c>
      <c r="T688" s="96" t="s">
        <v>94</v>
      </c>
      <c r="U688" s="96" t="s">
        <v>136</v>
      </c>
      <c r="V688" s="96" t="s">
        <v>766</v>
      </c>
      <c r="W688" s="96" t="s">
        <v>767</v>
      </c>
      <c r="X688" s="96" t="s">
        <v>147</v>
      </c>
      <c r="Y688" s="96" t="s">
        <v>110</v>
      </c>
      <c r="Z688" s="96" t="s">
        <v>110</v>
      </c>
      <c r="AA688" s="96" t="s">
        <v>925</v>
      </c>
      <c r="AB688" s="96" t="s">
        <v>110</v>
      </c>
      <c r="AC688" s="96" t="s">
        <v>926</v>
      </c>
      <c r="AD688" s="96" t="s">
        <v>927</v>
      </c>
      <c r="AE688" s="96" t="s">
        <v>928</v>
      </c>
      <c r="AF688" s="96" t="s">
        <v>929</v>
      </c>
      <c r="AG688" s="96" t="s">
        <v>110</v>
      </c>
      <c r="AH688" s="96">
        <v>2567</v>
      </c>
      <c r="AI688" s="96" t="s">
        <v>930</v>
      </c>
      <c r="AJ688" s="96" t="s">
        <v>931</v>
      </c>
      <c r="AK688" s="27" t="s">
        <v>110</v>
      </c>
    </row>
    <row r="689" spans="1:37">
      <c r="A689" s="70">
        <v>684</v>
      </c>
      <c r="B689" s="70">
        <f t="shared" si="30"/>
        <v>0</v>
      </c>
      <c r="C689" s="71"/>
      <c r="D689" s="59" t="s">
        <v>1024</v>
      </c>
      <c r="E689" s="60">
        <v>13721</v>
      </c>
      <c r="F689" s="10" t="s">
        <v>826</v>
      </c>
      <c r="G689" s="60">
        <v>801</v>
      </c>
      <c r="H689" s="81">
        <v>30</v>
      </c>
      <c r="I689" s="86">
        <v>568</v>
      </c>
      <c r="J689" s="81">
        <v>30</v>
      </c>
      <c r="K689" s="86">
        <v>568</v>
      </c>
      <c r="L689" s="81">
        <v>206</v>
      </c>
      <c r="M689" s="86">
        <v>146</v>
      </c>
      <c r="N689" s="81">
        <v>91427</v>
      </c>
      <c r="O689" s="86">
        <v>142033</v>
      </c>
      <c r="P689" s="89">
        <f t="shared" si="31"/>
        <v>176</v>
      </c>
      <c r="Q689" s="89">
        <f t="shared" si="32"/>
        <v>116730</v>
      </c>
      <c r="R689" s="96" t="s">
        <v>94</v>
      </c>
      <c r="S689" s="96" t="s">
        <v>145</v>
      </c>
      <c r="T689" s="96" t="s">
        <v>94</v>
      </c>
      <c r="U689" s="96" t="s">
        <v>96</v>
      </c>
      <c r="V689" s="96" t="s">
        <v>766</v>
      </c>
      <c r="W689" s="96" t="s">
        <v>767</v>
      </c>
      <c r="X689" s="96" t="s">
        <v>147</v>
      </c>
      <c r="Y689" s="96" t="s">
        <v>110</v>
      </c>
      <c r="Z689" s="96" t="s">
        <v>110</v>
      </c>
      <c r="AA689" s="96" t="s">
        <v>827</v>
      </c>
      <c r="AB689" s="96" t="s">
        <v>110</v>
      </c>
      <c r="AC689" s="96" t="s">
        <v>828</v>
      </c>
      <c r="AD689" s="96" t="s">
        <v>829</v>
      </c>
      <c r="AE689" s="96" t="s">
        <v>830</v>
      </c>
      <c r="AF689" s="96" t="s">
        <v>831</v>
      </c>
      <c r="AG689" s="96" t="s">
        <v>110</v>
      </c>
      <c r="AH689" s="96">
        <v>1289</v>
      </c>
      <c r="AI689" s="96" t="s">
        <v>832</v>
      </c>
      <c r="AJ689" s="96" t="s">
        <v>833</v>
      </c>
      <c r="AK689" s="27" t="s">
        <v>110</v>
      </c>
    </row>
    <row r="690" spans="1:37">
      <c r="A690" s="70">
        <v>685</v>
      </c>
      <c r="B690" s="70">
        <f t="shared" si="30"/>
        <v>0</v>
      </c>
      <c r="C690" s="71"/>
      <c r="D690" s="59" t="s">
        <v>1024</v>
      </c>
      <c r="E690" s="60">
        <v>14125</v>
      </c>
      <c r="F690" s="10" t="s">
        <v>843</v>
      </c>
      <c r="G690" s="60">
        <v>801</v>
      </c>
      <c r="H690" s="81">
        <v>2300</v>
      </c>
      <c r="I690" s="86">
        <v>3182</v>
      </c>
      <c r="J690" s="81">
        <v>2300</v>
      </c>
      <c r="K690" s="86">
        <v>3182</v>
      </c>
      <c r="L690" s="81">
        <v>188</v>
      </c>
      <c r="M690" s="86">
        <v>159</v>
      </c>
      <c r="N690" s="81">
        <v>109737</v>
      </c>
      <c r="O690" s="86">
        <v>123837</v>
      </c>
      <c r="P690" s="89">
        <f t="shared" si="31"/>
        <v>173.5</v>
      </c>
      <c r="Q690" s="89">
        <f t="shared" si="32"/>
        <v>116787</v>
      </c>
      <c r="R690" s="96" t="s">
        <v>94</v>
      </c>
      <c r="S690" s="96" t="s">
        <v>124</v>
      </c>
      <c r="T690" s="96" t="s">
        <v>94</v>
      </c>
      <c r="U690" s="96" t="s">
        <v>136</v>
      </c>
      <c r="V690" s="96" t="s">
        <v>766</v>
      </c>
      <c r="W690" s="96" t="s">
        <v>767</v>
      </c>
      <c r="X690" s="96" t="s">
        <v>98</v>
      </c>
      <c r="Y690" s="96" t="s">
        <v>110</v>
      </c>
      <c r="Z690" s="96" t="s">
        <v>110</v>
      </c>
      <c r="AA690" s="96" t="s">
        <v>844</v>
      </c>
      <c r="AB690" s="96" t="s">
        <v>845</v>
      </c>
      <c r="AC690" s="96" t="s">
        <v>846</v>
      </c>
      <c r="AD690" s="96" t="s">
        <v>847</v>
      </c>
      <c r="AE690" s="96" t="s">
        <v>848</v>
      </c>
      <c r="AF690" s="96" t="s">
        <v>849</v>
      </c>
      <c r="AG690" s="96" t="s">
        <v>850</v>
      </c>
      <c r="AH690" s="96">
        <v>2428</v>
      </c>
      <c r="AI690" s="96" t="s">
        <v>851</v>
      </c>
      <c r="AJ690" s="96" t="s">
        <v>852</v>
      </c>
      <c r="AK690" s="27" t="s">
        <v>110</v>
      </c>
    </row>
    <row r="691" spans="1:37">
      <c r="A691" s="70">
        <v>686</v>
      </c>
      <c r="B691" s="70">
        <f t="shared" si="30"/>
        <v>0</v>
      </c>
      <c r="C691" s="71"/>
      <c r="D691" s="59" t="s">
        <v>1024</v>
      </c>
      <c r="E691" s="60">
        <v>12736</v>
      </c>
      <c r="F691" s="10" t="s">
        <v>572</v>
      </c>
      <c r="G691" s="60">
        <v>804</v>
      </c>
      <c r="H691" s="81">
        <v>15</v>
      </c>
      <c r="I691" s="86">
        <v>20</v>
      </c>
      <c r="J691" s="81">
        <v>15</v>
      </c>
      <c r="K691" s="86">
        <v>20</v>
      </c>
      <c r="L691" s="81">
        <v>214</v>
      </c>
      <c r="M691" s="86">
        <v>140</v>
      </c>
      <c r="N691" s="81">
        <v>84212</v>
      </c>
      <c r="O691" s="86">
        <v>150232</v>
      </c>
      <c r="P691" s="89">
        <f t="shared" si="31"/>
        <v>177</v>
      </c>
      <c r="Q691" s="89">
        <f t="shared" si="32"/>
        <v>117222</v>
      </c>
      <c r="R691" s="96" t="s">
        <v>94</v>
      </c>
      <c r="S691" s="96" t="s">
        <v>168</v>
      </c>
      <c r="T691" s="96" t="s">
        <v>94</v>
      </c>
      <c r="U691" s="96" t="s">
        <v>136</v>
      </c>
      <c r="V691" s="96" t="s">
        <v>94</v>
      </c>
      <c r="W691" s="96" t="s">
        <v>97</v>
      </c>
      <c r="X691" s="96" t="s">
        <v>169</v>
      </c>
      <c r="Y691" s="96" t="s">
        <v>573</v>
      </c>
      <c r="Z691" s="96" t="s">
        <v>110</v>
      </c>
      <c r="AA691" s="96" t="s">
        <v>574</v>
      </c>
      <c r="AB691" s="96" t="s">
        <v>110</v>
      </c>
      <c r="AC691" s="96" t="s">
        <v>575</v>
      </c>
      <c r="AD691" s="96" t="s">
        <v>576</v>
      </c>
      <c r="AE691" s="96" t="s">
        <v>577</v>
      </c>
      <c r="AF691" s="96" t="s">
        <v>578</v>
      </c>
      <c r="AG691" s="96" t="s">
        <v>110</v>
      </c>
      <c r="AH691" s="96">
        <v>1654</v>
      </c>
      <c r="AI691" s="96" t="s">
        <v>579</v>
      </c>
      <c r="AJ691" s="96" t="s">
        <v>580</v>
      </c>
      <c r="AK691" s="27" t="s">
        <v>110</v>
      </c>
    </row>
    <row r="692" spans="1:37">
      <c r="A692" s="70">
        <v>687</v>
      </c>
      <c r="B692" s="70">
        <f t="shared" si="30"/>
        <v>0</v>
      </c>
      <c r="C692" s="71"/>
      <c r="D692" s="59" t="s">
        <v>1024</v>
      </c>
      <c r="E692" s="60">
        <v>12575</v>
      </c>
      <c r="F692" s="10" t="s">
        <v>786</v>
      </c>
      <c r="G692" s="60">
        <v>802</v>
      </c>
      <c r="H692" s="81">
        <v>245</v>
      </c>
      <c r="I692" s="86">
        <v>175</v>
      </c>
      <c r="J692" s="81">
        <v>245</v>
      </c>
      <c r="K692" s="86">
        <v>175</v>
      </c>
      <c r="L692" s="81">
        <v>187</v>
      </c>
      <c r="M692" s="86">
        <v>158</v>
      </c>
      <c r="N692" s="81">
        <v>110448</v>
      </c>
      <c r="O692" s="86">
        <v>125027</v>
      </c>
      <c r="P692" s="89">
        <f t="shared" si="31"/>
        <v>172.5</v>
      </c>
      <c r="Q692" s="89">
        <f t="shared" si="32"/>
        <v>117737.5</v>
      </c>
      <c r="R692" s="96" t="s">
        <v>94</v>
      </c>
      <c r="S692" s="96" t="s">
        <v>124</v>
      </c>
      <c r="T692" s="96" t="s">
        <v>94</v>
      </c>
      <c r="U692" s="96" t="s">
        <v>136</v>
      </c>
      <c r="V692" s="96" t="s">
        <v>766</v>
      </c>
      <c r="W692" s="96" t="s">
        <v>767</v>
      </c>
      <c r="X692" s="96" t="s">
        <v>98</v>
      </c>
      <c r="Y692" s="96" t="s">
        <v>110</v>
      </c>
      <c r="Z692" s="96" t="s">
        <v>110</v>
      </c>
      <c r="AA692" s="96" t="s">
        <v>787</v>
      </c>
      <c r="AB692" s="96" t="s">
        <v>788</v>
      </c>
      <c r="AC692" s="96" t="s">
        <v>789</v>
      </c>
      <c r="AD692" s="96" t="s">
        <v>790</v>
      </c>
      <c r="AE692" s="96" t="s">
        <v>791</v>
      </c>
      <c r="AF692" s="96" t="s">
        <v>792</v>
      </c>
      <c r="AG692" s="96" t="s">
        <v>793</v>
      </c>
      <c r="AH692" s="96">
        <v>2071</v>
      </c>
      <c r="AI692" s="96" t="s">
        <v>794</v>
      </c>
      <c r="AJ692" s="96" t="s">
        <v>795</v>
      </c>
      <c r="AK692" s="27" t="s">
        <v>110</v>
      </c>
    </row>
    <row r="693" spans="1:37">
      <c r="A693" s="70">
        <v>688</v>
      </c>
      <c r="B693" s="70">
        <f t="shared" si="30"/>
        <v>0</v>
      </c>
      <c r="C693" s="71"/>
      <c r="D693" s="59" t="s">
        <v>1024</v>
      </c>
      <c r="E693" s="60">
        <v>14363</v>
      </c>
      <c r="F693" s="10" t="s">
        <v>942</v>
      </c>
      <c r="G693" s="60">
        <v>802</v>
      </c>
      <c r="H693" s="81">
        <v>760</v>
      </c>
      <c r="I693" s="86">
        <v>20</v>
      </c>
      <c r="J693" s="81">
        <v>760</v>
      </c>
      <c r="K693" s="86">
        <v>20</v>
      </c>
      <c r="L693" s="81">
        <v>166</v>
      </c>
      <c r="M693" s="86">
        <v>172</v>
      </c>
      <c r="N693" s="81">
        <v>135345</v>
      </c>
      <c r="O693" s="86">
        <v>106457</v>
      </c>
      <c r="P693" s="89">
        <f t="shared" si="31"/>
        <v>169</v>
      </c>
      <c r="Q693" s="89">
        <f t="shared" si="32"/>
        <v>120901</v>
      </c>
      <c r="R693" s="96" t="s">
        <v>94</v>
      </c>
      <c r="S693" s="96" t="s">
        <v>255</v>
      </c>
      <c r="T693" s="96" t="s">
        <v>94</v>
      </c>
      <c r="U693" s="96" t="s">
        <v>136</v>
      </c>
      <c r="V693" s="96" t="s">
        <v>766</v>
      </c>
      <c r="W693" s="96" t="s">
        <v>767</v>
      </c>
      <c r="X693" s="96" t="s">
        <v>169</v>
      </c>
      <c r="Y693" s="96" t="s">
        <v>110</v>
      </c>
      <c r="Z693" s="96" t="s">
        <v>943</v>
      </c>
      <c r="AA693" s="96" t="s">
        <v>944</v>
      </c>
      <c r="AB693" s="96" t="s">
        <v>110</v>
      </c>
      <c r="AC693" s="96" t="s">
        <v>945</v>
      </c>
      <c r="AD693" s="96" t="s">
        <v>946</v>
      </c>
      <c r="AE693" s="96" t="s">
        <v>947</v>
      </c>
      <c r="AF693" s="96" t="s">
        <v>948</v>
      </c>
      <c r="AG693" s="96" t="s">
        <v>110</v>
      </c>
      <c r="AH693" s="96">
        <v>2089</v>
      </c>
      <c r="AI693" s="96" t="s">
        <v>949</v>
      </c>
      <c r="AJ693" s="96" t="s">
        <v>950</v>
      </c>
      <c r="AK693" s="27" t="s">
        <v>110</v>
      </c>
    </row>
    <row r="694" spans="1:37">
      <c r="A694" s="70">
        <v>689</v>
      </c>
      <c r="B694" s="70" t="str">
        <f t="shared" si="30"/>
        <v>/</v>
      </c>
      <c r="C694" s="71" t="s">
        <v>110</v>
      </c>
      <c r="D694" s="59" t="s">
        <v>1024</v>
      </c>
      <c r="E694" s="60">
        <v>50853</v>
      </c>
      <c r="F694" s="10" t="s">
        <v>740</v>
      </c>
      <c r="G694" s="60">
        <v>812</v>
      </c>
      <c r="H694" s="81">
        <v>9</v>
      </c>
      <c r="I694" s="86" t="s">
        <v>110</v>
      </c>
      <c r="J694" s="81">
        <v>9</v>
      </c>
      <c r="K694" s="86" t="s">
        <v>110</v>
      </c>
      <c r="L694" s="81">
        <v>177</v>
      </c>
      <c r="M694" s="86" t="s">
        <v>110</v>
      </c>
      <c r="N694" s="81">
        <v>122009</v>
      </c>
      <c r="O694" s="86" t="s">
        <v>110</v>
      </c>
      <c r="P694" s="89">
        <f t="shared" si="31"/>
        <v>177</v>
      </c>
      <c r="Q694" s="89">
        <f t="shared" si="32"/>
        <v>122009</v>
      </c>
      <c r="R694" s="96" t="s">
        <v>94</v>
      </c>
      <c r="S694" s="96" t="s">
        <v>741</v>
      </c>
      <c r="T694" s="96" t="s">
        <v>94</v>
      </c>
      <c r="U694" s="96" t="s">
        <v>136</v>
      </c>
      <c r="V694" s="96" t="s">
        <v>94</v>
      </c>
      <c r="W694" s="96" t="s">
        <v>97</v>
      </c>
      <c r="X694" s="96" t="s">
        <v>147</v>
      </c>
      <c r="Y694" s="96" t="s">
        <v>110</v>
      </c>
      <c r="Z694" s="96" t="s">
        <v>110</v>
      </c>
      <c r="AA694" s="96" t="s">
        <v>742</v>
      </c>
      <c r="AB694" s="96" t="s">
        <v>110</v>
      </c>
      <c r="AC694" s="96" t="s">
        <v>743</v>
      </c>
      <c r="AD694" s="96" t="s">
        <v>744</v>
      </c>
      <c r="AE694" s="96" t="s">
        <v>745</v>
      </c>
      <c r="AF694" s="96" t="s">
        <v>746</v>
      </c>
      <c r="AG694" s="96" t="s">
        <v>110</v>
      </c>
      <c r="AH694" s="96">
        <v>2633</v>
      </c>
      <c r="AI694" s="96" t="s">
        <v>747</v>
      </c>
      <c r="AJ694" s="96" t="s">
        <v>748</v>
      </c>
      <c r="AK694" s="27" t="s">
        <v>110</v>
      </c>
    </row>
    <row r="695" spans="1:37">
      <c r="A695" s="70">
        <v>690</v>
      </c>
      <c r="B695" s="70">
        <f t="shared" si="30"/>
        <v>0</v>
      </c>
      <c r="C695" s="71"/>
      <c r="D695" s="59" t="s">
        <v>1024</v>
      </c>
      <c r="E695" s="60">
        <v>14123</v>
      </c>
      <c r="F695" s="10" t="s">
        <v>881</v>
      </c>
      <c r="G695" s="60">
        <v>801</v>
      </c>
      <c r="H695" s="81">
        <v>700</v>
      </c>
      <c r="I695" s="86">
        <v>676</v>
      </c>
      <c r="J695" s="81">
        <v>700</v>
      </c>
      <c r="K695" s="86">
        <v>676</v>
      </c>
      <c r="L695" s="81">
        <v>174</v>
      </c>
      <c r="M695" s="86">
        <v>160</v>
      </c>
      <c r="N695" s="81">
        <v>124492</v>
      </c>
      <c r="O695" s="86">
        <v>122368</v>
      </c>
      <c r="P695" s="89">
        <f t="shared" si="31"/>
        <v>167</v>
      </c>
      <c r="Q695" s="89">
        <f t="shared" si="32"/>
        <v>123430</v>
      </c>
      <c r="R695" s="96" t="s">
        <v>94</v>
      </c>
      <c r="S695" s="96" t="s">
        <v>124</v>
      </c>
      <c r="T695" s="96" t="s">
        <v>94</v>
      </c>
      <c r="U695" s="96" t="s">
        <v>136</v>
      </c>
      <c r="V695" s="96" t="s">
        <v>766</v>
      </c>
      <c r="W695" s="96" t="s">
        <v>767</v>
      </c>
      <c r="X695" s="96" t="s">
        <v>98</v>
      </c>
      <c r="Y695" s="96" t="s">
        <v>110</v>
      </c>
      <c r="Z695" s="96" t="s">
        <v>797</v>
      </c>
      <c r="AA695" s="96" t="s">
        <v>882</v>
      </c>
      <c r="AB695" s="96" t="s">
        <v>883</v>
      </c>
      <c r="AC695" s="96" t="s">
        <v>884</v>
      </c>
      <c r="AD695" s="96" t="s">
        <v>885</v>
      </c>
      <c r="AE695" s="96" t="s">
        <v>886</v>
      </c>
      <c r="AF695" s="96" t="s">
        <v>887</v>
      </c>
      <c r="AG695" s="96" t="s">
        <v>110</v>
      </c>
      <c r="AH695" s="96">
        <v>2540</v>
      </c>
      <c r="AI695" s="96" t="s">
        <v>888</v>
      </c>
      <c r="AJ695" s="96" t="s">
        <v>889</v>
      </c>
      <c r="AK695" s="27" t="s">
        <v>110</v>
      </c>
    </row>
    <row r="696" spans="1:37">
      <c r="A696" s="70">
        <v>691</v>
      </c>
      <c r="B696" s="70">
        <f t="shared" si="30"/>
        <v>0</v>
      </c>
      <c r="C696" s="71"/>
      <c r="D696" s="59" t="s">
        <v>1024</v>
      </c>
      <c r="E696" s="60">
        <v>12961</v>
      </c>
      <c r="F696" s="10" t="s">
        <v>932</v>
      </c>
      <c r="G696" s="60">
        <v>801</v>
      </c>
      <c r="H696" s="81">
        <v>543</v>
      </c>
      <c r="I696" s="86">
        <v>1360</v>
      </c>
      <c r="J696" s="81">
        <v>543</v>
      </c>
      <c r="K696" s="86">
        <v>1360</v>
      </c>
      <c r="L696" s="81">
        <v>176</v>
      </c>
      <c r="M696" s="86">
        <v>158</v>
      </c>
      <c r="N696" s="81">
        <v>123065</v>
      </c>
      <c r="O696" s="86">
        <v>124582</v>
      </c>
      <c r="P696" s="89">
        <f t="shared" si="31"/>
        <v>167</v>
      </c>
      <c r="Q696" s="89">
        <f t="shared" si="32"/>
        <v>123823.5</v>
      </c>
      <c r="R696" s="96" t="s">
        <v>94</v>
      </c>
      <c r="S696" s="96" t="s">
        <v>145</v>
      </c>
      <c r="T696" s="96" t="s">
        <v>94</v>
      </c>
      <c r="U696" s="96" t="s">
        <v>136</v>
      </c>
      <c r="V696" s="96" t="s">
        <v>766</v>
      </c>
      <c r="W696" s="96" t="s">
        <v>767</v>
      </c>
      <c r="X696" s="96" t="s">
        <v>147</v>
      </c>
      <c r="Y696" s="96" t="s">
        <v>110</v>
      </c>
      <c r="Z696" s="96" t="s">
        <v>110</v>
      </c>
      <c r="AA696" s="96" t="s">
        <v>933</v>
      </c>
      <c r="AB696" s="96" t="s">
        <v>934</v>
      </c>
      <c r="AC696" s="96" t="s">
        <v>935</v>
      </c>
      <c r="AD696" s="96" t="s">
        <v>936</v>
      </c>
      <c r="AE696" s="96" t="s">
        <v>937</v>
      </c>
      <c r="AF696" s="96" t="s">
        <v>938</v>
      </c>
      <c r="AG696" s="96" t="s">
        <v>939</v>
      </c>
      <c r="AH696" s="96">
        <v>2478</v>
      </c>
      <c r="AI696" s="96" t="s">
        <v>940</v>
      </c>
      <c r="AJ696" s="96" t="s">
        <v>941</v>
      </c>
      <c r="AK696" s="27" t="s">
        <v>110</v>
      </c>
    </row>
    <row r="697" spans="1:37">
      <c r="A697" s="70">
        <v>692</v>
      </c>
      <c r="B697" s="70">
        <f t="shared" si="30"/>
        <v>0</v>
      </c>
      <c r="C697" s="71"/>
      <c r="D697" s="59" t="s">
        <v>1024</v>
      </c>
      <c r="E697" s="60">
        <v>14363</v>
      </c>
      <c r="F697" s="10" t="s">
        <v>942</v>
      </c>
      <c r="G697" s="60">
        <v>801</v>
      </c>
      <c r="H697" s="81">
        <v>1034</v>
      </c>
      <c r="I697" s="86">
        <v>1345</v>
      </c>
      <c r="J697" s="81">
        <v>1034</v>
      </c>
      <c r="K697" s="86">
        <v>1345</v>
      </c>
      <c r="L697" s="81">
        <v>169</v>
      </c>
      <c r="M697" s="86">
        <v>162</v>
      </c>
      <c r="N697" s="81">
        <v>130929</v>
      </c>
      <c r="O697" s="86">
        <v>119188</v>
      </c>
      <c r="P697" s="89">
        <f t="shared" si="31"/>
        <v>165.5</v>
      </c>
      <c r="Q697" s="89">
        <f t="shared" si="32"/>
        <v>125058.5</v>
      </c>
      <c r="R697" s="96" t="s">
        <v>94</v>
      </c>
      <c r="S697" s="96" t="s">
        <v>255</v>
      </c>
      <c r="T697" s="96" t="s">
        <v>94</v>
      </c>
      <c r="U697" s="96" t="s">
        <v>136</v>
      </c>
      <c r="V697" s="96" t="s">
        <v>766</v>
      </c>
      <c r="W697" s="96" t="s">
        <v>767</v>
      </c>
      <c r="X697" s="96" t="s">
        <v>169</v>
      </c>
      <c r="Y697" s="96" t="s">
        <v>110</v>
      </c>
      <c r="Z697" s="96" t="s">
        <v>943</v>
      </c>
      <c r="AA697" s="96" t="s">
        <v>944</v>
      </c>
      <c r="AB697" s="96" t="s">
        <v>110</v>
      </c>
      <c r="AC697" s="96" t="s">
        <v>945</v>
      </c>
      <c r="AD697" s="96" t="s">
        <v>946</v>
      </c>
      <c r="AE697" s="96" t="s">
        <v>947</v>
      </c>
      <c r="AF697" s="96" t="s">
        <v>948</v>
      </c>
      <c r="AG697" s="96" t="s">
        <v>110</v>
      </c>
      <c r="AH697" s="96">
        <v>2089</v>
      </c>
      <c r="AI697" s="96" t="s">
        <v>949</v>
      </c>
      <c r="AJ697" s="96" t="s">
        <v>950</v>
      </c>
      <c r="AK697" s="27" t="s">
        <v>110</v>
      </c>
    </row>
    <row r="698" spans="1:37">
      <c r="A698" s="70">
        <v>693</v>
      </c>
      <c r="B698" s="70">
        <f t="shared" si="30"/>
        <v>0</v>
      </c>
      <c r="C698" s="71"/>
      <c r="D698" s="59" t="s">
        <v>1024</v>
      </c>
      <c r="E698" s="60">
        <v>14757</v>
      </c>
      <c r="F698" s="10" t="s">
        <v>749</v>
      </c>
      <c r="G698" s="60">
        <v>802</v>
      </c>
      <c r="H698" s="81">
        <v>110</v>
      </c>
      <c r="I698" s="86">
        <v>58</v>
      </c>
      <c r="J698" s="81">
        <v>110</v>
      </c>
      <c r="K698" s="86">
        <v>58</v>
      </c>
      <c r="L698" s="81">
        <v>158</v>
      </c>
      <c r="M698" s="86">
        <v>170</v>
      </c>
      <c r="N698" s="81">
        <v>145322</v>
      </c>
      <c r="O698" s="86">
        <v>108951</v>
      </c>
      <c r="P698" s="89">
        <f t="shared" si="31"/>
        <v>164</v>
      </c>
      <c r="Q698" s="89">
        <f t="shared" si="32"/>
        <v>127136.5</v>
      </c>
      <c r="R698" s="96" t="s">
        <v>94</v>
      </c>
      <c r="S698" s="96" t="s">
        <v>730</v>
      </c>
      <c r="T698" s="96" t="s">
        <v>94</v>
      </c>
      <c r="U698" s="96" t="s">
        <v>136</v>
      </c>
      <c r="V698" s="96" t="s">
        <v>94</v>
      </c>
      <c r="W698" s="96" t="s">
        <v>97</v>
      </c>
      <c r="X698" s="96" t="s">
        <v>147</v>
      </c>
      <c r="Y698" s="96" t="s">
        <v>110</v>
      </c>
      <c r="Z698" s="96" t="s">
        <v>110</v>
      </c>
      <c r="AA698" s="96" t="s">
        <v>750</v>
      </c>
      <c r="AB698" s="96" t="s">
        <v>110</v>
      </c>
      <c r="AC698" s="96" t="s">
        <v>751</v>
      </c>
      <c r="AD698" s="96" t="s">
        <v>752</v>
      </c>
      <c r="AE698" s="96" t="s">
        <v>753</v>
      </c>
      <c r="AF698" s="96" t="s">
        <v>754</v>
      </c>
      <c r="AG698" s="96" t="s">
        <v>110</v>
      </c>
      <c r="AH698" s="96">
        <v>2686</v>
      </c>
      <c r="AI698" s="96" t="s">
        <v>755</v>
      </c>
      <c r="AJ698" s="96" t="s">
        <v>756</v>
      </c>
      <c r="AK698" s="27" t="s">
        <v>110</v>
      </c>
    </row>
    <row r="699" spans="1:37">
      <c r="A699" s="70">
        <v>694</v>
      </c>
      <c r="B699" s="70">
        <f t="shared" si="30"/>
        <v>0</v>
      </c>
      <c r="C699" s="71"/>
      <c r="D699" s="59" t="s">
        <v>1024</v>
      </c>
      <c r="E699" s="60">
        <v>14265</v>
      </c>
      <c r="F699" s="10" t="s">
        <v>916</v>
      </c>
      <c r="G699" s="60">
        <v>801</v>
      </c>
      <c r="H699" s="81">
        <v>2850</v>
      </c>
      <c r="I699" s="86">
        <v>4240</v>
      </c>
      <c r="J699" s="81">
        <v>2850</v>
      </c>
      <c r="K699" s="86">
        <v>4240</v>
      </c>
      <c r="L699" s="81">
        <v>176</v>
      </c>
      <c r="M699" s="86">
        <v>151</v>
      </c>
      <c r="N699" s="81">
        <v>122360</v>
      </c>
      <c r="O699" s="86">
        <v>134717</v>
      </c>
      <c r="P699" s="89">
        <f t="shared" si="31"/>
        <v>163.5</v>
      </c>
      <c r="Q699" s="89">
        <f t="shared" si="32"/>
        <v>128538.5</v>
      </c>
      <c r="R699" s="96" t="s">
        <v>94</v>
      </c>
      <c r="S699" s="96" t="s">
        <v>237</v>
      </c>
      <c r="T699" s="96" t="s">
        <v>94</v>
      </c>
      <c r="U699" s="96" t="s">
        <v>136</v>
      </c>
      <c r="V699" s="96" t="s">
        <v>766</v>
      </c>
      <c r="W699" s="96" t="s">
        <v>767</v>
      </c>
      <c r="X699" s="96" t="s">
        <v>147</v>
      </c>
      <c r="Y699" s="96" t="s">
        <v>110</v>
      </c>
      <c r="Z699" s="96" t="s">
        <v>797</v>
      </c>
      <c r="AA699" s="96" t="s">
        <v>917</v>
      </c>
      <c r="AB699" s="96" t="s">
        <v>110</v>
      </c>
      <c r="AC699" s="96" t="s">
        <v>918</v>
      </c>
      <c r="AD699" s="96" t="s">
        <v>919</v>
      </c>
      <c r="AE699" s="96" t="s">
        <v>920</v>
      </c>
      <c r="AF699" s="96" t="s">
        <v>921</v>
      </c>
      <c r="AG699" s="96" t="s">
        <v>110</v>
      </c>
      <c r="AH699" s="96">
        <v>2448</v>
      </c>
      <c r="AI699" s="96" t="s">
        <v>922</v>
      </c>
      <c r="AJ699" s="96" t="s">
        <v>923</v>
      </c>
      <c r="AK699" s="27" t="s">
        <v>110</v>
      </c>
    </row>
    <row r="700" spans="1:37">
      <c r="A700" s="70">
        <v>695</v>
      </c>
      <c r="B700" s="70">
        <f t="shared" si="30"/>
        <v>0</v>
      </c>
      <c r="C700" s="71"/>
      <c r="D700" s="59" t="s">
        <v>1024</v>
      </c>
      <c r="E700" s="60">
        <v>13912</v>
      </c>
      <c r="F700" s="10" t="s">
        <v>817</v>
      </c>
      <c r="G700" s="60">
        <v>801</v>
      </c>
      <c r="H700" s="81">
        <v>800</v>
      </c>
      <c r="I700" s="86">
        <v>1700</v>
      </c>
      <c r="J700" s="81">
        <v>800</v>
      </c>
      <c r="K700" s="86">
        <v>1700</v>
      </c>
      <c r="L700" s="81">
        <v>184</v>
      </c>
      <c r="M700" s="86">
        <v>144</v>
      </c>
      <c r="N700" s="81">
        <v>114103</v>
      </c>
      <c r="O700" s="86">
        <v>143547</v>
      </c>
      <c r="P700" s="89">
        <f t="shared" si="31"/>
        <v>164</v>
      </c>
      <c r="Q700" s="89">
        <f t="shared" si="32"/>
        <v>128825</v>
      </c>
      <c r="R700" s="96" t="s">
        <v>94</v>
      </c>
      <c r="S700" s="96" t="s">
        <v>124</v>
      </c>
      <c r="T700" s="96" t="s">
        <v>94</v>
      </c>
      <c r="U700" s="96" t="s">
        <v>136</v>
      </c>
      <c r="V700" s="96" t="s">
        <v>766</v>
      </c>
      <c r="W700" s="96" t="s">
        <v>767</v>
      </c>
      <c r="X700" s="96" t="s">
        <v>98</v>
      </c>
      <c r="Y700" s="96" t="s">
        <v>110</v>
      </c>
      <c r="Z700" s="96" t="s">
        <v>797</v>
      </c>
      <c r="AA700" s="96" t="s">
        <v>818</v>
      </c>
      <c r="AB700" s="96" t="s">
        <v>819</v>
      </c>
      <c r="AC700" s="96" t="s">
        <v>820</v>
      </c>
      <c r="AD700" s="96" t="s">
        <v>821</v>
      </c>
      <c r="AE700" s="96" t="s">
        <v>822</v>
      </c>
      <c r="AF700" s="96" t="s">
        <v>823</v>
      </c>
      <c r="AG700" s="96" t="s">
        <v>110</v>
      </c>
      <c r="AH700" s="96">
        <v>2467</v>
      </c>
      <c r="AI700" s="96" t="s">
        <v>824</v>
      </c>
      <c r="AJ700" s="96" t="s">
        <v>825</v>
      </c>
      <c r="AK700" s="27" t="s">
        <v>110</v>
      </c>
    </row>
    <row r="701" spans="1:37">
      <c r="A701" s="70">
        <v>696</v>
      </c>
      <c r="B701" s="70">
        <f t="shared" si="30"/>
        <v>0</v>
      </c>
      <c r="C701" s="71"/>
      <c r="D701" s="59" t="s">
        <v>1024</v>
      </c>
      <c r="E701" s="60">
        <v>14363</v>
      </c>
      <c r="F701" s="10" t="s">
        <v>942</v>
      </c>
      <c r="G701" s="60">
        <v>804</v>
      </c>
      <c r="H701" s="81">
        <v>20</v>
      </c>
      <c r="I701" s="86" t="s">
        <v>110</v>
      </c>
      <c r="J701" s="81">
        <v>20</v>
      </c>
      <c r="K701" s="86" t="s">
        <v>110</v>
      </c>
      <c r="L701" s="81">
        <v>167</v>
      </c>
      <c r="M701" s="86" t="s">
        <v>110</v>
      </c>
      <c r="N701" s="81">
        <v>133987</v>
      </c>
      <c r="O701" s="86" t="s">
        <v>110</v>
      </c>
      <c r="P701" s="89">
        <f t="shared" si="31"/>
        <v>167</v>
      </c>
      <c r="Q701" s="89">
        <f t="shared" si="32"/>
        <v>133987</v>
      </c>
      <c r="R701" s="96" t="s">
        <v>94</v>
      </c>
      <c r="S701" s="96" t="s">
        <v>255</v>
      </c>
      <c r="T701" s="96" t="s">
        <v>94</v>
      </c>
      <c r="U701" s="96" t="s">
        <v>136</v>
      </c>
      <c r="V701" s="96" t="s">
        <v>766</v>
      </c>
      <c r="W701" s="96" t="s">
        <v>767</v>
      </c>
      <c r="X701" s="96" t="s">
        <v>169</v>
      </c>
      <c r="Y701" s="96" t="s">
        <v>110</v>
      </c>
      <c r="Z701" s="96" t="s">
        <v>943</v>
      </c>
      <c r="AA701" s="96" t="s">
        <v>944</v>
      </c>
      <c r="AB701" s="96" t="s">
        <v>110</v>
      </c>
      <c r="AC701" s="96" t="s">
        <v>945</v>
      </c>
      <c r="AD701" s="96" t="s">
        <v>946</v>
      </c>
      <c r="AE701" s="96" t="s">
        <v>947</v>
      </c>
      <c r="AF701" s="96" t="s">
        <v>948</v>
      </c>
      <c r="AG701" s="96" t="s">
        <v>110</v>
      </c>
      <c r="AH701" s="96">
        <v>2089</v>
      </c>
      <c r="AI701" s="96" t="s">
        <v>949</v>
      </c>
      <c r="AJ701" s="96" t="s">
        <v>950</v>
      </c>
      <c r="AK701" s="27" t="s">
        <v>110</v>
      </c>
    </row>
    <row r="702" spans="1:37">
      <c r="A702" s="70">
        <v>697</v>
      </c>
      <c r="B702" s="70">
        <f t="shared" si="30"/>
        <v>0</v>
      </c>
      <c r="C702" s="71"/>
      <c r="D702" s="59" t="s">
        <v>1024</v>
      </c>
      <c r="E702" s="60">
        <v>13928</v>
      </c>
      <c r="F702" s="10" t="s">
        <v>807</v>
      </c>
      <c r="G702" s="60">
        <v>802</v>
      </c>
      <c r="H702" s="81">
        <v>2630</v>
      </c>
      <c r="I702" s="86" t="s">
        <v>110</v>
      </c>
      <c r="J702" s="81">
        <v>2630</v>
      </c>
      <c r="K702" s="86" t="s">
        <v>110</v>
      </c>
      <c r="L702" s="81">
        <v>163</v>
      </c>
      <c r="M702" s="86" t="s">
        <v>110</v>
      </c>
      <c r="N702" s="81">
        <v>138358</v>
      </c>
      <c r="O702" s="86" t="s">
        <v>110</v>
      </c>
      <c r="P702" s="89">
        <f t="shared" si="31"/>
        <v>163</v>
      </c>
      <c r="Q702" s="89">
        <f t="shared" si="32"/>
        <v>138358</v>
      </c>
      <c r="R702" s="96" t="s">
        <v>94</v>
      </c>
      <c r="S702" s="96" t="s">
        <v>124</v>
      </c>
      <c r="T702" s="96" t="s">
        <v>94</v>
      </c>
      <c r="U702" s="96" t="s">
        <v>136</v>
      </c>
      <c r="V702" s="96" t="s">
        <v>766</v>
      </c>
      <c r="W702" s="96" t="s">
        <v>767</v>
      </c>
      <c r="X702" s="96" t="s">
        <v>98</v>
      </c>
      <c r="Y702" s="96" t="s">
        <v>110</v>
      </c>
      <c r="Z702" s="96" t="s">
        <v>110</v>
      </c>
      <c r="AA702" s="96" t="s">
        <v>808</v>
      </c>
      <c r="AB702" s="96" t="s">
        <v>809</v>
      </c>
      <c r="AC702" s="96" t="s">
        <v>810</v>
      </c>
      <c r="AD702" s="96" t="s">
        <v>811</v>
      </c>
      <c r="AE702" s="96" t="s">
        <v>812</v>
      </c>
      <c r="AF702" s="96" t="s">
        <v>813</v>
      </c>
      <c r="AG702" s="96" t="s">
        <v>814</v>
      </c>
      <c r="AH702" s="96">
        <v>2435</v>
      </c>
      <c r="AI702" s="96" t="s">
        <v>815</v>
      </c>
      <c r="AJ702" s="96" t="s">
        <v>816</v>
      </c>
      <c r="AK702" s="27" t="s">
        <v>110</v>
      </c>
    </row>
    <row r="703" spans="1:37">
      <c r="A703" s="70">
        <v>698</v>
      </c>
      <c r="B703" s="70">
        <f t="shared" si="30"/>
        <v>0</v>
      </c>
      <c r="C703" s="71"/>
      <c r="D703" s="59" t="s">
        <v>1024</v>
      </c>
      <c r="E703" s="60">
        <v>13716</v>
      </c>
      <c r="F703" s="10" t="s">
        <v>980</v>
      </c>
      <c r="G703" s="60">
        <v>801</v>
      </c>
      <c r="H703" s="81">
        <v>1660</v>
      </c>
      <c r="I703" s="86">
        <v>2640</v>
      </c>
      <c r="J703" s="81">
        <v>1660</v>
      </c>
      <c r="K703" s="86">
        <v>2640</v>
      </c>
      <c r="L703" s="81">
        <v>167</v>
      </c>
      <c r="M703" s="86">
        <v>144</v>
      </c>
      <c r="N703" s="81">
        <v>133861</v>
      </c>
      <c r="O703" s="86">
        <v>144483</v>
      </c>
      <c r="P703" s="89">
        <f t="shared" si="31"/>
        <v>155.5</v>
      </c>
      <c r="Q703" s="89">
        <f t="shared" si="32"/>
        <v>139172</v>
      </c>
      <c r="R703" s="96" t="s">
        <v>94</v>
      </c>
      <c r="S703" s="96" t="s">
        <v>124</v>
      </c>
      <c r="T703" s="96" t="s">
        <v>94</v>
      </c>
      <c r="U703" s="96" t="s">
        <v>136</v>
      </c>
      <c r="V703" s="96" t="s">
        <v>766</v>
      </c>
      <c r="W703" s="96" t="s">
        <v>767</v>
      </c>
      <c r="X703" s="96" t="s">
        <v>98</v>
      </c>
      <c r="Y703" s="96" t="s">
        <v>382</v>
      </c>
      <c r="Z703" s="96" t="s">
        <v>110</v>
      </c>
      <c r="AA703" s="96" t="s">
        <v>981</v>
      </c>
      <c r="AB703" s="96" t="s">
        <v>982</v>
      </c>
      <c r="AC703" s="96" t="s">
        <v>983</v>
      </c>
      <c r="AD703" s="96" t="s">
        <v>984</v>
      </c>
      <c r="AE703" s="96" t="s">
        <v>985</v>
      </c>
      <c r="AF703" s="96" t="s">
        <v>986</v>
      </c>
      <c r="AG703" s="96" t="s">
        <v>987</v>
      </c>
      <c r="AH703" s="96">
        <v>2075</v>
      </c>
      <c r="AI703" s="96" t="s">
        <v>988</v>
      </c>
      <c r="AJ703" s="96" t="s">
        <v>989</v>
      </c>
      <c r="AK703" s="27" t="s">
        <v>110</v>
      </c>
    </row>
    <row r="704" spans="1:37">
      <c r="A704" s="70">
        <v>699</v>
      </c>
      <c r="B704" s="70">
        <f t="shared" si="30"/>
        <v>0</v>
      </c>
      <c r="C704" s="71"/>
      <c r="D704" s="59" t="s">
        <v>1024</v>
      </c>
      <c r="E704" s="60">
        <v>13928</v>
      </c>
      <c r="F704" s="10" t="s">
        <v>807</v>
      </c>
      <c r="G704" s="60">
        <v>801</v>
      </c>
      <c r="H704" s="81">
        <v>1250</v>
      </c>
      <c r="I704" s="86">
        <v>3600</v>
      </c>
      <c r="J704" s="81">
        <v>1250</v>
      </c>
      <c r="K704" s="86">
        <v>3600</v>
      </c>
      <c r="L704" s="81">
        <v>164</v>
      </c>
      <c r="M704" s="86">
        <v>145</v>
      </c>
      <c r="N704" s="81">
        <v>137068</v>
      </c>
      <c r="O704" s="86">
        <v>142529</v>
      </c>
      <c r="P704" s="89">
        <f t="shared" si="31"/>
        <v>154.5</v>
      </c>
      <c r="Q704" s="89">
        <f t="shared" si="32"/>
        <v>139798.5</v>
      </c>
      <c r="R704" s="96" t="s">
        <v>94</v>
      </c>
      <c r="S704" s="96" t="s">
        <v>124</v>
      </c>
      <c r="T704" s="96" t="s">
        <v>94</v>
      </c>
      <c r="U704" s="96" t="s">
        <v>136</v>
      </c>
      <c r="V704" s="96" t="s">
        <v>766</v>
      </c>
      <c r="W704" s="96" t="s">
        <v>767</v>
      </c>
      <c r="X704" s="96" t="s">
        <v>98</v>
      </c>
      <c r="Y704" s="96" t="s">
        <v>110</v>
      </c>
      <c r="Z704" s="96" t="s">
        <v>110</v>
      </c>
      <c r="AA704" s="96" t="s">
        <v>808</v>
      </c>
      <c r="AB704" s="96" t="s">
        <v>809</v>
      </c>
      <c r="AC704" s="96" t="s">
        <v>810</v>
      </c>
      <c r="AD704" s="96" t="s">
        <v>811</v>
      </c>
      <c r="AE704" s="96" t="s">
        <v>812</v>
      </c>
      <c r="AF704" s="96" t="s">
        <v>813</v>
      </c>
      <c r="AG704" s="96" t="s">
        <v>814</v>
      </c>
      <c r="AH704" s="96">
        <v>2435</v>
      </c>
      <c r="AI704" s="96" t="s">
        <v>815</v>
      </c>
      <c r="AJ704" s="96" t="s">
        <v>816</v>
      </c>
      <c r="AK704" s="27" t="s">
        <v>110</v>
      </c>
    </row>
    <row r="705" spans="1:37">
      <c r="A705" s="70">
        <v>700</v>
      </c>
      <c r="B705" s="70">
        <f t="shared" si="30"/>
        <v>0</v>
      </c>
      <c r="C705" s="71"/>
      <c r="D705" s="59" t="s">
        <v>1024</v>
      </c>
      <c r="E705" s="60">
        <v>14268</v>
      </c>
      <c r="F705" s="10" t="s">
        <v>970</v>
      </c>
      <c r="G705" s="60">
        <v>801</v>
      </c>
      <c r="H705" s="81">
        <v>1345</v>
      </c>
      <c r="I705" s="86">
        <v>1245</v>
      </c>
      <c r="J705" s="81">
        <v>1345</v>
      </c>
      <c r="K705" s="86">
        <v>1245</v>
      </c>
      <c r="L705" s="81">
        <v>168</v>
      </c>
      <c r="M705" s="86">
        <v>141</v>
      </c>
      <c r="N705" s="81">
        <v>132231</v>
      </c>
      <c r="O705" s="86">
        <v>148431</v>
      </c>
      <c r="P705" s="89">
        <f t="shared" si="31"/>
        <v>154.5</v>
      </c>
      <c r="Q705" s="89">
        <f t="shared" si="32"/>
        <v>140331</v>
      </c>
      <c r="R705" s="96" t="s">
        <v>94</v>
      </c>
      <c r="S705" s="96" t="s">
        <v>124</v>
      </c>
      <c r="T705" s="96" t="s">
        <v>94</v>
      </c>
      <c r="U705" s="96" t="s">
        <v>136</v>
      </c>
      <c r="V705" s="96" t="s">
        <v>766</v>
      </c>
      <c r="W705" s="96" t="s">
        <v>767</v>
      </c>
      <c r="X705" s="96" t="s">
        <v>98</v>
      </c>
      <c r="Y705" s="96" t="s">
        <v>110</v>
      </c>
      <c r="Z705" s="96" t="s">
        <v>110</v>
      </c>
      <c r="AA705" s="96" t="s">
        <v>971</v>
      </c>
      <c r="AB705" s="96" t="s">
        <v>972</v>
      </c>
      <c r="AC705" s="96" t="s">
        <v>973</v>
      </c>
      <c r="AD705" s="96" t="s">
        <v>974</v>
      </c>
      <c r="AE705" s="96" t="s">
        <v>975</v>
      </c>
      <c r="AF705" s="96" t="s">
        <v>976</v>
      </c>
      <c r="AG705" s="96" t="s">
        <v>977</v>
      </c>
      <c r="AH705" s="96">
        <v>2018</v>
      </c>
      <c r="AI705" s="96" t="s">
        <v>978</v>
      </c>
      <c r="AJ705" s="96" t="s">
        <v>979</v>
      </c>
      <c r="AK705" s="27" t="s">
        <v>110</v>
      </c>
    </row>
    <row r="706" spans="1:37">
      <c r="A706" s="70">
        <v>701</v>
      </c>
      <c r="B706" s="70">
        <f t="shared" si="30"/>
        <v>0</v>
      </c>
      <c r="C706" s="71"/>
      <c r="D706" s="59" t="s">
        <v>1024</v>
      </c>
      <c r="E706" s="60">
        <v>12576</v>
      </c>
      <c r="F706" s="10" t="s">
        <v>951</v>
      </c>
      <c r="G706" s="60">
        <v>801</v>
      </c>
      <c r="H706" s="81">
        <v>810</v>
      </c>
      <c r="I706" s="86">
        <v>720</v>
      </c>
      <c r="J706" s="81">
        <v>810</v>
      </c>
      <c r="K706" s="86">
        <v>720</v>
      </c>
      <c r="L706" s="81">
        <v>166</v>
      </c>
      <c r="M706" s="86">
        <v>143</v>
      </c>
      <c r="N706" s="81">
        <v>135273</v>
      </c>
      <c r="O706" s="86">
        <v>145395</v>
      </c>
      <c r="P706" s="89">
        <f t="shared" si="31"/>
        <v>154.5</v>
      </c>
      <c r="Q706" s="89">
        <f t="shared" si="32"/>
        <v>140334</v>
      </c>
      <c r="R706" s="96" t="s">
        <v>94</v>
      </c>
      <c r="S706" s="96" t="s">
        <v>289</v>
      </c>
      <c r="T706" s="96" t="s">
        <v>94</v>
      </c>
      <c r="U706" s="96" t="s">
        <v>136</v>
      </c>
      <c r="V706" s="96" t="s">
        <v>766</v>
      </c>
      <c r="W706" s="96" t="s">
        <v>767</v>
      </c>
      <c r="X706" s="96" t="s">
        <v>290</v>
      </c>
      <c r="Y706" s="96" t="s">
        <v>110</v>
      </c>
      <c r="Z706" s="96" t="s">
        <v>797</v>
      </c>
      <c r="AA706" s="96" t="s">
        <v>952</v>
      </c>
      <c r="AB706" s="96" t="s">
        <v>953</v>
      </c>
      <c r="AC706" s="96" t="s">
        <v>954</v>
      </c>
      <c r="AD706" s="96" t="s">
        <v>955</v>
      </c>
      <c r="AE706" s="96" t="s">
        <v>956</v>
      </c>
      <c r="AF706" s="96" t="s">
        <v>957</v>
      </c>
      <c r="AG706" s="96" t="s">
        <v>958</v>
      </c>
      <c r="AH706" s="96">
        <v>2523</v>
      </c>
      <c r="AI706" s="96" t="s">
        <v>959</v>
      </c>
      <c r="AJ706" s="96" t="s">
        <v>960</v>
      </c>
      <c r="AK706" s="27" t="s">
        <v>110</v>
      </c>
    </row>
    <row r="707" spans="1:37">
      <c r="A707" s="70">
        <v>702</v>
      </c>
      <c r="B707" s="70">
        <f t="shared" si="30"/>
        <v>0</v>
      </c>
      <c r="C707" s="71"/>
      <c r="D707" s="59" t="s">
        <v>1024</v>
      </c>
      <c r="E707" s="60">
        <v>14761</v>
      </c>
      <c r="F707" s="10" t="s">
        <v>908</v>
      </c>
      <c r="G707" s="60">
        <v>803</v>
      </c>
      <c r="H707" s="81">
        <v>198</v>
      </c>
      <c r="I707" s="86" t="s">
        <v>110</v>
      </c>
      <c r="J707" s="81">
        <v>198</v>
      </c>
      <c r="K707" s="86" t="s">
        <v>110</v>
      </c>
      <c r="L707" s="81">
        <v>161</v>
      </c>
      <c r="M707" s="86" t="s">
        <v>110</v>
      </c>
      <c r="N707" s="81">
        <v>141771</v>
      </c>
      <c r="O707" s="86" t="s">
        <v>110</v>
      </c>
      <c r="P707" s="89">
        <f t="shared" si="31"/>
        <v>161</v>
      </c>
      <c r="Q707" s="89">
        <f t="shared" si="32"/>
        <v>141771</v>
      </c>
      <c r="R707" s="96" t="s">
        <v>94</v>
      </c>
      <c r="S707" s="96" t="s">
        <v>145</v>
      </c>
      <c r="T707" s="96" t="s">
        <v>94</v>
      </c>
      <c r="U707" s="96" t="s">
        <v>136</v>
      </c>
      <c r="V707" s="96" t="s">
        <v>766</v>
      </c>
      <c r="W707" s="96" t="s">
        <v>767</v>
      </c>
      <c r="X707" s="96" t="s">
        <v>147</v>
      </c>
      <c r="Y707" s="96" t="s">
        <v>382</v>
      </c>
      <c r="Z707" s="96" t="s">
        <v>110</v>
      </c>
      <c r="AA707" s="96" t="s">
        <v>909</v>
      </c>
      <c r="AB707" s="96" t="s">
        <v>110</v>
      </c>
      <c r="AC707" s="96" t="s">
        <v>910</v>
      </c>
      <c r="AD707" s="96" t="s">
        <v>911</v>
      </c>
      <c r="AE707" s="96" t="s">
        <v>912</v>
      </c>
      <c r="AF707" s="96" t="s">
        <v>913</v>
      </c>
      <c r="AG707" s="96" t="s">
        <v>110</v>
      </c>
      <c r="AH707" s="96">
        <v>2690</v>
      </c>
      <c r="AI707" s="96" t="s">
        <v>914</v>
      </c>
      <c r="AJ707" s="96" t="s">
        <v>915</v>
      </c>
      <c r="AK707" s="27" t="s">
        <v>110</v>
      </c>
    </row>
    <row r="708" spans="1:37">
      <c r="A708" s="70">
        <v>703</v>
      </c>
      <c r="B708" s="70">
        <f t="shared" si="30"/>
        <v>0</v>
      </c>
      <c r="C708" s="71"/>
      <c r="D708" s="59" t="s">
        <v>1024</v>
      </c>
      <c r="E708" s="60">
        <v>13715</v>
      </c>
      <c r="F708" s="10" t="s">
        <v>834</v>
      </c>
      <c r="G708" s="60">
        <v>801</v>
      </c>
      <c r="H708" s="81">
        <v>1506</v>
      </c>
      <c r="I708" s="86">
        <v>766</v>
      </c>
      <c r="J708" s="81">
        <v>1506</v>
      </c>
      <c r="K708" s="86">
        <v>766</v>
      </c>
      <c r="L708" s="81">
        <v>160</v>
      </c>
      <c r="M708" s="86">
        <v>146</v>
      </c>
      <c r="N708" s="81">
        <v>142740</v>
      </c>
      <c r="O708" s="86">
        <v>141759</v>
      </c>
      <c r="P708" s="89">
        <f t="shared" si="31"/>
        <v>153</v>
      </c>
      <c r="Q708" s="89">
        <f t="shared" si="32"/>
        <v>142249.5</v>
      </c>
      <c r="R708" s="96" t="s">
        <v>94</v>
      </c>
      <c r="S708" s="96" t="s">
        <v>124</v>
      </c>
      <c r="T708" s="96" t="s">
        <v>94</v>
      </c>
      <c r="U708" s="96" t="s">
        <v>136</v>
      </c>
      <c r="V708" s="96" t="s">
        <v>766</v>
      </c>
      <c r="W708" s="96" t="s">
        <v>767</v>
      </c>
      <c r="X708" s="96" t="s">
        <v>98</v>
      </c>
      <c r="Y708" s="96" t="s">
        <v>382</v>
      </c>
      <c r="Z708" s="96" t="s">
        <v>797</v>
      </c>
      <c r="AA708" s="96" t="s">
        <v>835</v>
      </c>
      <c r="AB708" s="96" t="s">
        <v>836</v>
      </c>
      <c r="AC708" s="96" t="s">
        <v>837</v>
      </c>
      <c r="AD708" s="96" t="s">
        <v>838</v>
      </c>
      <c r="AE708" s="96" t="s">
        <v>839</v>
      </c>
      <c r="AF708" s="96" t="s">
        <v>840</v>
      </c>
      <c r="AG708" s="96" t="s">
        <v>110</v>
      </c>
      <c r="AH708" s="96">
        <v>1947</v>
      </c>
      <c r="AI708" s="96" t="s">
        <v>841</v>
      </c>
      <c r="AJ708" s="96" t="s">
        <v>842</v>
      </c>
      <c r="AK708" s="27" t="s">
        <v>110</v>
      </c>
    </row>
    <row r="709" spans="1:37">
      <c r="A709" s="70">
        <v>704</v>
      </c>
      <c r="B709" s="70">
        <f t="shared" si="30"/>
        <v>0</v>
      </c>
      <c r="C709" s="71"/>
      <c r="D709" s="59" t="s">
        <v>1024</v>
      </c>
      <c r="E709" s="60">
        <v>14266</v>
      </c>
      <c r="F709" s="10" t="s">
        <v>890</v>
      </c>
      <c r="G709" s="60">
        <v>803</v>
      </c>
      <c r="H709" s="81">
        <v>80</v>
      </c>
      <c r="I709" s="86" t="s">
        <v>110</v>
      </c>
      <c r="J709" s="81">
        <v>80</v>
      </c>
      <c r="K709" s="86" t="s">
        <v>110</v>
      </c>
      <c r="L709" s="81">
        <v>160</v>
      </c>
      <c r="M709" s="86" t="s">
        <v>110</v>
      </c>
      <c r="N709" s="81">
        <v>142381</v>
      </c>
      <c r="O709" s="86" t="s">
        <v>110</v>
      </c>
      <c r="P709" s="89">
        <f t="shared" si="31"/>
        <v>160</v>
      </c>
      <c r="Q709" s="89">
        <f t="shared" si="32"/>
        <v>142381</v>
      </c>
      <c r="R709" s="96" t="s">
        <v>94</v>
      </c>
      <c r="S709" s="96" t="s">
        <v>124</v>
      </c>
      <c r="T709" s="96" t="s">
        <v>94</v>
      </c>
      <c r="U709" s="96" t="s">
        <v>136</v>
      </c>
      <c r="V709" s="96" t="s">
        <v>766</v>
      </c>
      <c r="W709" s="96" t="s">
        <v>767</v>
      </c>
      <c r="X709" s="96" t="s">
        <v>98</v>
      </c>
      <c r="Y709" s="96" t="s">
        <v>110</v>
      </c>
      <c r="Z709" s="96" t="s">
        <v>110</v>
      </c>
      <c r="AA709" s="96" t="s">
        <v>891</v>
      </c>
      <c r="AB709" s="96" t="s">
        <v>892</v>
      </c>
      <c r="AC709" s="96" t="s">
        <v>893</v>
      </c>
      <c r="AD709" s="96" t="s">
        <v>894</v>
      </c>
      <c r="AE709" s="96" t="s">
        <v>895</v>
      </c>
      <c r="AF709" s="96" t="s">
        <v>896</v>
      </c>
      <c r="AG709" s="96" t="s">
        <v>110</v>
      </c>
      <c r="AH709" s="96">
        <v>2458</v>
      </c>
      <c r="AI709" s="96" t="s">
        <v>897</v>
      </c>
      <c r="AJ709" s="96" t="s">
        <v>898</v>
      </c>
      <c r="AK709" s="27" t="s">
        <v>110</v>
      </c>
    </row>
    <row r="710" spans="1:37">
      <c r="A710" s="70">
        <v>705</v>
      </c>
      <c r="B710" s="70">
        <f t="shared" ref="B710:B738" si="33">C710</f>
        <v>0</v>
      </c>
      <c r="C710" s="71"/>
      <c r="D710" s="59" t="s">
        <v>1024</v>
      </c>
      <c r="E710" s="60">
        <v>14266</v>
      </c>
      <c r="F710" s="10" t="s">
        <v>890</v>
      </c>
      <c r="G710" s="60">
        <v>801</v>
      </c>
      <c r="H710" s="81">
        <v>320</v>
      </c>
      <c r="I710" s="86">
        <v>3400</v>
      </c>
      <c r="J710" s="81">
        <v>320</v>
      </c>
      <c r="K710" s="86">
        <v>3401</v>
      </c>
      <c r="L710" s="81">
        <v>167</v>
      </c>
      <c r="M710" s="86">
        <v>139</v>
      </c>
      <c r="N710" s="81">
        <v>133905</v>
      </c>
      <c r="O710" s="86">
        <v>151450</v>
      </c>
      <c r="P710" s="89">
        <f t="shared" si="31"/>
        <v>153</v>
      </c>
      <c r="Q710" s="89">
        <f t="shared" si="32"/>
        <v>142677.5</v>
      </c>
      <c r="R710" s="96" t="s">
        <v>94</v>
      </c>
      <c r="S710" s="96" t="s">
        <v>124</v>
      </c>
      <c r="T710" s="96" t="s">
        <v>94</v>
      </c>
      <c r="U710" s="96" t="s">
        <v>136</v>
      </c>
      <c r="V710" s="96" t="s">
        <v>766</v>
      </c>
      <c r="W710" s="96" t="s">
        <v>767</v>
      </c>
      <c r="X710" s="96" t="s">
        <v>98</v>
      </c>
      <c r="Y710" s="96" t="s">
        <v>110</v>
      </c>
      <c r="Z710" s="96" t="s">
        <v>110</v>
      </c>
      <c r="AA710" s="96" t="s">
        <v>891</v>
      </c>
      <c r="AB710" s="96" t="s">
        <v>892</v>
      </c>
      <c r="AC710" s="96" t="s">
        <v>893</v>
      </c>
      <c r="AD710" s="96" t="s">
        <v>894</v>
      </c>
      <c r="AE710" s="96" t="s">
        <v>895</v>
      </c>
      <c r="AF710" s="96" t="s">
        <v>896</v>
      </c>
      <c r="AG710" s="96" t="s">
        <v>110</v>
      </c>
      <c r="AH710" s="96">
        <v>2458</v>
      </c>
      <c r="AI710" s="96" t="s">
        <v>897</v>
      </c>
      <c r="AJ710" s="96" t="s">
        <v>898</v>
      </c>
      <c r="AK710" s="27" t="s">
        <v>110</v>
      </c>
    </row>
    <row r="711" spans="1:37">
      <c r="A711" s="70">
        <v>706</v>
      </c>
      <c r="B711" s="70">
        <f t="shared" si="33"/>
        <v>0</v>
      </c>
      <c r="C711" s="71"/>
      <c r="D711" s="59" t="s">
        <v>1024</v>
      </c>
      <c r="E711" s="60">
        <v>14362</v>
      </c>
      <c r="F711" s="10" t="s">
        <v>1006</v>
      </c>
      <c r="G711" s="60">
        <v>803</v>
      </c>
      <c r="H711" s="81">
        <v>240</v>
      </c>
      <c r="I711" s="86" t="s">
        <v>110</v>
      </c>
      <c r="J711" s="81">
        <v>240</v>
      </c>
      <c r="K711" s="86" t="s">
        <v>110</v>
      </c>
      <c r="L711" s="81">
        <v>159</v>
      </c>
      <c r="M711" s="86" t="s">
        <v>110</v>
      </c>
      <c r="N711" s="81">
        <v>143379</v>
      </c>
      <c r="O711" s="86" t="s">
        <v>110</v>
      </c>
      <c r="P711" s="89">
        <f t="shared" ref="P711:P738" si="34">IFERROR(AVERAGE(L711:M711),"/")</f>
        <v>159</v>
      </c>
      <c r="Q711" s="89">
        <f t="shared" ref="Q711:Q738" si="35">IFERROR(AVERAGE(N711:O711),"/")</f>
        <v>143379</v>
      </c>
      <c r="R711" s="96" t="s">
        <v>94</v>
      </c>
      <c r="S711" s="96" t="s">
        <v>124</v>
      </c>
      <c r="T711" s="96" t="s">
        <v>94</v>
      </c>
      <c r="U711" s="96" t="s">
        <v>136</v>
      </c>
      <c r="V711" s="96" t="s">
        <v>766</v>
      </c>
      <c r="W711" s="96" t="s">
        <v>767</v>
      </c>
      <c r="X711" s="96" t="s">
        <v>98</v>
      </c>
      <c r="Y711" s="96" t="s">
        <v>110</v>
      </c>
      <c r="Z711" s="96" t="s">
        <v>797</v>
      </c>
      <c r="AA711" s="96" t="s">
        <v>1007</v>
      </c>
      <c r="AB711" s="96" t="s">
        <v>110</v>
      </c>
      <c r="AC711" s="96" t="s">
        <v>1008</v>
      </c>
      <c r="AD711" s="96" t="s">
        <v>1009</v>
      </c>
      <c r="AE711" s="96" t="s">
        <v>1010</v>
      </c>
      <c r="AF711" s="96" t="s">
        <v>1011</v>
      </c>
      <c r="AG711" s="96" t="s">
        <v>1012</v>
      </c>
      <c r="AH711" s="96">
        <v>2379</v>
      </c>
      <c r="AI711" s="96" t="s">
        <v>1013</v>
      </c>
      <c r="AJ711" s="96" t="s">
        <v>1014</v>
      </c>
      <c r="AK711" s="27" t="s">
        <v>110</v>
      </c>
    </row>
    <row r="712" spans="1:37">
      <c r="A712" s="70">
        <v>707</v>
      </c>
      <c r="B712" s="70">
        <f t="shared" si="33"/>
        <v>0</v>
      </c>
      <c r="C712" s="71"/>
      <c r="D712" s="59" t="s">
        <v>1024</v>
      </c>
      <c r="E712" s="60">
        <v>14268</v>
      </c>
      <c r="F712" s="10" t="s">
        <v>970</v>
      </c>
      <c r="G712" s="60">
        <v>802</v>
      </c>
      <c r="H712" s="81">
        <v>155</v>
      </c>
      <c r="I712" s="86">
        <v>290</v>
      </c>
      <c r="J712" s="81">
        <v>155</v>
      </c>
      <c r="K712" s="86">
        <v>290</v>
      </c>
      <c r="L712" s="81">
        <v>156</v>
      </c>
      <c r="M712" s="86">
        <v>147</v>
      </c>
      <c r="N712" s="81">
        <v>147474</v>
      </c>
      <c r="O712" s="86">
        <v>139828</v>
      </c>
      <c r="P712" s="89">
        <f t="shared" si="34"/>
        <v>151.5</v>
      </c>
      <c r="Q712" s="89">
        <f t="shared" si="35"/>
        <v>143651</v>
      </c>
      <c r="R712" s="96" t="s">
        <v>94</v>
      </c>
      <c r="S712" s="96" t="s">
        <v>124</v>
      </c>
      <c r="T712" s="96" t="s">
        <v>94</v>
      </c>
      <c r="U712" s="96" t="s">
        <v>136</v>
      </c>
      <c r="V712" s="96" t="s">
        <v>766</v>
      </c>
      <c r="W712" s="96" t="s">
        <v>767</v>
      </c>
      <c r="X712" s="96" t="s">
        <v>98</v>
      </c>
      <c r="Y712" s="96" t="s">
        <v>110</v>
      </c>
      <c r="Z712" s="96" t="s">
        <v>110</v>
      </c>
      <c r="AA712" s="96" t="s">
        <v>971</v>
      </c>
      <c r="AB712" s="96" t="s">
        <v>972</v>
      </c>
      <c r="AC712" s="96" t="s">
        <v>973</v>
      </c>
      <c r="AD712" s="96" t="s">
        <v>974</v>
      </c>
      <c r="AE712" s="96" t="s">
        <v>975</v>
      </c>
      <c r="AF712" s="96" t="s">
        <v>976</v>
      </c>
      <c r="AG712" s="96" t="s">
        <v>977</v>
      </c>
      <c r="AH712" s="96">
        <v>2018</v>
      </c>
      <c r="AI712" s="96" t="s">
        <v>978</v>
      </c>
      <c r="AJ712" s="96" t="s">
        <v>979</v>
      </c>
      <c r="AK712" s="27" t="s">
        <v>110</v>
      </c>
    </row>
    <row r="713" spans="1:37">
      <c r="A713" s="70">
        <v>708</v>
      </c>
      <c r="B713" s="70">
        <f t="shared" si="33"/>
        <v>0</v>
      </c>
      <c r="C713" s="71"/>
      <c r="D713" s="59" t="s">
        <v>1024</v>
      </c>
      <c r="E713" s="60">
        <v>14761</v>
      </c>
      <c r="F713" s="10" t="s">
        <v>908</v>
      </c>
      <c r="G713" s="60">
        <v>802</v>
      </c>
      <c r="H713" s="81">
        <v>120</v>
      </c>
      <c r="I713" s="86">
        <v>100</v>
      </c>
      <c r="J713" s="81">
        <v>120</v>
      </c>
      <c r="K713" s="86">
        <v>100</v>
      </c>
      <c r="L713" s="81">
        <v>172</v>
      </c>
      <c r="M713" s="86">
        <v>131</v>
      </c>
      <c r="N713" s="81">
        <v>127132</v>
      </c>
      <c r="O713" s="86">
        <v>161276</v>
      </c>
      <c r="P713" s="89">
        <f t="shared" si="34"/>
        <v>151.5</v>
      </c>
      <c r="Q713" s="89">
        <f t="shared" si="35"/>
        <v>144204</v>
      </c>
      <c r="R713" s="96" t="s">
        <v>94</v>
      </c>
      <c r="S713" s="96" t="s">
        <v>145</v>
      </c>
      <c r="T713" s="96" t="s">
        <v>94</v>
      </c>
      <c r="U713" s="96" t="s">
        <v>136</v>
      </c>
      <c r="V713" s="96" t="s">
        <v>766</v>
      </c>
      <c r="W713" s="96" t="s">
        <v>767</v>
      </c>
      <c r="X713" s="96" t="s">
        <v>147</v>
      </c>
      <c r="Y713" s="96" t="s">
        <v>382</v>
      </c>
      <c r="Z713" s="96" t="s">
        <v>110</v>
      </c>
      <c r="AA713" s="96" t="s">
        <v>909</v>
      </c>
      <c r="AB713" s="96" t="s">
        <v>110</v>
      </c>
      <c r="AC713" s="96" t="s">
        <v>910</v>
      </c>
      <c r="AD713" s="96" t="s">
        <v>911</v>
      </c>
      <c r="AE713" s="96" t="s">
        <v>912</v>
      </c>
      <c r="AF713" s="96" t="s">
        <v>913</v>
      </c>
      <c r="AG713" s="96" t="s">
        <v>110</v>
      </c>
      <c r="AH713" s="96">
        <v>2690</v>
      </c>
      <c r="AI713" s="96" t="s">
        <v>914</v>
      </c>
      <c r="AJ713" s="96" t="s">
        <v>915</v>
      </c>
      <c r="AK713" s="27" t="s">
        <v>110</v>
      </c>
    </row>
    <row r="714" spans="1:37">
      <c r="A714" s="70">
        <v>709</v>
      </c>
      <c r="B714" s="70">
        <f t="shared" si="33"/>
        <v>0</v>
      </c>
      <c r="C714" s="71"/>
      <c r="D714" s="59" t="s">
        <v>1024</v>
      </c>
      <c r="E714" s="60">
        <v>14363</v>
      </c>
      <c r="F714" s="10" t="s">
        <v>942</v>
      </c>
      <c r="G714" s="60">
        <v>803</v>
      </c>
      <c r="H714" s="81">
        <v>966</v>
      </c>
      <c r="I714" s="86" t="s">
        <v>110</v>
      </c>
      <c r="J714" s="81">
        <v>966</v>
      </c>
      <c r="K714" s="86" t="s">
        <v>110</v>
      </c>
      <c r="L714" s="81">
        <v>159</v>
      </c>
      <c r="M714" s="86" t="s">
        <v>110</v>
      </c>
      <c r="N714" s="81">
        <v>144318</v>
      </c>
      <c r="O714" s="86" t="s">
        <v>110</v>
      </c>
      <c r="P714" s="89">
        <f t="shared" si="34"/>
        <v>159</v>
      </c>
      <c r="Q714" s="89">
        <f t="shared" si="35"/>
        <v>144318</v>
      </c>
      <c r="R714" s="96" t="s">
        <v>94</v>
      </c>
      <c r="S714" s="96" t="s">
        <v>255</v>
      </c>
      <c r="T714" s="96" t="s">
        <v>94</v>
      </c>
      <c r="U714" s="96" t="s">
        <v>136</v>
      </c>
      <c r="V714" s="96" t="s">
        <v>766</v>
      </c>
      <c r="W714" s="96" t="s">
        <v>767</v>
      </c>
      <c r="X714" s="96" t="s">
        <v>169</v>
      </c>
      <c r="Y714" s="96" t="s">
        <v>110</v>
      </c>
      <c r="Z714" s="96" t="s">
        <v>943</v>
      </c>
      <c r="AA714" s="96" t="s">
        <v>944</v>
      </c>
      <c r="AB714" s="96" t="s">
        <v>110</v>
      </c>
      <c r="AC714" s="96" t="s">
        <v>945</v>
      </c>
      <c r="AD714" s="96" t="s">
        <v>946</v>
      </c>
      <c r="AE714" s="96" t="s">
        <v>947</v>
      </c>
      <c r="AF714" s="96" t="s">
        <v>948</v>
      </c>
      <c r="AG714" s="96" t="s">
        <v>110</v>
      </c>
      <c r="AH714" s="96">
        <v>2089</v>
      </c>
      <c r="AI714" s="96" t="s">
        <v>949</v>
      </c>
      <c r="AJ714" s="96" t="s">
        <v>950</v>
      </c>
      <c r="AK714" s="27" t="s">
        <v>110</v>
      </c>
    </row>
    <row r="715" spans="1:37">
      <c r="A715" s="70">
        <v>710</v>
      </c>
      <c r="B715" s="70">
        <f t="shared" si="33"/>
        <v>0</v>
      </c>
      <c r="C715" s="71"/>
      <c r="D715" s="59" t="s">
        <v>1024</v>
      </c>
      <c r="E715" s="60">
        <v>14266</v>
      </c>
      <c r="F715" s="10" t="s">
        <v>890</v>
      </c>
      <c r="G715" s="60">
        <v>802</v>
      </c>
      <c r="H715" s="81">
        <v>600</v>
      </c>
      <c r="I715" s="86">
        <v>400</v>
      </c>
      <c r="J715" s="81">
        <v>600</v>
      </c>
      <c r="K715" s="86">
        <v>400</v>
      </c>
      <c r="L715" s="81">
        <v>157</v>
      </c>
      <c r="M715" s="86">
        <v>140</v>
      </c>
      <c r="N715" s="81">
        <v>147033</v>
      </c>
      <c r="O715" s="86">
        <v>149433</v>
      </c>
      <c r="P715" s="89">
        <f t="shared" si="34"/>
        <v>148.5</v>
      </c>
      <c r="Q715" s="89">
        <f t="shared" si="35"/>
        <v>148233</v>
      </c>
      <c r="R715" s="96" t="s">
        <v>94</v>
      </c>
      <c r="S715" s="96" t="s">
        <v>124</v>
      </c>
      <c r="T715" s="96" t="s">
        <v>94</v>
      </c>
      <c r="U715" s="96" t="s">
        <v>136</v>
      </c>
      <c r="V715" s="96" t="s">
        <v>766</v>
      </c>
      <c r="W715" s="96" t="s">
        <v>767</v>
      </c>
      <c r="X715" s="96" t="s">
        <v>98</v>
      </c>
      <c r="Y715" s="96" t="s">
        <v>110</v>
      </c>
      <c r="Z715" s="96" t="s">
        <v>110</v>
      </c>
      <c r="AA715" s="96" t="s">
        <v>891</v>
      </c>
      <c r="AB715" s="96" t="s">
        <v>892</v>
      </c>
      <c r="AC715" s="96" t="s">
        <v>893</v>
      </c>
      <c r="AD715" s="96" t="s">
        <v>894</v>
      </c>
      <c r="AE715" s="96" t="s">
        <v>895</v>
      </c>
      <c r="AF715" s="96" t="s">
        <v>896</v>
      </c>
      <c r="AG715" s="96" t="s">
        <v>110</v>
      </c>
      <c r="AH715" s="96">
        <v>2458</v>
      </c>
      <c r="AI715" s="96" t="s">
        <v>897</v>
      </c>
      <c r="AJ715" s="96" t="s">
        <v>898</v>
      </c>
      <c r="AK715" s="27" t="s">
        <v>110</v>
      </c>
    </row>
    <row r="716" spans="1:37">
      <c r="A716" s="70">
        <v>711</v>
      </c>
      <c r="B716" s="70">
        <f t="shared" si="33"/>
        <v>0</v>
      </c>
      <c r="C716" s="71"/>
      <c r="D716" s="59" t="s">
        <v>1024</v>
      </c>
      <c r="E716" s="60">
        <v>12749</v>
      </c>
      <c r="F716" s="10" t="s">
        <v>862</v>
      </c>
      <c r="G716" s="60">
        <v>802</v>
      </c>
      <c r="H716" s="81">
        <v>45</v>
      </c>
      <c r="I716" s="86">
        <v>50</v>
      </c>
      <c r="J716" s="81">
        <v>45</v>
      </c>
      <c r="K716" s="86">
        <v>50</v>
      </c>
      <c r="L716" s="81">
        <v>170</v>
      </c>
      <c r="M716" s="86">
        <v>127</v>
      </c>
      <c r="N716" s="81">
        <v>130479</v>
      </c>
      <c r="O716" s="86">
        <v>166647</v>
      </c>
      <c r="P716" s="89">
        <f t="shared" si="34"/>
        <v>148.5</v>
      </c>
      <c r="Q716" s="89">
        <f t="shared" si="35"/>
        <v>148563</v>
      </c>
      <c r="R716" s="96" t="s">
        <v>94</v>
      </c>
      <c r="S716" s="96" t="s">
        <v>124</v>
      </c>
      <c r="T716" s="96" t="s">
        <v>94</v>
      </c>
      <c r="U716" s="96" t="s">
        <v>136</v>
      </c>
      <c r="V716" s="96" t="s">
        <v>766</v>
      </c>
      <c r="W716" s="96" t="s">
        <v>767</v>
      </c>
      <c r="X716" s="96" t="s">
        <v>98</v>
      </c>
      <c r="Y716" s="96" t="s">
        <v>110</v>
      </c>
      <c r="Z716" s="96" t="s">
        <v>797</v>
      </c>
      <c r="AA716" s="96" t="s">
        <v>863</v>
      </c>
      <c r="AB716" s="96" t="s">
        <v>864</v>
      </c>
      <c r="AC716" s="96" t="s">
        <v>865</v>
      </c>
      <c r="AD716" s="96" t="s">
        <v>866</v>
      </c>
      <c r="AE716" s="96" t="s">
        <v>867</v>
      </c>
      <c r="AF716" s="96" t="s">
        <v>868</v>
      </c>
      <c r="AG716" s="96" t="s">
        <v>110</v>
      </c>
      <c r="AH716" s="96">
        <v>1622</v>
      </c>
      <c r="AI716" s="96" t="s">
        <v>869</v>
      </c>
      <c r="AJ716" s="96" t="s">
        <v>870</v>
      </c>
      <c r="AK716" s="27" t="s">
        <v>110</v>
      </c>
    </row>
    <row r="717" spans="1:37">
      <c r="A717" s="70">
        <v>712</v>
      </c>
      <c r="B717" s="70">
        <f t="shared" si="33"/>
        <v>0</v>
      </c>
      <c r="C717" s="71"/>
      <c r="D717" s="59" t="s">
        <v>1024</v>
      </c>
      <c r="E717" s="60">
        <v>13715</v>
      </c>
      <c r="F717" s="10" t="s">
        <v>834</v>
      </c>
      <c r="G717" s="60">
        <v>802</v>
      </c>
      <c r="H717" s="81">
        <v>72</v>
      </c>
      <c r="I717" s="86">
        <v>45</v>
      </c>
      <c r="J717" s="81">
        <v>72</v>
      </c>
      <c r="K717" s="86">
        <v>45</v>
      </c>
      <c r="L717" s="81">
        <v>158</v>
      </c>
      <c r="M717" s="86">
        <v>137</v>
      </c>
      <c r="N717" s="81">
        <v>144955</v>
      </c>
      <c r="O717" s="86">
        <v>153448</v>
      </c>
      <c r="P717" s="89">
        <f t="shared" si="34"/>
        <v>147.5</v>
      </c>
      <c r="Q717" s="89">
        <f t="shared" si="35"/>
        <v>149201.5</v>
      </c>
      <c r="R717" s="96" t="s">
        <v>94</v>
      </c>
      <c r="S717" s="96" t="s">
        <v>124</v>
      </c>
      <c r="T717" s="96" t="s">
        <v>94</v>
      </c>
      <c r="U717" s="96" t="s">
        <v>136</v>
      </c>
      <c r="V717" s="96" t="s">
        <v>766</v>
      </c>
      <c r="W717" s="96" t="s">
        <v>767</v>
      </c>
      <c r="X717" s="96" t="s">
        <v>98</v>
      </c>
      <c r="Y717" s="96" t="s">
        <v>382</v>
      </c>
      <c r="Z717" s="96" t="s">
        <v>797</v>
      </c>
      <c r="AA717" s="96" t="s">
        <v>835</v>
      </c>
      <c r="AB717" s="96" t="s">
        <v>836</v>
      </c>
      <c r="AC717" s="96" t="s">
        <v>837</v>
      </c>
      <c r="AD717" s="96" t="s">
        <v>838</v>
      </c>
      <c r="AE717" s="96" t="s">
        <v>839</v>
      </c>
      <c r="AF717" s="96" t="s">
        <v>840</v>
      </c>
      <c r="AG717" s="96" t="s">
        <v>110</v>
      </c>
      <c r="AH717" s="96">
        <v>1947</v>
      </c>
      <c r="AI717" s="96" t="s">
        <v>841</v>
      </c>
      <c r="AJ717" s="96" t="s">
        <v>842</v>
      </c>
      <c r="AK717" s="27" t="s">
        <v>110</v>
      </c>
    </row>
    <row r="718" spans="1:37">
      <c r="A718" s="70">
        <v>713</v>
      </c>
      <c r="B718" s="70">
        <f t="shared" si="33"/>
        <v>0</v>
      </c>
      <c r="C718" s="71"/>
      <c r="D718" s="59" t="s">
        <v>1024</v>
      </c>
      <c r="E718" s="60">
        <v>13927</v>
      </c>
      <c r="F718" s="10" t="s">
        <v>961</v>
      </c>
      <c r="G718" s="60">
        <v>802</v>
      </c>
      <c r="H718" s="81">
        <v>785</v>
      </c>
      <c r="I718" s="86" t="s">
        <v>110</v>
      </c>
      <c r="J718" s="81">
        <v>785</v>
      </c>
      <c r="K718" s="86" t="s">
        <v>110</v>
      </c>
      <c r="L718" s="81">
        <v>155</v>
      </c>
      <c r="M718" s="86" t="s">
        <v>110</v>
      </c>
      <c r="N718" s="81">
        <v>149262</v>
      </c>
      <c r="O718" s="86" t="s">
        <v>110</v>
      </c>
      <c r="P718" s="89">
        <f t="shared" si="34"/>
        <v>155</v>
      </c>
      <c r="Q718" s="89">
        <f t="shared" si="35"/>
        <v>149262</v>
      </c>
      <c r="R718" s="96" t="s">
        <v>94</v>
      </c>
      <c r="S718" s="96" t="s">
        <v>124</v>
      </c>
      <c r="T718" s="96" t="s">
        <v>94</v>
      </c>
      <c r="U718" s="96" t="s">
        <v>136</v>
      </c>
      <c r="V718" s="96" t="s">
        <v>766</v>
      </c>
      <c r="W718" s="96" t="s">
        <v>767</v>
      </c>
      <c r="X718" s="96" t="s">
        <v>98</v>
      </c>
      <c r="Y718" s="96" t="s">
        <v>110</v>
      </c>
      <c r="Z718" s="96" t="s">
        <v>797</v>
      </c>
      <c r="AA718" s="96" t="s">
        <v>962</v>
      </c>
      <c r="AB718" s="96" t="s">
        <v>963</v>
      </c>
      <c r="AC718" s="96" t="s">
        <v>964</v>
      </c>
      <c r="AD718" s="96" t="s">
        <v>965</v>
      </c>
      <c r="AE718" s="96" t="s">
        <v>966</v>
      </c>
      <c r="AF718" s="96" t="s">
        <v>967</v>
      </c>
      <c r="AG718" s="96" t="s">
        <v>110</v>
      </c>
      <c r="AH718" s="96">
        <v>2468</v>
      </c>
      <c r="AI718" s="96" t="s">
        <v>968</v>
      </c>
      <c r="AJ718" s="96" t="s">
        <v>969</v>
      </c>
      <c r="AK718" s="27" t="s">
        <v>110</v>
      </c>
    </row>
    <row r="719" spans="1:37">
      <c r="A719" s="70">
        <v>714</v>
      </c>
      <c r="B719" s="70">
        <f t="shared" si="33"/>
        <v>0</v>
      </c>
      <c r="C719" s="71"/>
      <c r="D719" s="59" t="s">
        <v>1024</v>
      </c>
      <c r="E719" s="60">
        <v>13927</v>
      </c>
      <c r="F719" s="10" t="s">
        <v>961</v>
      </c>
      <c r="G719" s="60">
        <v>801</v>
      </c>
      <c r="H719" s="81">
        <v>1715</v>
      </c>
      <c r="I719" s="86">
        <v>2300</v>
      </c>
      <c r="J719" s="81">
        <v>1715</v>
      </c>
      <c r="K719" s="86">
        <v>2300</v>
      </c>
      <c r="L719" s="81">
        <v>155</v>
      </c>
      <c r="M719" s="86">
        <v>140</v>
      </c>
      <c r="N719" s="81">
        <v>148517</v>
      </c>
      <c r="O719" s="86">
        <v>150106</v>
      </c>
      <c r="P719" s="89">
        <f t="shared" si="34"/>
        <v>147.5</v>
      </c>
      <c r="Q719" s="89">
        <f t="shared" si="35"/>
        <v>149311.5</v>
      </c>
      <c r="R719" s="96" t="s">
        <v>94</v>
      </c>
      <c r="S719" s="96" t="s">
        <v>124</v>
      </c>
      <c r="T719" s="96" t="s">
        <v>94</v>
      </c>
      <c r="U719" s="96" t="s">
        <v>136</v>
      </c>
      <c r="V719" s="96" t="s">
        <v>766</v>
      </c>
      <c r="W719" s="96" t="s">
        <v>767</v>
      </c>
      <c r="X719" s="96" t="s">
        <v>98</v>
      </c>
      <c r="Y719" s="96" t="s">
        <v>110</v>
      </c>
      <c r="Z719" s="96" t="s">
        <v>797</v>
      </c>
      <c r="AA719" s="96" t="s">
        <v>962</v>
      </c>
      <c r="AB719" s="96" t="s">
        <v>963</v>
      </c>
      <c r="AC719" s="96" t="s">
        <v>964</v>
      </c>
      <c r="AD719" s="96" t="s">
        <v>965</v>
      </c>
      <c r="AE719" s="96" t="s">
        <v>966</v>
      </c>
      <c r="AF719" s="96" t="s">
        <v>967</v>
      </c>
      <c r="AG719" s="96" t="s">
        <v>110</v>
      </c>
      <c r="AH719" s="96">
        <v>2468</v>
      </c>
      <c r="AI719" s="96" t="s">
        <v>968</v>
      </c>
      <c r="AJ719" s="96" t="s">
        <v>969</v>
      </c>
      <c r="AK719" s="27" t="s">
        <v>110</v>
      </c>
    </row>
    <row r="720" spans="1:37">
      <c r="A720" s="70">
        <v>715</v>
      </c>
      <c r="B720" s="70">
        <f t="shared" si="33"/>
        <v>0</v>
      </c>
      <c r="C720" s="71"/>
      <c r="D720" s="59" t="s">
        <v>1024</v>
      </c>
      <c r="E720" s="60">
        <v>14265</v>
      </c>
      <c r="F720" s="10" t="s">
        <v>916</v>
      </c>
      <c r="G720" s="60">
        <v>802</v>
      </c>
      <c r="H720" s="81">
        <v>450</v>
      </c>
      <c r="I720" s="86" t="s">
        <v>110</v>
      </c>
      <c r="J720" s="81">
        <v>450</v>
      </c>
      <c r="K720" s="86" t="s">
        <v>110</v>
      </c>
      <c r="L720" s="81">
        <v>155</v>
      </c>
      <c r="M720" s="86" t="s">
        <v>110</v>
      </c>
      <c r="N720" s="81">
        <v>149500</v>
      </c>
      <c r="O720" s="86" t="s">
        <v>110</v>
      </c>
      <c r="P720" s="89">
        <f t="shared" si="34"/>
        <v>155</v>
      </c>
      <c r="Q720" s="89">
        <f t="shared" si="35"/>
        <v>149500</v>
      </c>
      <c r="R720" s="96" t="s">
        <v>94</v>
      </c>
      <c r="S720" s="96" t="s">
        <v>237</v>
      </c>
      <c r="T720" s="96" t="s">
        <v>94</v>
      </c>
      <c r="U720" s="96" t="s">
        <v>136</v>
      </c>
      <c r="V720" s="96" t="s">
        <v>766</v>
      </c>
      <c r="W720" s="96" t="s">
        <v>767</v>
      </c>
      <c r="X720" s="96" t="s">
        <v>147</v>
      </c>
      <c r="Y720" s="96" t="s">
        <v>110</v>
      </c>
      <c r="Z720" s="96" t="s">
        <v>797</v>
      </c>
      <c r="AA720" s="96" t="s">
        <v>917</v>
      </c>
      <c r="AB720" s="96" t="s">
        <v>110</v>
      </c>
      <c r="AC720" s="96" t="s">
        <v>918</v>
      </c>
      <c r="AD720" s="96" t="s">
        <v>919</v>
      </c>
      <c r="AE720" s="96" t="s">
        <v>920</v>
      </c>
      <c r="AF720" s="96" t="s">
        <v>921</v>
      </c>
      <c r="AG720" s="96" t="s">
        <v>110</v>
      </c>
      <c r="AH720" s="96">
        <v>2448</v>
      </c>
      <c r="AI720" s="96" t="s">
        <v>922</v>
      </c>
      <c r="AJ720" s="96" t="s">
        <v>923</v>
      </c>
      <c r="AK720" s="27" t="s">
        <v>110</v>
      </c>
    </row>
    <row r="721" spans="1:37">
      <c r="A721" s="70">
        <v>716</v>
      </c>
      <c r="B721" s="70">
        <f t="shared" si="33"/>
        <v>0</v>
      </c>
      <c r="C721" s="71"/>
      <c r="D721" s="59" t="s">
        <v>1024</v>
      </c>
      <c r="E721" s="60">
        <v>13716</v>
      </c>
      <c r="F721" s="10" t="s">
        <v>980</v>
      </c>
      <c r="G721" s="60">
        <v>802</v>
      </c>
      <c r="H721" s="81">
        <v>340</v>
      </c>
      <c r="I721" s="86">
        <v>60</v>
      </c>
      <c r="J721" s="81">
        <v>340</v>
      </c>
      <c r="K721" s="86">
        <v>60</v>
      </c>
      <c r="L721" s="81">
        <v>168</v>
      </c>
      <c r="M721" s="86">
        <v>126</v>
      </c>
      <c r="N721" s="81">
        <v>132513</v>
      </c>
      <c r="O721" s="86">
        <v>167418</v>
      </c>
      <c r="P721" s="89">
        <f t="shared" si="34"/>
        <v>147</v>
      </c>
      <c r="Q721" s="89">
        <f t="shared" si="35"/>
        <v>149965.5</v>
      </c>
      <c r="R721" s="96" t="s">
        <v>94</v>
      </c>
      <c r="S721" s="96" t="s">
        <v>124</v>
      </c>
      <c r="T721" s="96" t="s">
        <v>94</v>
      </c>
      <c r="U721" s="96" t="s">
        <v>136</v>
      </c>
      <c r="V721" s="96" t="s">
        <v>766</v>
      </c>
      <c r="W721" s="96" t="s">
        <v>767</v>
      </c>
      <c r="X721" s="96" t="s">
        <v>98</v>
      </c>
      <c r="Y721" s="96" t="s">
        <v>382</v>
      </c>
      <c r="Z721" s="96" t="s">
        <v>110</v>
      </c>
      <c r="AA721" s="96" t="s">
        <v>981</v>
      </c>
      <c r="AB721" s="96" t="s">
        <v>982</v>
      </c>
      <c r="AC721" s="96" t="s">
        <v>983</v>
      </c>
      <c r="AD721" s="96" t="s">
        <v>984</v>
      </c>
      <c r="AE721" s="96" t="s">
        <v>985</v>
      </c>
      <c r="AF721" s="96" t="s">
        <v>986</v>
      </c>
      <c r="AG721" s="96" t="s">
        <v>987</v>
      </c>
      <c r="AH721" s="96">
        <v>2075</v>
      </c>
      <c r="AI721" s="96" t="s">
        <v>988</v>
      </c>
      <c r="AJ721" s="96" t="s">
        <v>989</v>
      </c>
      <c r="AK721" s="27" t="s">
        <v>110</v>
      </c>
    </row>
    <row r="722" spans="1:37">
      <c r="A722" s="70">
        <v>717</v>
      </c>
      <c r="B722" s="70">
        <f t="shared" si="33"/>
        <v>0</v>
      </c>
      <c r="C722" s="71"/>
      <c r="D722" s="59" t="s">
        <v>1024</v>
      </c>
      <c r="E722" s="60">
        <v>13715</v>
      </c>
      <c r="F722" s="10" t="s">
        <v>834</v>
      </c>
      <c r="G722" s="60">
        <v>803</v>
      </c>
      <c r="H722" s="81">
        <v>82</v>
      </c>
      <c r="I722" s="86">
        <v>65</v>
      </c>
      <c r="J722" s="81">
        <v>82</v>
      </c>
      <c r="K722" s="86">
        <v>65</v>
      </c>
      <c r="L722" s="81">
        <v>161</v>
      </c>
      <c r="M722" s="86">
        <v>133</v>
      </c>
      <c r="N722" s="81">
        <v>141786</v>
      </c>
      <c r="O722" s="86">
        <v>159564</v>
      </c>
      <c r="P722" s="89">
        <f t="shared" si="34"/>
        <v>147</v>
      </c>
      <c r="Q722" s="89">
        <f t="shared" si="35"/>
        <v>150675</v>
      </c>
      <c r="R722" s="96" t="s">
        <v>94</v>
      </c>
      <c r="S722" s="96" t="s">
        <v>124</v>
      </c>
      <c r="T722" s="96" t="s">
        <v>94</v>
      </c>
      <c r="U722" s="96" t="s">
        <v>136</v>
      </c>
      <c r="V722" s="96" t="s">
        <v>766</v>
      </c>
      <c r="W722" s="96" t="s">
        <v>767</v>
      </c>
      <c r="X722" s="96" t="s">
        <v>98</v>
      </c>
      <c r="Y722" s="96" t="s">
        <v>382</v>
      </c>
      <c r="Z722" s="96" t="s">
        <v>797</v>
      </c>
      <c r="AA722" s="96" t="s">
        <v>835</v>
      </c>
      <c r="AB722" s="96" t="s">
        <v>836</v>
      </c>
      <c r="AC722" s="96" t="s">
        <v>837</v>
      </c>
      <c r="AD722" s="96" t="s">
        <v>838</v>
      </c>
      <c r="AE722" s="96" t="s">
        <v>839</v>
      </c>
      <c r="AF722" s="96" t="s">
        <v>840</v>
      </c>
      <c r="AG722" s="96" t="s">
        <v>110</v>
      </c>
      <c r="AH722" s="96">
        <v>1947</v>
      </c>
      <c r="AI722" s="96" t="s">
        <v>841</v>
      </c>
      <c r="AJ722" s="96" t="s">
        <v>842</v>
      </c>
      <c r="AK722" s="27" t="s">
        <v>110</v>
      </c>
    </row>
    <row r="723" spans="1:37">
      <c r="A723" s="70">
        <v>718</v>
      </c>
      <c r="B723" s="70">
        <f t="shared" si="33"/>
        <v>0</v>
      </c>
      <c r="C723" s="71"/>
      <c r="D723" s="59" t="s">
        <v>1024</v>
      </c>
      <c r="E723" s="60">
        <v>14362</v>
      </c>
      <c r="F723" s="10" t="s">
        <v>1006</v>
      </c>
      <c r="G723" s="60">
        <v>801</v>
      </c>
      <c r="H723" s="81">
        <v>560</v>
      </c>
      <c r="I723" s="86">
        <v>1199</v>
      </c>
      <c r="J723" s="81">
        <v>560</v>
      </c>
      <c r="K723" s="86">
        <v>1200</v>
      </c>
      <c r="L723" s="81">
        <v>154</v>
      </c>
      <c r="M723" s="86">
        <v>135</v>
      </c>
      <c r="N723" s="81">
        <v>149792</v>
      </c>
      <c r="O723" s="86">
        <v>156722</v>
      </c>
      <c r="P723" s="89">
        <f t="shared" si="34"/>
        <v>144.5</v>
      </c>
      <c r="Q723" s="89">
        <f t="shared" si="35"/>
        <v>153257</v>
      </c>
      <c r="R723" s="96" t="s">
        <v>94</v>
      </c>
      <c r="S723" s="96" t="s">
        <v>124</v>
      </c>
      <c r="T723" s="96" t="s">
        <v>94</v>
      </c>
      <c r="U723" s="96" t="s">
        <v>136</v>
      </c>
      <c r="V723" s="96" t="s">
        <v>766</v>
      </c>
      <c r="W723" s="96" t="s">
        <v>767</v>
      </c>
      <c r="X723" s="96" t="s">
        <v>98</v>
      </c>
      <c r="Y723" s="96" t="s">
        <v>110</v>
      </c>
      <c r="Z723" s="96" t="s">
        <v>797</v>
      </c>
      <c r="AA723" s="96" t="s">
        <v>1007</v>
      </c>
      <c r="AB723" s="96" t="s">
        <v>110</v>
      </c>
      <c r="AC723" s="96" t="s">
        <v>1008</v>
      </c>
      <c r="AD723" s="96" t="s">
        <v>1009</v>
      </c>
      <c r="AE723" s="96" t="s">
        <v>1010</v>
      </c>
      <c r="AF723" s="96" t="s">
        <v>1011</v>
      </c>
      <c r="AG723" s="96" t="s">
        <v>1012</v>
      </c>
      <c r="AH723" s="96">
        <v>2379</v>
      </c>
      <c r="AI723" s="96" t="s">
        <v>1013</v>
      </c>
      <c r="AJ723" s="96" t="s">
        <v>1014</v>
      </c>
      <c r="AK723" s="27" t="s">
        <v>110</v>
      </c>
    </row>
    <row r="724" spans="1:37">
      <c r="A724" s="70">
        <v>719</v>
      </c>
      <c r="B724" s="70">
        <f t="shared" si="33"/>
        <v>0</v>
      </c>
      <c r="C724" s="71"/>
      <c r="D724" s="59" t="s">
        <v>1024</v>
      </c>
      <c r="E724" s="60">
        <v>14761</v>
      </c>
      <c r="F724" s="10" t="s">
        <v>908</v>
      </c>
      <c r="G724" s="60">
        <v>804</v>
      </c>
      <c r="H724" s="81">
        <v>60</v>
      </c>
      <c r="I724" s="86" t="s">
        <v>110</v>
      </c>
      <c r="J724" s="81">
        <v>60</v>
      </c>
      <c r="K724" s="86" t="s">
        <v>110</v>
      </c>
      <c r="L724" s="81">
        <v>152</v>
      </c>
      <c r="M724" s="86" t="s">
        <v>110</v>
      </c>
      <c r="N724" s="81">
        <v>153328</v>
      </c>
      <c r="O724" s="86" t="s">
        <v>110</v>
      </c>
      <c r="P724" s="89">
        <f t="shared" si="34"/>
        <v>152</v>
      </c>
      <c r="Q724" s="89">
        <f t="shared" si="35"/>
        <v>153328</v>
      </c>
      <c r="R724" s="96" t="s">
        <v>94</v>
      </c>
      <c r="S724" s="96" t="s">
        <v>145</v>
      </c>
      <c r="T724" s="96" t="s">
        <v>94</v>
      </c>
      <c r="U724" s="96" t="s">
        <v>136</v>
      </c>
      <c r="V724" s="96" t="s">
        <v>766</v>
      </c>
      <c r="W724" s="96" t="s">
        <v>767</v>
      </c>
      <c r="X724" s="96" t="s">
        <v>147</v>
      </c>
      <c r="Y724" s="96" t="s">
        <v>382</v>
      </c>
      <c r="Z724" s="96" t="s">
        <v>110</v>
      </c>
      <c r="AA724" s="96" t="s">
        <v>909</v>
      </c>
      <c r="AB724" s="96" t="s">
        <v>110</v>
      </c>
      <c r="AC724" s="96" t="s">
        <v>910</v>
      </c>
      <c r="AD724" s="96" t="s">
        <v>911</v>
      </c>
      <c r="AE724" s="96" t="s">
        <v>912</v>
      </c>
      <c r="AF724" s="96" t="s">
        <v>913</v>
      </c>
      <c r="AG724" s="96" t="s">
        <v>110</v>
      </c>
      <c r="AH724" s="96">
        <v>2690</v>
      </c>
      <c r="AI724" s="96" t="s">
        <v>914</v>
      </c>
      <c r="AJ724" s="96" t="s">
        <v>915</v>
      </c>
      <c r="AK724" s="27" t="s">
        <v>110</v>
      </c>
    </row>
    <row r="725" spans="1:37">
      <c r="A725" s="70">
        <v>720</v>
      </c>
      <c r="B725" s="70">
        <f t="shared" si="33"/>
        <v>0</v>
      </c>
      <c r="C725" s="71"/>
      <c r="D725" s="59" t="s">
        <v>1024</v>
      </c>
      <c r="E725" s="60">
        <v>14362</v>
      </c>
      <c r="F725" s="10" t="s">
        <v>1006</v>
      </c>
      <c r="G725" s="60">
        <v>802</v>
      </c>
      <c r="H725" s="81">
        <v>400</v>
      </c>
      <c r="I725" s="86" t="s">
        <v>110</v>
      </c>
      <c r="J725" s="81">
        <v>400</v>
      </c>
      <c r="K725" s="86" t="s">
        <v>110</v>
      </c>
      <c r="L725" s="81">
        <v>150</v>
      </c>
      <c r="M725" s="86" t="s">
        <v>110</v>
      </c>
      <c r="N725" s="81">
        <v>155109</v>
      </c>
      <c r="O725" s="86" t="s">
        <v>110</v>
      </c>
      <c r="P725" s="89">
        <f t="shared" si="34"/>
        <v>150</v>
      </c>
      <c r="Q725" s="89">
        <f t="shared" si="35"/>
        <v>155109</v>
      </c>
      <c r="R725" s="96" t="s">
        <v>94</v>
      </c>
      <c r="S725" s="96" t="s">
        <v>124</v>
      </c>
      <c r="T725" s="96" t="s">
        <v>94</v>
      </c>
      <c r="U725" s="96" t="s">
        <v>136</v>
      </c>
      <c r="V725" s="96" t="s">
        <v>766</v>
      </c>
      <c r="W725" s="96" t="s">
        <v>767</v>
      </c>
      <c r="X725" s="96" t="s">
        <v>98</v>
      </c>
      <c r="Y725" s="96" t="s">
        <v>110</v>
      </c>
      <c r="Z725" s="96" t="s">
        <v>797</v>
      </c>
      <c r="AA725" s="96" t="s">
        <v>1007</v>
      </c>
      <c r="AB725" s="96" t="s">
        <v>110</v>
      </c>
      <c r="AC725" s="96" t="s">
        <v>1008</v>
      </c>
      <c r="AD725" s="96" t="s">
        <v>1009</v>
      </c>
      <c r="AE725" s="96" t="s">
        <v>1010</v>
      </c>
      <c r="AF725" s="96" t="s">
        <v>1011</v>
      </c>
      <c r="AG725" s="96" t="s">
        <v>1012</v>
      </c>
      <c r="AH725" s="96">
        <v>2379</v>
      </c>
      <c r="AI725" s="96" t="s">
        <v>1013</v>
      </c>
      <c r="AJ725" s="96" t="s">
        <v>1014</v>
      </c>
      <c r="AK725" s="27" t="s">
        <v>110</v>
      </c>
    </row>
    <row r="726" spans="1:37">
      <c r="A726" s="70">
        <v>721</v>
      </c>
      <c r="B726" s="70">
        <f t="shared" si="33"/>
        <v>0</v>
      </c>
      <c r="C726" s="71"/>
      <c r="D726" s="59" t="s">
        <v>1024</v>
      </c>
      <c r="E726" s="60">
        <v>14761</v>
      </c>
      <c r="F726" s="10" t="s">
        <v>908</v>
      </c>
      <c r="G726" s="60">
        <v>805</v>
      </c>
      <c r="H726" s="81">
        <v>30</v>
      </c>
      <c r="I726" s="86" t="s">
        <v>110</v>
      </c>
      <c r="J726" s="81">
        <v>30</v>
      </c>
      <c r="K726" s="86" t="s">
        <v>110</v>
      </c>
      <c r="L726" s="81">
        <v>149</v>
      </c>
      <c r="M726" s="86" t="s">
        <v>110</v>
      </c>
      <c r="N726" s="81">
        <v>156049</v>
      </c>
      <c r="O726" s="86" t="s">
        <v>110</v>
      </c>
      <c r="P726" s="89">
        <f t="shared" si="34"/>
        <v>149</v>
      </c>
      <c r="Q726" s="89">
        <f t="shared" si="35"/>
        <v>156049</v>
      </c>
      <c r="R726" s="96" t="s">
        <v>94</v>
      </c>
      <c r="S726" s="96" t="s">
        <v>145</v>
      </c>
      <c r="T726" s="96" t="s">
        <v>94</v>
      </c>
      <c r="U726" s="96" t="s">
        <v>136</v>
      </c>
      <c r="V726" s="96" t="s">
        <v>766</v>
      </c>
      <c r="W726" s="96" t="s">
        <v>767</v>
      </c>
      <c r="X726" s="96" t="s">
        <v>147</v>
      </c>
      <c r="Y726" s="96" t="s">
        <v>382</v>
      </c>
      <c r="Z726" s="96" t="s">
        <v>110</v>
      </c>
      <c r="AA726" s="96" t="s">
        <v>909</v>
      </c>
      <c r="AB726" s="96" t="s">
        <v>110</v>
      </c>
      <c r="AC726" s="96" t="s">
        <v>910</v>
      </c>
      <c r="AD726" s="96" t="s">
        <v>911</v>
      </c>
      <c r="AE726" s="96" t="s">
        <v>912</v>
      </c>
      <c r="AF726" s="96" t="s">
        <v>913</v>
      </c>
      <c r="AG726" s="96" t="s">
        <v>110</v>
      </c>
      <c r="AH726" s="96">
        <v>2690</v>
      </c>
      <c r="AI726" s="96" t="s">
        <v>914</v>
      </c>
      <c r="AJ726" s="96" t="s">
        <v>915</v>
      </c>
      <c r="AK726" s="27" t="s">
        <v>110</v>
      </c>
    </row>
    <row r="727" spans="1:37">
      <c r="A727" s="70">
        <v>722</v>
      </c>
      <c r="B727" s="70">
        <f t="shared" si="33"/>
        <v>0</v>
      </c>
      <c r="C727" s="71"/>
      <c r="D727" s="59" t="s">
        <v>1024</v>
      </c>
      <c r="E727" s="60">
        <v>14266</v>
      </c>
      <c r="F727" s="10" t="s">
        <v>890</v>
      </c>
      <c r="G727" s="60">
        <v>804</v>
      </c>
      <c r="H727" s="81">
        <v>1700</v>
      </c>
      <c r="I727" s="86" t="s">
        <v>110</v>
      </c>
      <c r="J727" s="81">
        <v>1700</v>
      </c>
      <c r="K727" s="86" t="s">
        <v>110</v>
      </c>
      <c r="L727" s="81">
        <v>148</v>
      </c>
      <c r="M727" s="86" t="s">
        <v>110</v>
      </c>
      <c r="N727" s="81">
        <v>158005</v>
      </c>
      <c r="O727" s="86" t="s">
        <v>110</v>
      </c>
      <c r="P727" s="89">
        <f t="shared" si="34"/>
        <v>148</v>
      </c>
      <c r="Q727" s="89">
        <f t="shared" si="35"/>
        <v>158005</v>
      </c>
      <c r="R727" s="96" t="s">
        <v>94</v>
      </c>
      <c r="S727" s="96" t="s">
        <v>124</v>
      </c>
      <c r="T727" s="96" t="s">
        <v>94</v>
      </c>
      <c r="U727" s="96" t="s">
        <v>136</v>
      </c>
      <c r="V727" s="96" t="s">
        <v>766</v>
      </c>
      <c r="W727" s="96" t="s">
        <v>767</v>
      </c>
      <c r="X727" s="96" t="s">
        <v>98</v>
      </c>
      <c r="Y727" s="96" t="s">
        <v>110</v>
      </c>
      <c r="Z727" s="96" t="s">
        <v>110</v>
      </c>
      <c r="AA727" s="96" t="s">
        <v>891</v>
      </c>
      <c r="AB727" s="96" t="s">
        <v>892</v>
      </c>
      <c r="AC727" s="96" t="s">
        <v>893</v>
      </c>
      <c r="AD727" s="96" t="s">
        <v>894</v>
      </c>
      <c r="AE727" s="96" t="s">
        <v>895</v>
      </c>
      <c r="AF727" s="96" t="s">
        <v>896</v>
      </c>
      <c r="AG727" s="96" t="s">
        <v>110</v>
      </c>
      <c r="AH727" s="96">
        <v>2458</v>
      </c>
      <c r="AI727" s="96" t="s">
        <v>897</v>
      </c>
      <c r="AJ727" s="96" t="s">
        <v>898</v>
      </c>
      <c r="AK727" s="27" t="s">
        <v>110</v>
      </c>
    </row>
    <row r="728" spans="1:37">
      <c r="A728" s="70">
        <v>723</v>
      </c>
      <c r="B728" s="70">
        <f t="shared" si="33"/>
        <v>0</v>
      </c>
      <c r="C728" s="71"/>
      <c r="D728" s="59" t="s">
        <v>1024</v>
      </c>
      <c r="E728" s="60">
        <v>14511</v>
      </c>
      <c r="F728" s="10" t="s">
        <v>990</v>
      </c>
      <c r="G728" s="60">
        <v>801</v>
      </c>
      <c r="H728" s="81">
        <v>810</v>
      </c>
      <c r="I728" s="86">
        <v>2110</v>
      </c>
      <c r="J728" s="81">
        <v>810</v>
      </c>
      <c r="K728" s="86">
        <v>1654</v>
      </c>
      <c r="L728" s="81">
        <v>163</v>
      </c>
      <c r="M728" s="86">
        <v>115</v>
      </c>
      <c r="N728" s="81">
        <v>138845</v>
      </c>
      <c r="O728" s="86">
        <v>178677</v>
      </c>
      <c r="P728" s="89">
        <f t="shared" si="34"/>
        <v>139</v>
      </c>
      <c r="Q728" s="89">
        <f t="shared" si="35"/>
        <v>158761</v>
      </c>
      <c r="R728" s="96" t="s">
        <v>94</v>
      </c>
      <c r="S728" s="96" t="s">
        <v>499</v>
      </c>
      <c r="T728" s="96" t="s">
        <v>94</v>
      </c>
      <c r="U728" s="96" t="s">
        <v>136</v>
      </c>
      <c r="V728" s="96" t="s">
        <v>766</v>
      </c>
      <c r="W728" s="96" t="s">
        <v>767</v>
      </c>
      <c r="X728" s="96" t="s">
        <v>500</v>
      </c>
      <c r="Y728" s="96" t="s">
        <v>225</v>
      </c>
      <c r="Z728" s="96" t="s">
        <v>797</v>
      </c>
      <c r="AA728" s="96" t="s">
        <v>991</v>
      </c>
      <c r="AB728" s="96" t="s">
        <v>110</v>
      </c>
      <c r="AC728" s="96" t="s">
        <v>992</v>
      </c>
      <c r="AD728" s="96" t="s">
        <v>993</v>
      </c>
      <c r="AE728" s="96" t="s">
        <v>994</v>
      </c>
      <c r="AF728" s="96" t="s">
        <v>995</v>
      </c>
      <c r="AG728" s="96" t="s">
        <v>110</v>
      </c>
      <c r="AH728" s="96">
        <v>2568</v>
      </c>
      <c r="AI728" s="96" t="s">
        <v>996</v>
      </c>
      <c r="AJ728" s="96" t="s">
        <v>997</v>
      </c>
      <c r="AK728" s="27" t="s">
        <v>110</v>
      </c>
    </row>
    <row r="729" spans="1:37">
      <c r="A729" s="70">
        <v>724</v>
      </c>
      <c r="B729" s="70">
        <f t="shared" si="33"/>
        <v>0</v>
      </c>
      <c r="C729" s="71"/>
      <c r="D729" s="59" t="s">
        <v>1024</v>
      </c>
      <c r="E729" s="60">
        <v>14511</v>
      </c>
      <c r="F729" s="10" t="s">
        <v>990</v>
      </c>
      <c r="G729" s="60">
        <v>802</v>
      </c>
      <c r="H729" s="81">
        <v>40</v>
      </c>
      <c r="I729" s="86" t="s">
        <v>110</v>
      </c>
      <c r="J729" s="81">
        <v>40</v>
      </c>
      <c r="K729" s="86" t="s">
        <v>110</v>
      </c>
      <c r="L729" s="81">
        <v>147</v>
      </c>
      <c r="M729" s="86" t="s">
        <v>110</v>
      </c>
      <c r="N729" s="81">
        <v>158772</v>
      </c>
      <c r="O729" s="86" t="s">
        <v>110</v>
      </c>
      <c r="P729" s="89">
        <f t="shared" si="34"/>
        <v>147</v>
      </c>
      <c r="Q729" s="89">
        <f t="shared" si="35"/>
        <v>158772</v>
      </c>
      <c r="R729" s="96" t="s">
        <v>94</v>
      </c>
      <c r="S729" s="96" t="s">
        <v>499</v>
      </c>
      <c r="T729" s="96" t="s">
        <v>94</v>
      </c>
      <c r="U729" s="96" t="s">
        <v>136</v>
      </c>
      <c r="V729" s="96" t="s">
        <v>766</v>
      </c>
      <c r="W729" s="96" t="s">
        <v>767</v>
      </c>
      <c r="X729" s="96" t="s">
        <v>500</v>
      </c>
      <c r="Y729" s="96" t="s">
        <v>225</v>
      </c>
      <c r="Z729" s="96" t="s">
        <v>797</v>
      </c>
      <c r="AA729" s="96" t="s">
        <v>991</v>
      </c>
      <c r="AB729" s="96" t="s">
        <v>110</v>
      </c>
      <c r="AC729" s="96" t="s">
        <v>992</v>
      </c>
      <c r="AD729" s="96" t="s">
        <v>993</v>
      </c>
      <c r="AE729" s="96" t="s">
        <v>994</v>
      </c>
      <c r="AF729" s="96" t="s">
        <v>995</v>
      </c>
      <c r="AG729" s="96" t="s">
        <v>110</v>
      </c>
      <c r="AH729" s="96">
        <v>2568</v>
      </c>
      <c r="AI729" s="96" t="s">
        <v>996</v>
      </c>
      <c r="AJ729" s="96" t="s">
        <v>997</v>
      </c>
      <c r="AK729" s="27" t="s">
        <v>110</v>
      </c>
    </row>
    <row r="730" spans="1:37">
      <c r="A730" s="70">
        <v>725</v>
      </c>
      <c r="B730" s="70">
        <f t="shared" si="33"/>
        <v>0</v>
      </c>
      <c r="C730" s="71"/>
      <c r="D730" s="59" t="s">
        <v>1024</v>
      </c>
      <c r="E730" s="60">
        <v>14761</v>
      </c>
      <c r="F730" s="10" t="s">
        <v>908</v>
      </c>
      <c r="G730" s="60">
        <v>806</v>
      </c>
      <c r="H730" s="81">
        <v>30</v>
      </c>
      <c r="I730" s="86" t="s">
        <v>110</v>
      </c>
      <c r="J730" s="81">
        <v>30</v>
      </c>
      <c r="K730" s="86" t="s">
        <v>110</v>
      </c>
      <c r="L730" s="81">
        <v>147</v>
      </c>
      <c r="M730" s="86" t="s">
        <v>110</v>
      </c>
      <c r="N730" s="81">
        <v>159487</v>
      </c>
      <c r="O730" s="86" t="s">
        <v>110</v>
      </c>
      <c r="P730" s="89">
        <f t="shared" si="34"/>
        <v>147</v>
      </c>
      <c r="Q730" s="89">
        <f t="shared" si="35"/>
        <v>159487</v>
      </c>
      <c r="R730" s="96" t="s">
        <v>94</v>
      </c>
      <c r="S730" s="96" t="s">
        <v>145</v>
      </c>
      <c r="T730" s="96" t="s">
        <v>94</v>
      </c>
      <c r="U730" s="96" t="s">
        <v>136</v>
      </c>
      <c r="V730" s="96" t="s">
        <v>766</v>
      </c>
      <c r="W730" s="96" t="s">
        <v>767</v>
      </c>
      <c r="X730" s="96" t="s">
        <v>147</v>
      </c>
      <c r="Y730" s="96" t="s">
        <v>382</v>
      </c>
      <c r="Z730" s="96" t="s">
        <v>110</v>
      </c>
      <c r="AA730" s="96" t="s">
        <v>909</v>
      </c>
      <c r="AB730" s="96" t="s">
        <v>110</v>
      </c>
      <c r="AC730" s="96" t="s">
        <v>910</v>
      </c>
      <c r="AD730" s="96" t="s">
        <v>911</v>
      </c>
      <c r="AE730" s="96" t="s">
        <v>912</v>
      </c>
      <c r="AF730" s="96" t="s">
        <v>913</v>
      </c>
      <c r="AG730" s="96" t="s">
        <v>110</v>
      </c>
      <c r="AH730" s="96">
        <v>2690</v>
      </c>
      <c r="AI730" s="96" t="s">
        <v>914</v>
      </c>
      <c r="AJ730" s="96" t="s">
        <v>915</v>
      </c>
      <c r="AK730" s="27" t="s">
        <v>110</v>
      </c>
    </row>
    <row r="731" spans="1:37">
      <c r="A731" s="70">
        <v>726</v>
      </c>
      <c r="B731" s="70">
        <f t="shared" si="33"/>
        <v>0</v>
      </c>
      <c r="C731" s="71"/>
      <c r="D731" s="59" t="s">
        <v>1024</v>
      </c>
      <c r="E731" s="60">
        <v>13715</v>
      </c>
      <c r="F731" s="10" t="s">
        <v>834</v>
      </c>
      <c r="G731" s="60">
        <v>806</v>
      </c>
      <c r="H731" s="81">
        <v>20</v>
      </c>
      <c r="I731" s="86" t="s">
        <v>110</v>
      </c>
      <c r="J731" s="81">
        <v>20</v>
      </c>
      <c r="K731" s="86" t="s">
        <v>110</v>
      </c>
      <c r="L731" s="81">
        <v>146</v>
      </c>
      <c r="M731" s="86" t="s">
        <v>110</v>
      </c>
      <c r="N731" s="81">
        <v>159699</v>
      </c>
      <c r="O731" s="86" t="s">
        <v>110</v>
      </c>
      <c r="P731" s="89">
        <f t="shared" si="34"/>
        <v>146</v>
      </c>
      <c r="Q731" s="89">
        <f t="shared" si="35"/>
        <v>159699</v>
      </c>
      <c r="R731" s="96" t="s">
        <v>94</v>
      </c>
      <c r="S731" s="96" t="s">
        <v>124</v>
      </c>
      <c r="T731" s="96" t="s">
        <v>94</v>
      </c>
      <c r="U731" s="96" t="s">
        <v>136</v>
      </c>
      <c r="V731" s="96" t="s">
        <v>766</v>
      </c>
      <c r="W731" s="96" t="s">
        <v>767</v>
      </c>
      <c r="X731" s="96" t="s">
        <v>98</v>
      </c>
      <c r="Y731" s="96" t="s">
        <v>382</v>
      </c>
      <c r="Z731" s="96" t="s">
        <v>797</v>
      </c>
      <c r="AA731" s="96" t="s">
        <v>835</v>
      </c>
      <c r="AB731" s="96" t="s">
        <v>836</v>
      </c>
      <c r="AC731" s="96" t="s">
        <v>837</v>
      </c>
      <c r="AD731" s="96" t="s">
        <v>838</v>
      </c>
      <c r="AE731" s="96" t="s">
        <v>839</v>
      </c>
      <c r="AF731" s="96" t="s">
        <v>840</v>
      </c>
      <c r="AG731" s="96" t="s">
        <v>110</v>
      </c>
      <c r="AH731" s="96">
        <v>1947</v>
      </c>
      <c r="AI731" s="96" t="s">
        <v>841</v>
      </c>
      <c r="AJ731" s="96" t="s">
        <v>842</v>
      </c>
      <c r="AK731" s="27" t="s">
        <v>110</v>
      </c>
    </row>
    <row r="732" spans="1:37">
      <c r="A732" s="70">
        <v>727</v>
      </c>
      <c r="B732" s="70">
        <f t="shared" si="33"/>
        <v>0</v>
      </c>
      <c r="C732" s="71"/>
      <c r="D732" s="59" t="s">
        <v>1024</v>
      </c>
      <c r="E732" s="60">
        <v>13715</v>
      </c>
      <c r="F732" s="10" t="s">
        <v>834</v>
      </c>
      <c r="G732" s="60">
        <v>805</v>
      </c>
      <c r="H732" s="81">
        <v>38</v>
      </c>
      <c r="I732" s="86">
        <v>10</v>
      </c>
      <c r="J732" s="81">
        <v>38</v>
      </c>
      <c r="K732" s="86">
        <v>10</v>
      </c>
      <c r="L732" s="81">
        <v>153</v>
      </c>
      <c r="M732" s="86">
        <v>123</v>
      </c>
      <c r="N732" s="81">
        <v>150976</v>
      </c>
      <c r="O732" s="86">
        <v>170777</v>
      </c>
      <c r="P732" s="89">
        <f t="shared" si="34"/>
        <v>138</v>
      </c>
      <c r="Q732" s="89">
        <f t="shared" si="35"/>
        <v>160876.5</v>
      </c>
      <c r="R732" s="96" t="s">
        <v>94</v>
      </c>
      <c r="S732" s="96" t="s">
        <v>124</v>
      </c>
      <c r="T732" s="96" t="s">
        <v>94</v>
      </c>
      <c r="U732" s="96" t="s">
        <v>136</v>
      </c>
      <c r="V732" s="96" t="s">
        <v>766</v>
      </c>
      <c r="W732" s="96" t="s">
        <v>767</v>
      </c>
      <c r="X732" s="96" t="s">
        <v>98</v>
      </c>
      <c r="Y732" s="96" t="s">
        <v>382</v>
      </c>
      <c r="Z732" s="96" t="s">
        <v>797</v>
      </c>
      <c r="AA732" s="96" t="s">
        <v>835</v>
      </c>
      <c r="AB732" s="96" t="s">
        <v>836</v>
      </c>
      <c r="AC732" s="96" t="s">
        <v>837</v>
      </c>
      <c r="AD732" s="96" t="s">
        <v>838</v>
      </c>
      <c r="AE732" s="96" t="s">
        <v>839</v>
      </c>
      <c r="AF732" s="96" t="s">
        <v>840</v>
      </c>
      <c r="AG732" s="96" t="s">
        <v>110</v>
      </c>
      <c r="AH732" s="96">
        <v>1947</v>
      </c>
      <c r="AI732" s="96" t="s">
        <v>841</v>
      </c>
      <c r="AJ732" s="96" t="s">
        <v>842</v>
      </c>
      <c r="AK732" s="27" t="s">
        <v>110</v>
      </c>
    </row>
    <row r="733" spans="1:37">
      <c r="A733" s="70">
        <v>728</v>
      </c>
      <c r="B733" s="70">
        <f t="shared" si="33"/>
        <v>0</v>
      </c>
      <c r="C733" s="71"/>
      <c r="D733" s="59" t="s">
        <v>1024</v>
      </c>
      <c r="E733" s="60">
        <v>14761</v>
      </c>
      <c r="F733" s="10" t="s">
        <v>908</v>
      </c>
      <c r="G733" s="60">
        <v>807</v>
      </c>
      <c r="H733" s="81">
        <v>50</v>
      </c>
      <c r="I733" s="86" t="s">
        <v>110</v>
      </c>
      <c r="J733" s="81">
        <v>50</v>
      </c>
      <c r="K733" s="86" t="s">
        <v>110</v>
      </c>
      <c r="L733" s="81">
        <v>145</v>
      </c>
      <c r="M733" s="86" t="s">
        <v>110</v>
      </c>
      <c r="N733" s="81">
        <v>161397</v>
      </c>
      <c r="O733" s="86" t="s">
        <v>110</v>
      </c>
      <c r="P733" s="89">
        <f t="shared" si="34"/>
        <v>145</v>
      </c>
      <c r="Q733" s="89">
        <f t="shared" si="35"/>
        <v>161397</v>
      </c>
      <c r="R733" s="96" t="s">
        <v>94</v>
      </c>
      <c r="S733" s="96" t="s">
        <v>145</v>
      </c>
      <c r="T733" s="96" t="s">
        <v>94</v>
      </c>
      <c r="U733" s="96" t="s">
        <v>136</v>
      </c>
      <c r="V733" s="96" t="s">
        <v>766</v>
      </c>
      <c r="W733" s="96" t="s">
        <v>767</v>
      </c>
      <c r="X733" s="96" t="s">
        <v>147</v>
      </c>
      <c r="Y733" s="96" t="s">
        <v>382</v>
      </c>
      <c r="Z733" s="96" t="s">
        <v>110</v>
      </c>
      <c r="AA733" s="96" t="s">
        <v>909</v>
      </c>
      <c r="AB733" s="96" t="s">
        <v>110</v>
      </c>
      <c r="AC733" s="96" t="s">
        <v>910</v>
      </c>
      <c r="AD733" s="96" t="s">
        <v>911</v>
      </c>
      <c r="AE733" s="96" t="s">
        <v>912</v>
      </c>
      <c r="AF733" s="96" t="s">
        <v>913</v>
      </c>
      <c r="AG733" s="96" t="s">
        <v>110</v>
      </c>
      <c r="AH733" s="96">
        <v>2690</v>
      </c>
      <c r="AI733" s="96" t="s">
        <v>914</v>
      </c>
      <c r="AJ733" s="96" t="s">
        <v>915</v>
      </c>
      <c r="AK733" s="27" t="s">
        <v>110</v>
      </c>
    </row>
    <row r="734" spans="1:37">
      <c r="A734" s="70">
        <v>729</v>
      </c>
      <c r="B734" s="70">
        <f t="shared" si="33"/>
        <v>0</v>
      </c>
      <c r="C734" s="71"/>
      <c r="D734" s="59" t="s">
        <v>1024</v>
      </c>
      <c r="E734" s="60">
        <v>13715</v>
      </c>
      <c r="F734" s="10" t="s">
        <v>834</v>
      </c>
      <c r="G734" s="60">
        <v>804</v>
      </c>
      <c r="H734" s="81">
        <v>70</v>
      </c>
      <c r="I734" s="86">
        <v>15</v>
      </c>
      <c r="J734" s="81">
        <v>70</v>
      </c>
      <c r="K734" s="86">
        <v>15</v>
      </c>
      <c r="L734" s="81">
        <v>157</v>
      </c>
      <c r="M734" s="86">
        <v>117</v>
      </c>
      <c r="N734" s="81">
        <v>146212</v>
      </c>
      <c r="O734" s="86">
        <v>176937</v>
      </c>
      <c r="P734" s="89">
        <f t="shared" si="34"/>
        <v>137</v>
      </c>
      <c r="Q734" s="89">
        <f t="shared" si="35"/>
        <v>161574.5</v>
      </c>
      <c r="R734" s="96" t="s">
        <v>94</v>
      </c>
      <c r="S734" s="96" t="s">
        <v>124</v>
      </c>
      <c r="T734" s="96" t="s">
        <v>94</v>
      </c>
      <c r="U734" s="96" t="s">
        <v>136</v>
      </c>
      <c r="V734" s="96" t="s">
        <v>766</v>
      </c>
      <c r="W734" s="96" t="s">
        <v>767</v>
      </c>
      <c r="X734" s="96" t="s">
        <v>98</v>
      </c>
      <c r="Y734" s="96" t="s">
        <v>382</v>
      </c>
      <c r="Z734" s="96" t="s">
        <v>797</v>
      </c>
      <c r="AA734" s="96" t="s">
        <v>835</v>
      </c>
      <c r="AB734" s="96" t="s">
        <v>836</v>
      </c>
      <c r="AC734" s="96" t="s">
        <v>837</v>
      </c>
      <c r="AD734" s="96" t="s">
        <v>838</v>
      </c>
      <c r="AE734" s="96" t="s">
        <v>839</v>
      </c>
      <c r="AF734" s="96" t="s">
        <v>840</v>
      </c>
      <c r="AG734" s="96" t="s">
        <v>110</v>
      </c>
      <c r="AH734" s="96">
        <v>1947</v>
      </c>
      <c r="AI734" s="96" t="s">
        <v>841</v>
      </c>
      <c r="AJ734" s="96" t="s">
        <v>842</v>
      </c>
      <c r="AK734" s="27" t="s">
        <v>110</v>
      </c>
    </row>
    <row r="735" spans="1:37">
      <c r="A735" s="70">
        <v>730</v>
      </c>
      <c r="B735" s="70">
        <f t="shared" si="33"/>
        <v>0</v>
      </c>
      <c r="C735" s="71"/>
      <c r="D735" s="59" t="s">
        <v>1024</v>
      </c>
      <c r="E735" s="60">
        <v>14126</v>
      </c>
      <c r="F735" s="10" t="s">
        <v>998</v>
      </c>
      <c r="G735" s="60">
        <v>801</v>
      </c>
      <c r="H735" s="81">
        <v>2127</v>
      </c>
      <c r="I735" s="86">
        <v>3772</v>
      </c>
      <c r="J735" s="81">
        <v>2127</v>
      </c>
      <c r="K735" s="86">
        <v>3625</v>
      </c>
      <c r="L735" s="81">
        <v>151</v>
      </c>
      <c r="M735" s="86">
        <v>115</v>
      </c>
      <c r="N735" s="81">
        <v>154212</v>
      </c>
      <c r="O735" s="86">
        <v>178683</v>
      </c>
      <c r="P735" s="89">
        <f t="shared" si="34"/>
        <v>133</v>
      </c>
      <c r="Q735" s="89">
        <f t="shared" si="35"/>
        <v>166447.5</v>
      </c>
      <c r="R735" s="96" t="s">
        <v>94</v>
      </c>
      <c r="S735" s="96" t="s">
        <v>741</v>
      </c>
      <c r="T735" s="96" t="s">
        <v>94</v>
      </c>
      <c r="U735" s="96" t="s">
        <v>136</v>
      </c>
      <c r="V735" s="96" t="s">
        <v>766</v>
      </c>
      <c r="W735" s="96" t="s">
        <v>767</v>
      </c>
      <c r="X735" s="96" t="s">
        <v>147</v>
      </c>
      <c r="Y735" s="96" t="s">
        <v>110</v>
      </c>
      <c r="Z735" s="96" t="s">
        <v>797</v>
      </c>
      <c r="AA735" s="96" t="s">
        <v>999</v>
      </c>
      <c r="AB735" s="96" t="s">
        <v>110</v>
      </c>
      <c r="AC735" s="96" t="s">
        <v>1000</v>
      </c>
      <c r="AD735" s="96" t="s">
        <v>1001</v>
      </c>
      <c r="AE735" s="96" t="s">
        <v>1002</v>
      </c>
      <c r="AF735" s="96" t="s">
        <v>1003</v>
      </c>
      <c r="AG735" s="96" t="s">
        <v>110</v>
      </c>
      <c r="AH735" s="96">
        <v>1805</v>
      </c>
      <c r="AI735" s="96" t="s">
        <v>1004</v>
      </c>
      <c r="AJ735" s="96" t="s">
        <v>1005</v>
      </c>
      <c r="AK735" s="27" t="s">
        <v>110</v>
      </c>
    </row>
    <row r="736" spans="1:37">
      <c r="A736" s="70">
        <v>731</v>
      </c>
      <c r="B736" s="70">
        <f t="shared" si="33"/>
        <v>0</v>
      </c>
      <c r="C736" s="71"/>
      <c r="D736" s="59" t="s">
        <v>1024</v>
      </c>
      <c r="E736" s="60">
        <v>14572</v>
      </c>
      <c r="F736" s="10" t="s">
        <v>1015</v>
      </c>
      <c r="G736" s="60">
        <v>801</v>
      </c>
      <c r="H736" s="81">
        <v>1131</v>
      </c>
      <c r="I736" s="86">
        <v>2760</v>
      </c>
      <c r="J736" s="81">
        <v>1131</v>
      </c>
      <c r="K736" s="86">
        <v>1852</v>
      </c>
      <c r="L736" s="81">
        <v>149</v>
      </c>
      <c r="M736" s="86">
        <v>115</v>
      </c>
      <c r="N736" s="81">
        <v>156298</v>
      </c>
      <c r="O736" s="86">
        <v>178683</v>
      </c>
      <c r="P736" s="89">
        <f t="shared" si="34"/>
        <v>132</v>
      </c>
      <c r="Q736" s="89">
        <f t="shared" si="35"/>
        <v>167490.5</v>
      </c>
      <c r="R736" s="96" t="s">
        <v>94</v>
      </c>
      <c r="S736" s="96" t="s">
        <v>255</v>
      </c>
      <c r="T736" s="96" t="s">
        <v>94</v>
      </c>
      <c r="U736" s="96" t="s">
        <v>136</v>
      </c>
      <c r="V736" s="96" t="s">
        <v>766</v>
      </c>
      <c r="W736" s="96" t="s">
        <v>767</v>
      </c>
      <c r="X736" s="96" t="s">
        <v>169</v>
      </c>
      <c r="Y736" s="96" t="s">
        <v>110</v>
      </c>
      <c r="Z736" s="96" t="s">
        <v>110</v>
      </c>
      <c r="AA736" s="96" t="s">
        <v>1016</v>
      </c>
      <c r="AB736" s="96" t="s">
        <v>110</v>
      </c>
      <c r="AC736" s="96" t="s">
        <v>1017</v>
      </c>
      <c r="AD736" s="96" t="s">
        <v>1018</v>
      </c>
      <c r="AE736" s="96" t="s">
        <v>1019</v>
      </c>
      <c r="AF736" s="96" t="s">
        <v>1020</v>
      </c>
      <c r="AG736" s="96" t="s">
        <v>110</v>
      </c>
      <c r="AH736" s="96">
        <v>2634</v>
      </c>
      <c r="AI736" s="96" t="s">
        <v>1021</v>
      </c>
      <c r="AJ736" s="96" t="s">
        <v>1022</v>
      </c>
      <c r="AK736" s="27" t="s">
        <v>110</v>
      </c>
    </row>
    <row r="737" spans="1:37">
      <c r="A737" s="70">
        <v>732</v>
      </c>
      <c r="B737" s="70">
        <f t="shared" si="33"/>
        <v>0</v>
      </c>
      <c r="C737" s="71"/>
      <c r="D737" s="59" t="s">
        <v>1024</v>
      </c>
      <c r="E737" s="60">
        <v>14761</v>
      </c>
      <c r="F737" s="10" t="s">
        <v>908</v>
      </c>
      <c r="G737" s="60">
        <v>801</v>
      </c>
      <c r="H737" s="81">
        <v>838</v>
      </c>
      <c r="I737" s="86">
        <v>3280</v>
      </c>
      <c r="J737" s="81">
        <v>838</v>
      </c>
      <c r="K737" s="86">
        <v>3280</v>
      </c>
      <c r="L737" s="81">
        <v>147</v>
      </c>
      <c r="M737" s="86">
        <v>116</v>
      </c>
      <c r="N737" s="81">
        <v>159015</v>
      </c>
      <c r="O737" s="86">
        <v>177266</v>
      </c>
      <c r="P737" s="89">
        <f t="shared" si="34"/>
        <v>131.5</v>
      </c>
      <c r="Q737" s="89">
        <f t="shared" si="35"/>
        <v>168140.5</v>
      </c>
      <c r="R737" s="96" t="s">
        <v>94</v>
      </c>
      <c r="S737" s="96" t="s">
        <v>145</v>
      </c>
      <c r="T737" s="96" t="s">
        <v>94</v>
      </c>
      <c r="U737" s="96" t="s">
        <v>136</v>
      </c>
      <c r="V737" s="96" t="s">
        <v>766</v>
      </c>
      <c r="W737" s="96" t="s">
        <v>767</v>
      </c>
      <c r="X737" s="96" t="s">
        <v>147</v>
      </c>
      <c r="Y737" s="96" t="s">
        <v>382</v>
      </c>
      <c r="Z737" s="96" t="s">
        <v>110</v>
      </c>
      <c r="AA737" s="96" t="s">
        <v>909</v>
      </c>
      <c r="AB737" s="96" t="s">
        <v>110</v>
      </c>
      <c r="AC737" s="96" t="s">
        <v>910</v>
      </c>
      <c r="AD737" s="96" t="s">
        <v>911</v>
      </c>
      <c r="AE737" s="96" t="s">
        <v>912</v>
      </c>
      <c r="AF737" s="96" t="s">
        <v>913</v>
      </c>
      <c r="AG737" s="96" t="s">
        <v>110</v>
      </c>
      <c r="AH737" s="96">
        <v>2690</v>
      </c>
      <c r="AI737" s="96" t="s">
        <v>914</v>
      </c>
      <c r="AJ737" s="96" t="s">
        <v>915</v>
      </c>
      <c r="AK737" s="27" t="s">
        <v>110</v>
      </c>
    </row>
    <row r="738" spans="1:37">
      <c r="A738" s="70">
        <v>733</v>
      </c>
      <c r="B738" s="70">
        <f t="shared" si="33"/>
        <v>0</v>
      </c>
      <c r="C738" s="71"/>
      <c r="D738" s="59" t="s">
        <v>1024</v>
      </c>
      <c r="E738" s="60">
        <v>14065</v>
      </c>
      <c r="F738" s="10" t="s">
        <v>310</v>
      </c>
      <c r="G738" s="60">
        <v>809</v>
      </c>
      <c r="H738" s="81">
        <v>40</v>
      </c>
      <c r="I738" s="86" t="s">
        <v>110</v>
      </c>
      <c r="J738" s="81">
        <v>40</v>
      </c>
      <c r="K738" s="86" t="s">
        <v>110</v>
      </c>
      <c r="L738" s="81">
        <v>120</v>
      </c>
      <c r="M738" s="86" t="s">
        <v>110</v>
      </c>
      <c r="N738" s="81">
        <v>186347</v>
      </c>
      <c r="O738" s="86" t="s">
        <v>110</v>
      </c>
      <c r="P738" s="89">
        <f t="shared" si="34"/>
        <v>120</v>
      </c>
      <c r="Q738" s="89">
        <f t="shared" si="35"/>
        <v>186347</v>
      </c>
      <c r="R738" s="96" t="s">
        <v>94</v>
      </c>
      <c r="S738" s="96" t="s">
        <v>124</v>
      </c>
      <c r="T738" s="96" t="s">
        <v>94</v>
      </c>
      <c r="U738" s="96" t="s">
        <v>136</v>
      </c>
      <c r="V738" s="96" t="s">
        <v>94</v>
      </c>
      <c r="W738" s="96" t="s">
        <v>97</v>
      </c>
      <c r="X738" s="96" t="s">
        <v>98</v>
      </c>
      <c r="Y738" s="96" t="s">
        <v>225</v>
      </c>
      <c r="Z738" s="96" t="s">
        <v>148</v>
      </c>
      <c r="AA738" s="96" t="s">
        <v>311</v>
      </c>
      <c r="AB738" s="96" t="s">
        <v>312</v>
      </c>
      <c r="AC738" s="96" t="s">
        <v>313</v>
      </c>
      <c r="AD738" s="96" t="s">
        <v>314</v>
      </c>
      <c r="AE738" s="96" t="s">
        <v>315</v>
      </c>
      <c r="AF738" s="96" t="s">
        <v>316</v>
      </c>
      <c r="AG738" s="96" t="s">
        <v>110</v>
      </c>
      <c r="AH738" s="96">
        <v>2004</v>
      </c>
      <c r="AI738" s="96" t="s">
        <v>317</v>
      </c>
      <c r="AJ738" s="96" t="s">
        <v>318</v>
      </c>
      <c r="AK738" s="27" t="s">
        <v>110</v>
      </c>
    </row>
    <row r="739" spans="1:36">
      <c r="A739" s="99" t="s">
        <v>110</v>
      </c>
      <c r="B739" s="99" t="s">
        <v>110</v>
      </c>
      <c r="C739" s="99" t="s">
        <v>110</v>
      </c>
      <c r="D739" s="99" t="s">
        <v>110</v>
      </c>
      <c r="E739" s="99" t="s">
        <v>110</v>
      </c>
      <c r="F739" s="99" t="s">
        <v>110</v>
      </c>
      <c r="G739" s="99" t="s">
        <v>110</v>
      </c>
      <c r="H739" s="99" t="s">
        <v>110</v>
      </c>
      <c r="I739" s="99" t="s">
        <v>110</v>
      </c>
      <c r="J739" s="99" t="s">
        <v>110</v>
      </c>
      <c r="K739" s="99" t="s">
        <v>110</v>
      </c>
      <c r="L739" s="99" t="s">
        <v>110</v>
      </c>
      <c r="M739" s="99" t="s">
        <v>110</v>
      </c>
      <c r="N739" s="99" t="s">
        <v>110</v>
      </c>
      <c r="O739" s="99" t="s">
        <v>110</v>
      </c>
      <c r="P739" s="99" t="s">
        <v>110</v>
      </c>
      <c r="Q739" s="99" t="s">
        <v>110</v>
      </c>
      <c r="R739" s="99" t="s">
        <v>110</v>
      </c>
      <c r="S739" s="99" t="s">
        <v>110</v>
      </c>
      <c r="T739" s="99" t="s">
        <v>110</v>
      </c>
      <c r="U739" s="99" t="s">
        <v>110</v>
      </c>
      <c r="V739" s="99" t="s">
        <v>110</v>
      </c>
      <c r="W739" s="99" t="s">
        <v>110</v>
      </c>
      <c r="X739" s="99" t="s">
        <v>110</v>
      </c>
      <c r="Y739" s="99" t="s">
        <v>110</v>
      </c>
      <c r="Z739" s="99" t="s">
        <v>110</v>
      </c>
      <c r="AA739" s="99" t="s">
        <v>110</v>
      </c>
      <c r="AB739" s="99" t="s">
        <v>110</v>
      </c>
      <c r="AC739" s="99" t="s">
        <v>110</v>
      </c>
      <c r="AD739" s="99" t="s">
        <v>110</v>
      </c>
      <c r="AE739" s="99" t="s">
        <v>110</v>
      </c>
      <c r="AF739" s="99" t="s">
        <v>110</v>
      </c>
      <c r="AG739" s="99" t="s">
        <v>110</v>
      </c>
      <c r="AH739" s="99" t="s">
        <v>110</v>
      </c>
      <c r="AI739" s="99" t="s">
        <v>110</v>
      </c>
      <c r="AJ739" s="99" t="s">
        <v>110</v>
      </c>
    </row>
  </sheetData>
  <sheetProtection formatCells="0" insertHyperlinks="0" autoFilter="0"/>
  <protectedRanges>
    <protectedRange sqref="C2:C104" name="区域2"/>
    <protectedRange sqref="E3:J3 M3:R3 K3:L3" name="区域4"/>
  </protectedRanges>
  <mergeCells count="12">
    <mergeCell ref="D1:Q1"/>
    <mergeCell ref="F2:K2"/>
    <mergeCell ref="L2:Q2"/>
    <mergeCell ref="G3:H3"/>
    <mergeCell ref="I3:J3"/>
    <mergeCell ref="K3:L3"/>
    <mergeCell ref="M3:Q3"/>
    <mergeCell ref="D4:Q4"/>
    <mergeCell ref="C2:C5"/>
    <mergeCell ref="D2:E3"/>
    <mergeCell ref="A1:B5"/>
    <mergeCell ref="R3:AJ4"/>
  </mergeCells>
  <dataValidations count="1">
    <dataValidation type="custom" allowBlank="1" showInputMessage="1" showErrorMessage="1" sqref="C2:C4 C6:C738">
      <formula1>COUNTIF(C:C,C2)=1</formula1>
    </dataValidation>
  </dataValidations>
  <pageMargins left="0.7" right="0.7" top="0.75" bottom="0.75" header="0.3" footer="0.3"/>
  <pageSetup paperSize="9" orientation="portrait"/>
  <headerFooter/>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3"/>
  <sheetViews>
    <sheetView zoomScale="70" zoomScaleNormal="70" workbookViewId="0">
      <pane xSplit="3" ySplit="3" topLeftCell="E4" activePane="bottomRight" state="frozen"/>
      <selection/>
      <selection pane="topRight"/>
      <selection pane="bottomLeft"/>
      <selection pane="bottomRight" activeCell="N18" sqref="N18"/>
    </sheetView>
  </sheetViews>
  <sheetFormatPr defaultColWidth="9" defaultRowHeight="13.5"/>
  <cols>
    <col min="1" max="1" width="17.6083333333333" style="28" customWidth="1"/>
    <col min="2" max="2" width="9" style="28"/>
    <col min="3" max="3" width="11.1" customWidth="1"/>
    <col min="4" max="4" width="11.2583333333333" style="29" customWidth="1"/>
    <col min="5" max="5" width="30.475" style="29" customWidth="1"/>
    <col min="6" max="6" width="8.73333333333333" style="29" customWidth="1"/>
    <col min="7" max="7" width="14.4416666666667" style="29" customWidth="1"/>
    <col min="8" max="8" width="7.14166666666667" style="29" customWidth="1"/>
    <col min="9" max="9" width="9" style="29"/>
    <col min="10" max="10" width="73.1666666666667" style="28" customWidth="1"/>
    <col min="11" max="11" width="9" style="29"/>
    <col min="12" max="12" width="6.18333333333333" style="29" customWidth="1"/>
    <col min="13" max="13" width="9" style="29"/>
    <col min="14" max="14" width="6.66666666666667" style="29" customWidth="1"/>
    <col min="15" max="15" width="9" style="29"/>
    <col min="16" max="16" width="10.4833333333333" style="30" customWidth="1"/>
    <col min="17" max="17" width="13.0083333333333" style="30" customWidth="1"/>
    <col min="18" max="18" width="26.5" customWidth="1"/>
    <col min="19" max="19" width="23.175" customWidth="1"/>
  </cols>
  <sheetData>
    <row r="1" ht="78" customHeight="1" spans="1:19">
      <c r="A1" s="31" t="s">
        <v>1034</v>
      </c>
      <c r="B1" s="32" t="s">
        <v>1035</v>
      </c>
      <c r="C1" s="33" t="s">
        <v>1036</v>
      </c>
      <c r="D1" s="33"/>
      <c r="E1" s="33"/>
      <c r="F1" s="33"/>
      <c r="G1" s="33"/>
      <c r="H1" s="33"/>
      <c r="I1" s="33"/>
      <c r="J1" s="48"/>
      <c r="K1" s="33"/>
      <c r="L1" s="33"/>
      <c r="M1" s="33"/>
      <c r="N1" s="33"/>
      <c r="O1" s="33"/>
      <c r="P1" s="33"/>
      <c r="Q1" s="33"/>
      <c r="R1" s="55" t="s">
        <v>1037</v>
      </c>
      <c r="S1" s="56" t="s">
        <v>1038</v>
      </c>
    </row>
    <row r="2" s="27" customFormat="1" ht="32" customHeight="1" spans="1:17">
      <c r="A2" s="34"/>
      <c r="B2" s="32"/>
      <c r="C2" s="35" t="s">
        <v>1039</v>
      </c>
      <c r="D2" s="36" t="s">
        <v>60</v>
      </c>
      <c r="E2" s="36" t="s">
        <v>61</v>
      </c>
      <c r="F2" s="36" t="s">
        <v>73</v>
      </c>
      <c r="G2" s="36" t="s">
        <v>74</v>
      </c>
      <c r="H2" s="36" t="s">
        <v>1040</v>
      </c>
      <c r="I2" s="36" t="s">
        <v>59</v>
      </c>
      <c r="J2" s="36" t="s">
        <v>80</v>
      </c>
      <c r="K2" s="36" t="s">
        <v>62</v>
      </c>
      <c r="L2" s="49" t="s">
        <v>1041</v>
      </c>
      <c r="M2" s="52"/>
      <c r="N2" s="49" t="s">
        <v>1042</v>
      </c>
      <c r="O2" s="52"/>
      <c r="P2" s="53" t="s">
        <v>1043</v>
      </c>
      <c r="Q2" s="53"/>
    </row>
    <row r="3" ht="72" customHeight="1" spans="1:17">
      <c r="A3" s="34"/>
      <c r="B3" s="37"/>
      <c r="C3" s="38"/>
      <c r="D3" s="39"/>
      <c r="E3" s="39"/>
      <c r="F3" s="39"/>
      <c r="G3" s="39"/>
      <c r="H3" s="39"/>
      <c r="I3" s="39"/>
      <c r="J3" s="39"/>
      <c r="K3" s="39"/>
      <c r="L3" s="50">
        <v>2025</v>
      </c>
      <c r="M3" s="50">
        <v>2024</v>
      </c>
      <c r="N3" s="50">
        <v>2025</v>
      </c>
      <c r="O3" s="50">
        <v>2024</v>
      </c>
      <c r="P3" s="53">
        <v>2025</v>
      </c>
      <c r="Q3" s="53">
        <v>2024</v>
      </c>
    </row>
    <row r="4" ht="20" customHeight="1" spans="1:17">
      <c r="A4" s="40">
        <v>1</v>
      </c>
      <c r="B4" s="41" t="s">
        <v>1044</v>
      </c>
      <c r="C4" s="42">
        <v>1</v>
      </c>
      <c r="D4" s="43">
        <f>IF(ISERROR(VLOOKUP($C4,院校录取信息表!$C:$CN,3,FALSE)),"",VLOOKUP($C4,院校录取信息表!$C:$CN,3,FALSE))</f>
        <v>11113</v>
      </c>
      <c r="E4" s="43" t="str">
        <f>IF(ISERROR(VLOOKUP($C4,院校录取信息表!$C:$CN,4,FALSE)),"",VLOOKUP($C4,院校录取信息表!$C:$CN,4,FALSE))</f>
        <v>深圳职业技术大学</v>
      </c>
      <c r="F4" s="43" t="str">
        <f>IF(ISERROR(VLOOKUP($C4,院校录取信息表!$C:$CN,16,FALSE)),"",VLOOKUP($C4,院校录取信息表!$C:$CN,16,FALSE))</f>
        <v>广东省</v>
      </c>
      <c r="G4" s="47" t="str">
        <f>IF(ISERROR(VLOOKUP($C4,院校录取信息表!$C:$CN,17,FALSE)),"",VLOOKUP($C4,院校录取信息表!$C:$CN,17,FALSE))</f>
        <v>深圳市</v>
      </c>
      <c r="H4" s="47" t="str">
        <f>IF(ISERROR(VLOOKUP($C4,院校录取信息表!$C:$CN,21,FALSE)),"",VLOOKUP($C4,院校录取信息表!$C:$CN,21,FALSE))</f>
        <v>公办</v>
      </c>
      <c r="I4" s="47" t="str">
        <f>IF(ISERROR(VLOOKUP($C4,院校录取信息表!$C:$CN,18,FALSE)),"",VLOOKUP($C4,院校录取信息表!$C:$CN,18,FALSE))</f>
        <v>广东省</v>
      </c>
      <c r="J4" s="51" t="str">
        <f>IF(ISERROR(VLOOKUP($C4,院校录取信息表!$C:$CN,23,FALSE)),"",VLOOKUP($C4,院校录取信息表!$C:$CN,23,FALSE))</f>
        <v>省属/双高计划/高水平学校建设单位/国家级示范</v>
      </c>
      <c r="K4" s="47">
        <f>IF(ISERROR(VLOOKUP($C4,院校录取信息表!$C:$CN,5,FALSE)),"",VLOOKUP($C4,院校录取信息表!$C:$CN,5,FALSE))</f>
        <v>601</v>
      </c>
      <c r="L4" s="43">
        <f>IF(ISERROR(VLOOKUP($C4,院校录取信息表!$C:$CN,8,FALSE)),"",VLOOKUP($C4,院校录取信息表!$C:$CN,8,FALSE))</f>
        <v>449</v>
      </c>
      <c r="M4" s="43">
        <f>IF(ISERROR(VLOOKUP($C4,院校录取信息表!$C:$CN,9,FALSE)),"",VLOOKUP($C4,院校录取信息表!$C:$CN,9,FALSE))</f>
        <v>545</v>
      </c>
      <c r="N4" s="43">
        <f>IF(ISERROR(VLOOKUP($C4,院校录取信息表!$C:$CN,10,FALSE)),"",VLOOKUP($C4,院校录取信息表!$C:$CN,10,FALSE))</f>
        <v>403</v>
      </c>
      <c r="O4" s="54">
        <f>IF(ISERROR(VLOOKUP($C4,院校录取信息表!$C:$CN,11,FALSE)),"",VLOOKUP($C4,院校录取信息表!$C:$CN,11,FALSE))</f>
        <v>409</v>
      </c>
      <c r="P4" s="54">
        <f>IF(ISERROR(VLOOKUP($C4,院校录取信息表!$C:$CN,12,FALSE)),"",VLOOKUP($C4,院校录取信息表!$C:$CN,12,FALSE))</f>
        <v>2426</v>
      </c>
      <c r="Q4" s="54">
        <f>IF(ISERROR(VLOOKUP($C4,院校录取信息表!$C:$CN,13,FALSE)),"",VLOOKUP($C4,院校录取信息表!$C:$CN,13,FALSE))</f>
        <v>2276</v>
      </c>
    </row>
    <row r="5" ht="20" customHeight="1" spans="1:17">
      <c r="A5" s="40">
        <v>3</v>
      </c>
      <c r="B5" s="44"/>
      <c r="C5" s="45">
        <v>2</v>
      </c>
      <c r="D5" s="43">
        <f>IF(ISERROR(VLOOKUP($C5,院校录取信息表!$C:$CN,3,FALSE)),"",VLOOKUP($C5,院校录取信息表!$C:$CN,3,FALSE))</f>
        <v>11113</v>
      </c>
      <c r="E5" s="43" t="str">
        <f>IF(ISERROR(VLOOKUP($C5,院校录取信息表!$C:$CN,4,FALSE)),"",VLOOKUP($C5,院校录取信息表!$C:$CN,4,FALSE))</f>
        <v>深圳职业技术大学</v>
      </c>
      <c r="F5" s="43" t="str">
        <f>IF(ISERROR(VLOOKUP($C5,院校录取信息表!$C:$CN,16,FALSE)),"",VLOOKUP($C5,院校录取信息表!$C:$CN,16,FALSE))</f>
        <v>广东省</v>
      </c>
      <c r="G5" s="47" t="str">
        <f>IF(ISERROR(VLOOKUP($C5,院校录取信息表!$C:$CN,17,FALSE)),"",VLOOKUP($C5,院校录取信息表!$C:$CN,17,FALSE))</f>
        <v>深圳市</v>
      </c>
      <c r="H5" s="47" t="str">
        <f>IF(ISERROR(VLOOKUP($C5,院校录取信息表!$C:$CN,21,FALSE)),"",VLOOKUP($C5,院校录取信息表!$C:$CN,21,FALSE))</f>
        <v>公办</v>
      </c>
      <c r="I5" s="47" t="str">
        <f>IF(ISERROR(VLOOKUP($C5,院校录取信息表!$C:$CN,18,FALSE)),"",VLOOKUP($C5,院校录取信息表!$C:$CN,18,FALSE))</f>
        <v>广东省</v>
      </c>
      <c r="J5" s="51" t="str">
        <f>IF(ISERROR(VLOOKUP($C5,院校录取信息表!$C:$CN,23,FALSE)),"",VLOOKUP($C5,院校录取信息表!$C:$CN,23,FALSE))</f>
        <v>省属/双高计划/高水平学校建设单位/国家级示范</v>
      </c>
      <c r="K5" s="47">
        <f>IF(ISERROR(VLOOKUP($C5,院校录取信息表!$C:$CN,5,FALSE)),"",VLOOKUP($C5,院校录取信息表!$C:$CN,5,FALSE))</f>
        <v>606</v>
      </c>
      <c r="L5" s="43">
        <f>IF(ISERROR(VLOOKUP($C5,院校录取信息表!$C:$CN,8,FALSE)),"",VLOOKUP($C5,院校录取信息表!$C:$CN,8,FALSE))</f>
        <v>165</v>
      </c>
      <c r="M5" s="43">
        <f>IF(ISERROR(VLOOKUP($C5,院校录取信息表!$C:$CN,9,FALSE)),"",VLOOKUP($C5,院校录取信息表!$C:$CN,9,FALSE))</f>
        <v>221</v>
      </c>
      <c r="N5" s="43">
        <f>IF(ISERROR(VLOOKUP($C5,院校录取信息表!$C:$CN,10,FALSE)),"",VLOOKUP($C5,院校录取信息表!$C:$CN,10,FALSE))</f>
        <v>396</v>
      </c>
      <c r="O5" s="54">
        <f>IF(ISERROR(VLOOKUP($C5,院校录取信息表!$C:$CN,11,FALSE)),"",VLOOKUP($C5,院校录取信息表!$C:$CN,11,FALSE))</f>
        <v>405</v>
      </c>
      <c r="P5" s="54">
        <f>IF(ISERROR(VLOOKUP($C5,院校录取信息表!$C:$CN,12,FALSE)),"",VLOOKUP($C5,院校录取信息表!$C:$CN,12,FALSE))</f>
        <v>5357</v>
      </c>
      <c r="Q5" s="54">
        <f>IF(ISERROR(VLOOKUP($C5,院校录取信息表!$C:$CN,13,FALSE)),"",VLOOKUP($C5,院校录取信息表!$C:$CN,13,FALSE))</f>
        <v>4329</v>
      </c>
    </row>
    <row r="6" ht="20" customHeight="1" spans="1:17">
      <c r="A6" s="40">
        <v>2</v>
      </c>
      <c r="B6" s="44"/>
      <c r="C6" s="45">
        <v>3</v>
      </c>
      <c r="D6" s="43">
        <f>IF(ISERROR(VLOOKUP($C6,院校录取信息表!$C:$CN,3,FALSE)),"",VLOOKUP($C6,院校录取信息表!$C:$CN,3,FALSE))</f>
        <v>11113</v>
      </c>
      <c r="E6" s="43" t="str">
        <f>IF(ISERROR(VLOOKUP($C6,院校录取信息表!$C:$CN,4,FALSE)),"",VLOOKUP($C6,院校录取信息表!$C:$CN,4,FALSE))</f>
        <v>深圳职业技术大学</v>
      </c>
      <c r="F6" s="43" t="str">
        <f>IF(ISERROR(VLOOKUP($C6,院校录取信息表!$C:$CN,16,FALSE)),"",VLOOKUP($C6,院校录取信息表!$C:$CN,16,FALSE))</f>
        <v>广东省</v>
      </c>
      <c r="G6" s="47" t="str">
        <f>IF(ISERROR(VLOOKUP($C6,院校录取信息表!$C:$CN,17,FALSE)),"",VLOOKUP($C6,院校录取信息表!$C:$CN,17,FALSE))</f>
        <v>深圳市</v>
      </c>
      <c r="H6" s="47" t="str">
        <f>IF(ISERROR(VLOOKUP($C6,院校录取信息表!$C:$CN,21,FALSE)),"",VLOOKUP($C6,院校录取信息表!$C:$CN,21,FALSE))</f>
        <v>公办</v>
      </c>
      <c r="I6" s="47" t="str">
        <f>IF(ISERROR(VLOOKUP($C6,院校录取信息表!$C:$CN,18,FALSE)),"",VLOOKUP($C6,院校录取信息表!$C:$CN,18,FALSE))</f>
        <v>广东省</v>
      </c>
      <c r="J6" s="51" t="str">
        <f>IF(ISERROR(VLOOKUP($C6,院校录取信息表!$C:$CN,23,FALSE)),"",VLOOKUP($C6,院校录取信息表!$C:$CN,23,FALSE))</f>
        <v>省属/双高计划/高水平学校建设单位/国家级示范</v>
      </c>
      <c r="K6" s="47">
        <f>IF(ISERROR(VLOOKUP($C6,院校录取信息表!$C:$CN,5,FALSE)),"",VLOOKUP($C6,院校录取信息表!$C:$CN,5,FALSE))</f>
        <v>602</v>
      </c>
      <c r="L6" s="43">
        <f>IF(ISERROR(VLOOKUP($C6,院校录取信息表!$C:$CN,8,FALSE)),"",VLOOKUP($C6,院校录取信息表!$C:$CN,8,FALSE))</f>
        <v>500</v>
      </c>
      <c r="M6" s="43">
        <f>IF(ISERROR(VLOOKUP($C6,院校录取信息表!$C:$CN,9,FALSE)),"",VLOOKUP($C6,院校录取信息表!$C:$CN,9,FALSE))</f>
        <v>608</v>
      </c>
      <c r="N6" s="43">
        <f>IF(ISERROR(VLOOKUP($C6,院校录取信息表!$C:$CN,10,FALSE)),"",VLOOKUP($C6,院校录取信息表!$C:$CN,10,FALSE))</f>
        <v>397</v>
      </c>
      <c r="O6" s="54">
        <f>IF(ISERROR(VLOOKUP($C6,院校录取信息表!$C:$CN,11,FALSE)),"",VLOOKUP($C6,院校录取信息表!$C:$CN,11,FALSE))</f>
        <v>403</v>
      </c>
      <c r="P6" s="54">
        <f>IF(ISERROR(VLOOKUP($C6,院校录取信息表!$C:$CN,12,FALSE)),"",VLOOKUP($C6,院校录取信息表!$C:$CN,12,FALSE))</f>
        <v>5171</v>
      </c>
      <c r="Q6" s="54">
        <f>IF(ISERROR(VLOOKUP($C6,院校录取信息表!$C:$CN,13,FALSE)),"",VLOOKUP($C6,院校录取信息表!$C:$CN,13,FALSE))</f>
        <v>5580</v>
      </c>
    </row>
    <row r="7" ht="20" customHeight="1" spans="1:17">
      <c r="A7" s="40">
        <v>6</v>
      </c>
      <c r="B7" s="44"/>
      <c r="C7" s="45">
        <v>4</v>
      </c>
      <c r="D7" s="43">
        <f>IF(ISERROR(VLOOKUP($C7,院校录取信息表!$C:$CN,3,FALSE)),"",VLOOKUP($C7,院校录取信息表!$C:$CN,3,FALSE))</f>
        <v>11113</v>
      </c>
      <c r="E7" s="43" t="str">
        <f>IF(ISERROR(VLOOKUP($C7,院校录取信息表!$C:$CN,4,FALSE)),"",VLOOKUP($C7,院校录取信息表!$C:$CN,4,FALSE))</f>
        <v>深圳职业技术大学</v>
      </c>
      <c r="F7" s="43" t="str">
        <f>IF(ISERROR(VLOOKUP($C7,院校录取信息表!$C:$CN,16,FALSE)),"",VLOOKUP($C7,院校录取信息表!$C:$CN,16,FALSE))</f>
        <v>广东省</v>
      </c>
      <c r="G7" s="47" t="str">
        <f>IF(ISERROR(VLOOKUP($C7,院校录取信息表!$C:$CN,17,FALSE)),"",VLOOKUP($C7,院校录取信息表!$C:$CN,17,FALSE))</f>
        <v>深圳市</v>
      </c>
      <c r="H7" s="47" t="str">
        <f>IF(ISERROR(VLOOKUP($C7,院校录取信息表!$C:$CN,21,FALSE)),"",VLOOKUP($C7,院校录取信息表!$C:$CN,21,FALSE))</f>
        <v>公办</v>
      </c>
      <c r="I7" s="47" t="str">
        <f>IF(ISERROR(VLOOKUP($C7,院校录取信息表!$C:$CN,18,FALSE)),"",VLOOKUP($C7,院校录取信息表!$C:$CN,18,FALSE))</f>
        <v>广东省</v>
      </c>
      <c r="J7" s="51" t="str">
        <f>IF(ISERROR(VLOOKUP($C7,院校录取信息表!$C:$CN,23,FALSE)),"",VLOOKUP($C7,院校录取信息表!$C:$CN,23,FALSE))</f>
        <v>省属/双高计划/高水平学校建设单位/国家级示范</v>
      </c>
      <c r="K7" s="47">
        <f>IF(ISERROR(VLOOKUP($C7,院校录取信息表!$C:$CN,5,FALSE)),"",VLOOKUP($C7,院校录取信息表!$C:$CN,5,FALSE))</f>
        <v>607</v>
      </c>
      <c r="L7" s="43">
        <f>IF(ISERROR(VLOOKUP($C7,院校录取信息表!$C:$CN,8,FALSE)),"",VLOOKUP($C7,院校录取信息表!$C:$CN,8,FALSE))</f>
        <v>229</v>
      </c>
      <c r="M7" s="43">
        <f>IF(ISERROR(VLOOKUP($C7,院校录取信息表!$C:$CN,9,FALSE)),"",VLOOKUP($C7,院校录取信息表!$C:$CN,9,FALSE))</f>
        <v>259</v>
      </c>
      <c r="N7" s="43">
        <f>IF(ISERROR(VLOOKUP($C7,院校录取信息表!$C:$CN,10,FALSE)),"",VLOOKUP($C7,院校录取信息表!$C:$CN,10,FALSE))</f>
        <v>394</v>
      </c>
      <c r="O7" s="54">
        <f>IF(ISERROR(VLOOKUP($C7,院校录取信息表!$C:$CN,11,FALSE)),"",VLOOKUP($C7,院校录取信息表!$C:$CN,11,FALSE))</f>
        <v>403</v>
      </c>
      <c r="P7" s="54">
        <f>IF(ISERROR(VLOOKUP($C7,院校录取信息表!$C:$CN,12,FALSE)),"",VLOOKUP($C7,院校录取信息表!$C:$CN,12,FALSE))</f>
        <v>6763</v>
      </c>
      <c r="Q7" s="54">
        <f>IF(ISERROR(VLOOKUP($C7,院校录取信息表!$C:$CN,13,FALSE)),"",VLOOKUP($C7,院校录取信息表!$C:$CN,13,FALSE))</f>
        <v>6133</v>
      </c>
    </row>
    <row r="8" ht="20" customHeight="1" spans="1:17">
      <c r="A8" s="40">
        <v>5</v>
      </c>
      <c r="B8" s="44"/>
      <c r="C8" s="45">
        <v>5</v>
      </c>
      <c r="D8" s="43">
        <f>IF(ISERROR(VLOOKUP($C8,院校录取信息表!$C:$CN,3,FALSE)),"",VLOOKUP($C8,院校录取信息表!$C:$CN,3,FALSE))</f>
        <v>12957</v>
      </c>
      <c r="E8" s="43" t="str">
        <f>IF(ISERROR(VLOOKUP($C8,院校录取信息表!$C:$CN,4,FALSE)),"",VLOOKUP($C8,院校录取信息表!$C:$CN,4,FALSE))</f>
        <v>深圳信息职业技术大学</v>
      </c>
      <c r="F8" s="43" t="str">
        <f>IF(ISERROR(VLOOKUP($C8,院校录取信息表!$C:$CN,16,FALSE)),"",VLOOKUP($C8,院校录取信息表!$C:$CN,16,FALSE))</f>
        <v>广东省</v>
      </c>
      <c r="G8" s="47" t="str">
        <f>IF(ISERROR(VLOOKUP($C8,院校录取信息表!$C:$CN,17,FALSE)),"",VLOOKUP($C8,院校录取信息表!$C:$CN,17,FALSE))</f>
        <v>深圳市</v>
      </c>
      <c r="H8" s="47" t="str">
        <f>IF(ISERROR(VLOOKUP($C8,院校录取信息表!$C:$CN,21,FALSE)),"",VLOOKUP($C8,院校录取信息表!$C:$CN,21,FALSE))</f>
        <v>公办</v>
      </c>
      <c r="I8" s="47" t="str">
        <f>IF(ISERROR(VLOOKUP($C8,院校录取信息表!$C:$CN,18,FALSE)),"",VLOOKUP($C8,院校录取信息表!$C:$CN,18,FALSE))</f>
        <v>广东省</v>
      </c>
      <c r="J8" s="51" t="str">
        <f>IF(ISERROR(VLOOKUP($C8,院校录取信息表!$C:$CN,23,FALSE)),"",VLOOKUP($C8,院校录取信息表!$C:$CN,23,FALSE))</f>
        <v>双高计划/高水平学校建设单位/国家级骨干/现代学徒制试点学院</v>
      </c>
      <c r="K8" s="47">
        <f>IF(ISERROR(VLOOKUP($C8,院校录取信息表!$C:$CN,5,FALSE)),"",VLOOKUP($C8,院校录取信息表!$C:$CN,5,FALSE))</f>
        <v>602</v>
      </c>
      <c r="L8" s="43">
        <f>IF(ISERROR(VLOOKUP($C8,院校录取信息表!$C:$CN,8,FALSE)),"",VLOOKUP($C8,院校录取信息表!$C:$CN,8,FALSE))</f>
        <v>219</v>
      </c>
      <c r="M8" s="43">
        <f>IF(ISERROR(VLOOKUP($C8,院校录取信息表!$C:$CN,9,FALSE)),"",VLOOKUP($C8,院校录取信息表!$C:$CN,9,FALSE))</f>
        <v>174</v>
      </c>
      <c r="N8" s="43">
        <f>IF(ISERROR(VLOOKUP($C8,院校录取信息表!$C:$CN,10,FALSE)),"",VLOOKUP($C8,院校录取信息表!$C:$CN,10,FALSE))</f>
        <v>391</v>
      </c>
      <c r="O8" s="54">
        <f>IF(ISERROR(VLOOKUP($C8,院校录取信息表!$C:$CN,11,FALSE)),"",VLOOKUP($C8,院校录取信息表!$C:$CN,11,FALSE))</f>
        <v>402</v>
      </c>
      <c r="P8" s="54">
        <f>IF(ISERROR(VLOOKUP($C8,院校录取信息表!$C:$CN,12,FALSE)),"",VLOOKUP($C8,院校录取信息表!$C:$CN,12,FALSE))</f>
        <v>8461</v>
      </c>
      <c r="Q8" s="54">
        <f>IF(ISERROR(VLOOKUP($C8,院校录取信息表!$C:$CN,13,FALSE)),"",VLOOKUP($C8,院校录取信息表!$C:$CN,13,FALSE))</f>
        <v>6626</v>
      </c>
    </row>
    <row r="9" ht="20" customHeight="1" spans="1:17">
      <c r="A9" s="40">
        <v>4</v>
      </c>
      <c r="B9" s="44"/>
      <c r="C9" s="45">
        <v>6</v>
      </c>
      <c r="D9" s="43">
        <f>IF(ISERROR(VLOOKUP($C9,院校录取信息表!$C:$CN,3,FALSE)),"",VLOOKUP($C9,院校录取信息表!$C:$CN,3,FALSE))</f>
        <v>12957</v>
      </c>
      <c r="E9" s="43" t="str">
        <f>IF(ISERROR(VLOOKUP($C9,院校录取信息表!$C:$CN,4,FALSE)),"",VLOOKUP($C9,院校录取信息表!$C:$CN,4,FALSE))</f>
        <v>深圳信息职业技术大学</v>
      </c>
      <c r="F9" s="43" t="str">
        <f>IF(ISERROR(VLOOKUP($C9,院校录取信息表!$C:$CN,16,FALSE)),"",VLOOKUP($C9,院校录取信息表!$C:$CN,16,FALSE))</f>
        <v>广东省</v>
      </c>
      <c r="G9" s="47" t="str">
        <f>IF(ISERROR(VLOOKUP($C9,院校录取信息表!$C:$CN,17,FALSE)),"",VLOOKUP($C9,院校录取信息表!$C:$CN,17,FALSE))</f>
        <v>深圳市</v>
      </c>
      <c r="H9" s="47" t="str">
        <f>IF(ISERROR(VLOOKUP($C9,院校录取信息表!$C:$CN,21,FALSE)),"",VLOOKUP($C9,院校录取信息表!$C:$CN,21,FALSE))</f>
        <v>公办</v>
      </c>
      <c r="I9" s="47" t="str">
        <f>IF(ISERROR(VLOOKUP($C9,院校录取信息表!$C:$CN,18,FALSE)),"",VLOOKUP($C9,院校录取信息表!$C:$CN,18,FALSE))</f>
        <v>广东省</v>
      </c>
      <c r="J9" s="51" t="str">
        <f>IF(ISERROR(VLOOKUP($C9,院校录取信息表!$C:$CN,23,FALSE)),"",VLOOKUP($C9,院校录取信息表!$C:$CN,23,FALSE))</f>
        <v>双高计划/高水平学校建设单位/国家级骨干/现代学徒制试点学院</v>
      </c>
      <c r="K9" s="47">
        <f>IF(ISERROR(VLOOKUP($C9,院校录取信息表!$C:$CN,5,FALSE)),"",VLOOKUP($C9,院校录取信息表!$C:$CN,5,FALSE))</f>
        <v>601</v>
      </c>
      <c r="L9" s="43">
        <f>IF(ISERROR(VLOOKUP($C9,院校录取信息表!$C:$CN,8,FALSE)),"",VLOOKUP($C9,院校录取信息表!$C:$CN,8,FALSE))</f>
        <v>276</v>
      </c>
      <c r="M9" s="43">
        <f>IF(ISERROR(VLOOKUP($C9,院校录取信息表!$C:$CN,9,FALSE)),"",VLOOKUP($C9,院校录取信息表!$C:$CN,9,FALSE))</f>
        <v>28</v>
      </c>
      <c r="N9" s="43">
        <f>IF(ISERROR(VLOOKUP($C9,院校录取信息表!$C:$CN,10,FALSE)),"",VLOOKUP($C9,院校录取信息表!$C:$CN,10,FALSE))</f>
        <v>395</v>
      </c>
      <c r="O9" s="54">
        <f>IF(ISERROR(VLOOKUP($C9,院校录取信息表!$C:$CN,11,FALSE)),"",VLOOKUP($C9,院校录取信息表!$C:$CN,11,FALSE))</f>
        <v>400</v>
      </c>
      <c r="P9" s="54">
        <f>IF(ISERROR(VLOOKUP($C9,院校录取信息表!$C:$CN,12,FALSE)),"",VLOOKUP($C9,院校录取信息表!$C:$CN,12,FALSE))</f>
        <v>6289</v>
      </c>
      <c r="Q9" s="54">
        <f>IF(ISERROR(VLOOKUP($C9,院校录取信息表!$C:$CN,13,FALSE)),"",VLOOKUP($C9,院校录取信息表!$C:$CN,13,FALSE))</f>
        <v>9192</v>
      </c>
    </row>
    <row r="10" ht="20" customHeight="1" spans="1:17">
      <c r="A10" s="40"/>
      <c r="B10" s="44" t="s">
        <v>1045</v>
      </c>
      <c r="C10" s="45">
        <v>7</v>
      </c>
      <c r="D10" s="43" t="str">
        <f>IF(ISERROR(VLOOKUP($C10,院校录取信息表!$C:$CN,3,FALSE)),"",VLOOKUP($C10,院校录取信息表!$C:$CN,3,FALSE))</f>
        <v/>
      </c>
      <c r="E10" s="43" t="str">
        <f>IF(ISERROR(VLOOKUP($C10,院校录取信息表!$C:$CN,4,FALSE)),"",VLOOKUP($C10,院校录取信息表!$C:$CN,4,FALSE))</f>
        <v/>
      </c>
      <c r="F10" s="43" t="str">
        <f>IF(ISERROR(VLOOKUP($C10,院校录取信息表!$C:$CN,16,FALSE)),"",VLOOKUP($C10,院校录取信息表!$C:$CN,16,FALSE))</f>
        <v/>
      </c>
      <c r="G10" s="47" t="str">
        <f>IF(ISERROR(VLOOKUP($C10,院校录取信息表!$C:$CN,17,FALSE)),"",VLOOKUP($C10,院校录取信息表!$C:$CN,17,FALSE))</f>
        <v/>
      </c>
      <c r="H10" s="47" t="str">
        <f>IF(ISERROR(VLOOKUP($C10,院校录取信息表!$C:$CN,21,FALSE)),"",VLOOKUP($C10,院校录取信息表!$C:$CN,21,FALSE))</f>
        <v/>
      </c>
      <c r="I10" s="47" t="str">
        <f>IF(ISERROR(VLOOKUP($C10,院校录取信息表!$C:$CN,18,FALSE)),"",VLOOKUP($C10,院校录取信息表!$C:$CN,18,FALSE))</f>
        <v/>
      </c>
      <c r="J10" s="51" t="str">
        <f>IF(ISERROR(VLOOKUP($C10,院校录取信息表!$C:$CN,23,FALSE)),"",VLOOKUP($C10,院校录取信息表!$C:$CN,23,FALSE))</f>
        <v/>
      </c>
      <c r="K10" s="47" t="str">
        <f>IF(ISERROR(VLOOKUP($C10,院校录取信息表!$C:$CN,5,FALSE)),"",VLOOKUP($C10,院校录取信息表!$C:$CN,5,FALSE))</f>
        <v/>
      </c>
      <c r="L10" s="43" t="str">
        <f>IF(ISERROR(VLOOKUP($C10,院校录取信息表!$C:$CN,8,FALSE)),"",VLOOKUP($C10,院校录取信息表!$C:$CN,8,FALSE))</f>
        <v/>
      </c>
      <c r="M10" s="43" t="str">
        <f>IF(ISERROR(VLOOKUP($C10,院校录取信息表!$C:$CN,9,FALSE)),"",VLOOKUP($C10,院校录取信息表!$C:$CN,9,FALSE))</f>
        <v/>
      </c>
      <c r="N10" s="43" t="str">
        <f>IF(ISERROR(VLOOKUP($C10,院校录取信息表!$C:$CN,10,FALSE)),"",VLOOKUP($C10,院校录取信息表!$C:$CN,10,FALSE))</f>
        <v/>
      </c>
      <c r="O10" s="54" t="str">
        <f>IF(ISERROR(VLOOKUP($C10,院校录取信息表!$C:$CN,11,FALSE)),"",VLOOKUP($C10,院校录取信息表!$C:$CN,11,FALSE))</f>
        <v/>
      </c>
      <c r="P10" s="54" t="str">
        <f>IF(ISERROR(VLOOKUP($C10,院校录取信息表!$C:$CN,12,FALSE)),"",VLOOKUP($C10,院校录取信息表!$C:$CN,12,FALSE))</f>
        <v/>
      </c>
      <c r="Q10" s="54" t="str">
        <f>IF(ISERROR(VLOOKUP($C10,院校录取信息表!$C:$CN,13,FALSE)),"",VLOOKUP($C10,院校录取信息表!$C:$CN,13,FALSE))</f>
        <v/>
      </c>
    </row>
    <row r="11" ht="20" customHeight="1" spans="1:17">
      <c r="A11" s="40"/>
      <c r="B11" s="44"/>
      <c r="C11" s="45">
        <v>8</v>
      </c>
      <c r="D11" s="43" t="str">
        <f>IF(ISERROR(VLOOKUP($C11,院校录取信息表!$C:$CN,3,FALSE)),"",VLOOKUP($C11,院校录取信息表!$C:$CN,3,FALSE))</f>
        <v/>
      </c>
      <c r="E11" s="43" t="str">
        <f>IF(ISERROR(VLOOKUP($C11,院校录取信息表!$C:$CN,4,FALSE)),"",VLOOKUP($C11,院校录取信息表!$C:$CN,4,FALSE))</f>
        <v/>
      </c>
      <c r="F11" s="43" t="str">
        <f>IF(ISERROR(VLOOKUP($C11,院校录取信息表!$C:$CN,16,FALSE)),"",VLOOKUP($C11,院校录取信息表!$C:$CN,16,FALSE))</f>
        <v/>
      </c>
      <c r="G11" s="47" t="str">
        <f>IF(ISERROR(VLOOKUP($C11,院校录取信息表!$C:$CN,17,FALSE)),"",VLOOKUP($C11,院校录取信息表!$C:$CN,17,FALSE))</f>
        <v/>
      </c>
      <c r="H11" s="47" t="str">
        <f>IF(ISERROR(VLOOKUP($C11,院校录取信息表!$C:$CN,21,FALSE)),"",VLOOKUP($C11,院校录取信息表!$C:$CN,21,FALSE))</f>
        <v/>
      </c>
      <c r="I11" s="47" t="str">
        <f>IF(ISERROR(VLOOKUP($C11,院校录取信息表!$C:$CN,18,FALSE)),"",VLOOKUP($C11,院校录取信息表!$C:$CN,18,FALSE))</f>
        <v/>
      </c>
      <c r="J11" s="51" t="str">
        <f>IF(ISERROR(VLOOKUP($C11,院校录取信息表!$C:$CN,23,FALSE)),"",VLOOKUP($C11,院校录取信息表!$C:$CN,23,FALSE))</f>
        <v/>
      </c>
      <c r="K11" s="47" t="str">
        <f>IF(ISERROR(VLOOKUP($C11,院校录取信息表!$C:$CN,5,FALSE)),"",VLOOKUP($C11,院校录取信息表!$C:$CN,5,FALSE))</f>
        <v/>
      </c>
      <c r="L11" s="43" t="str">
        <f>IF(ISERROR(VLOOKUP($C11,院校录取信息表!$C:$CN,8,FALSE)),"",VLOOKUP($C11,院校录取信息表!$C:$CN,8,FALSE))</f>
        <v/>
      </c>
      <c r="M11" s="43" t="str">
        <f>IF(ISERROR(VLOOKUP($C11,院校录取信息表!$C:$CN,9,FALSE)),"",VLOOKUP($C11,院校录取信息表!$C:$CN,9,FALSE))</f>
        <v/>
      </c>
      <c r="N11" s="43" t="str">
        <f>IF(ISERROR(VLOOKUP($C11,院校录取信息表!$C:$CN,10,FALSE)),"",VLOOKUP($C11,院校录取信息表!$C:$CN,10,FALSE))</f>
        <v/>
      </c>
      <c r="O11" s="54" t="str">
        <f>IF(ISERROR(VLOOKUP($C11,院校录取信息表!$C:$CN,11,FALSE)),"",VLOOKUP($C11,院校录取信息表!$C:$CN,11,FALSE))</f>
        <v/>
      </c>
      <c r="P11" s="54" t="str">
        <f>IF(ISERROR(VLOOKUP($C11,院校录取信息表!$C:$CN,12,FALSE)),"",VLOOKUP($C11,院校录取信息表!$C:$CN,12,FALSE))</f>
        <v/>
      </c>
      <c r="Q11" s="54" t="str">
        <f>IF(ISERROR(VLOOKUP($C11,院校录取信息表!$C:$CN,13,FALSE)),"",VLOOKUP($C11,院校录取信息表!$C:$CN,13,FALSE))</f>
        <v/>
      </c>
    </row>
    <row r="12" ht="20" customHeight="1" spans="1:17">
      <c r="A12" s="40"/>
      <c r="B12" s="44"/>
      <c r="C12" s="45">
        <v>9</v>
      </c>
      <c r="D12" s="43" t="str">
        <f>IF(ISERROR(VLOOKUP($C12,院校录取信息表!$C:$CN,3,FALSE)),"",VLOOKUP($C12,院校录取信息表!$C:$CN,3,FALSE))</f>
        <v/>
      </c>
      <c r="E12" s="43" t="str">
        <f>IF(ISERROR(VLOOKUP($C12,院校录取信息表!$C:$CN,4,FALSE)),"",VLOOKUP($C12,院校录取信息表!$C:$CN,4,FALSE))</f>
        <v/>
      </c>
      <c r="F12" s="43" t="str">
        <f>IF(ISERROR(VLOOKUP($C12,院校录取信息表!$C:$CN,16,FALSE)),"",VLOOKUP($C12,院校录取信息表!$C:$CN,16,FALSE))</f>
        <v/>
      </c>
      <c r="G12" s="47" t="str">
        <f>IF(ISERROR(VLOOKUP($C12,院校录取信息表!$C:$CN,17,FALSE)),"",VLOOKUP($C12,院校录取信息表!$C:$CN,17,FALSE))</f>
        <v/>
      </c>
      <c r="H12" s="47" t="str">
        <f>IF(ISERROR(VLOOKUP($C12,院校录取信息表!$C:$CN,21,FALSE)),"",VLOOKUP($C12,院校录取信息表!$C:$CN,21,FALSE))</f>
        <v/>
      </c>
      <c r="I12" s="47" t="str">
        <f>IF(ISERROR(VLOOKUP($C12,院校录取信息表!$C:$CN,18,FALSE)),"",VLOOKUP($C12,院校录取信息表!$C:$CN,18,FALSE))</f>
        <v/>
      </c>
      <c r="J12" s="51" t="str">
        <f>IF(ISERROR(VLOOKUP($C12,院校录取信息表!$C:$CN,23,FALSE)),"",VLOOKUP($C12,院校录取信息表!$C:$CN,23,FALSE))</f>
        <v/>
      </c>
      <c r="K12" s="47" t="str">
        <f>IF(ISERROR(VLOOKUP($C12,院校录取信息表!$C:$CN,5,FALSE)),"",VLOOKUP($C12,院校录取信息表!$C:$CN,5,FALSE))</f>
        <v/>
      </c>
      <c r="L12" s="43" t="str">
        <f>IF(ISERROR(VLOOKUP($C12,院校录取信息表!$C:$CN,8,FALSE)),"",VLOOKUP($C12,院校录取信息表!$C:$CN,8,FALSE))</f>
        <v/>
      </c>
      <c r="M12" s="43" t="str">
        <f>IF(ISERROR(VLOOKUP($C12,院校录取信息表!$C:$CN,9,FALSE)),"",VLOOKUP($C12,院校录取信息表!$C:$CN,9,FALSE))</f>
        <v/>
      </c>
      <c r="N12" s="43" t="str">
        <f>IF(ISERROR(VLOOKUP($C12,院校录取信息表!$C:$CN,10,FALSE)),"",VLOOKUP($C12,院校录取信息表!$C:$CN,10,FALSE))</f>
        <v/>
      </c>
      <c r="O12" s="54" t="str">
        <f>IF(ISERROR(VLOOKUP($C12,院校录取信息表!$C:$CN,11,FALSE)),"",VLOOKUP($C12,院校录取信息表!$C:$CN,11,FALSE))</f>
        <v/>
      </c>
      <c r="P12" s="54" t="str">
        <f>IF(ISERROR(VLOOKUP($C12,院校录取信息表!$C:$CN,12,FALSE)),"",VLOOKUP($C12,院校录取信息表!$C:$CN,12,FALSE))</f>
        <v/>
      </c>
      <c r="Q12" s="54" t="str">
        <f>IF(ISERROR(VLOOKUP($C12,院校录取信息表!$C:$CN,13,FALSE)),"",VLOOKUP($C12,院校录取信息表!$C:$CN,13,FALSE))</f>
        <v/>
      </c>
    </row>
    <row r="13" ht="20" customHeight="1" spans="1:17">
      <c r="A13" s="40"/>
      <c r="B13" s="44"/>
      <c r="C13" s="45">
        <v>10</v>
      </c>
      <c r="D13" s="43" t="str">
        <f>IF(ISERROR(VLOOKUP($C13,院校录取信息表!$C:$CN,3,FALSE)),"",VLOOKUP($C13,院校录取信息表!$C:$CN,3,FALSE))</f>
        <v/>
      </c>
      <c r="E13" s="43" t="str">
        <f>IF(ISERROR(VLOOKUP($C13,院校录取信息表!$C:$CN,4,FALSE)),"",VLOOKUP($C13,院校录取信息表!$C:$CN,4,FALSE))</f>
        <v/>
      </c>
      <c r="F13" s="43" t="str">
        <f>IF(ISERROR(VLOOKUP($C13,院校录取信息表!$C:$CN,16,FALSE)),"",VLOOKUP($C13,院校录取信息表!$C:$CN,16,FALSE))</f>
        <v/>
      </c>
      <c r="G13" s="47" t="str">
        <f>IF(ISERROR(VLOOKUP($C13,院校录取信息表!$C:$CN,17,FALSE)),"",VLOOKUP($C13,院校录取信息表!$C:$CN,17,FALSE))</f>
        <v/>
      </c>
      <c r="H13" s="47" t="str">
        <f>IF(ISERROR(VLOOKUP($C13,院校录取信息表!$C:$CN,21,FALSE)),"",VLOOKUP($C13,院校录取信息表!$C:$CN,21,FALSE))</f>
        <v/>
      </c>
      <c r="I13" s="47" t="str">
        <f>IF(ISERROR(VLOOKUP($C13,院校录取信息表!$C:$CN,18,FALSE)),"",VLOOKUP($C13,院校录取信息表!$C:$CN,18,FALSE))</f>
        <v/>
      </c>
      <c r="J13" s="51" t="str">
        <f>IF(ISERROR(VLOOKUP($C13,院校录取信息表!$C:$CN,23,FALSE)),"",VLOOKUP($C13,院校录取信息表!$C:$CN,23,FALSE))</f>
        <v/>
      </c>
      <c r="K13" s="47" t="str">
        <f>IF(ISERROR(VLOOKUP($C13,院校录取信息表!$C:$CN,5,FALSE)),"",VLOOKUP($C13,院校录取信息表!$C:$CN,5,FALSE))</f>
        <v/>
      </c>
      <c r="L13" s="43" t="str">
        <f>IF(ISERROR(VLOOKUP($C13,院校录取信息表!$C:$CN,8,FALSE)),"",VLOOKUP($C13,院校录取信息表!$C:$CN,8,FALSE))</f>
        <v/>
      </c>
      <c r="M13" s="43" t="str">
        <f>IF(ISERROR(VLOOKUP($C13,院校录取信息表!$C:$CN,9,FALSE)),"",VLOOKUP($C13,院校录取信息表!$C:$CN,9,FALSE))</f>
        <v/>
      </c>
      <c r="N13" s="43" t="str">
        <f>IF(ISERROR(VLOOKUP($C13,院校录取信息表!$C:$CN,10,FALSE)),"",VLOOKUP($C13,院校录取信息表!$C:$CN,10,FALSE))</f>
        <v/>
      </c>
      <c r="O13" s="54" t="str">
        <f>IF(ISERROR(VLOOKUP($C13,院校录取信息表!$C:$CN,11,FALSE)),"",VLOOKUP($C13,院校录取信息表!$C:$CN,11,FALSE))</f>
        <v/>
      </c>
      <c r="P13" s="54" t="str">
        <f>IF(ISERROR(VLOOKUP($C13,院校录取信息表!$C:$CN,12,FALSE)),"",VLOOKUP($C13,院校录取信息表!$C:$CN,12,FALSE))</f>
        <v/>
      </c>
      <c r="Q13" s="54" t="str">
        <f>IF(ISERROR(VLOOKUP($C13,院校录取信息表!$C:$CN,13,FALSE)),"",VLOOKUP($C13,院校录取信息表!$C:$CN,13,FALSE))</f>
        <v/>
      </c>
    </row>
    <row r="14" ht="20" customHeight="1" spans="1:17">
      <c r="A14" s="40"/>
      <c r="B14" s="44"/>
      <c r="C14" s="45">
        <v>11</v>
      </c>
      <c r="D14" s="43" t="str">
        <f>IF(ISERROR(VLOOKUP($C14,院校录取信息表!$C:$CN,3,FALSE)),"",VLOOKUP($C14,院校录取信息表!$C:$CN,3,FALSE))</f>
        <v/>
      </c>
      <c r="E14" s="43" t="str">
        <f>IF(ISERROR(VLOOKUP($C14,院校录取信息表!$C:$CN,4,FALSE)),"",VLOOKUP($C14,院校录取信息表!$C:$CN,4,FALSE))</f>
        <v/>
      </c>
      <c r="F14" s="43" t="str">
        <f>IF(ISERROR(VLOOKUP($C14,院校录取信息表!$C:$CN,16,FALSE)),"",VLOOKUP($C14,院校录取信息表!$C:$CN,16,FALSE))</f>
        <v/>
      </c>
      <c r="G14" s="47" t="str">
        <f>IF(ISERROR(VLOOKUP($C14,院校录取信息表!$C:$CN,17,FALSE)),"",VLOOKUP($C14,院校录取信息表!$C:$CN,17,FALSE))</f>
        <v/>
      </c>
      <c r="H14" s="47" t="str">
        <f>IF(ISERROR(VLOOKUP($C14,院校录取信息表!$C:$CN,21,FALSE)),"",VLOOKUP($C14,院校录取信息表!$C:$CN,21,FALSE))</f>
        <v/>
      </c>
      <c r="I14" s="47" t="str">
        <f>IF(ISERROR(VLOOKUP($C14,院校录取信息表!$C:$CN,18,FALSE)),"",VLOOKUP($C14,院校录取信息表!$C:$CN,18,FALSE))</f>
        <v/>
      </c>
      <c r="J14" s="51" t="str">
        <f>IF(ISERROR(VLOOKUP($C14,院校录取信息表!$C:$CN,23,FALSE)),"",VLOOKUP($C14,院校录取信息表!$C:$CN,23,FALSE))</f>
        <v/>
      </c>
      <c r="K14" s="47" t="str">
        <f>IF(ISERROR(VLOOKUP($C14,院校录取信息表!$C:$CN,5,FALSE)),"",VLOOKUP($C14,院校录取信息表!$C:$CN,5,FALSE))</f>
        <v/>
      </c>
      <c r="L14" s="43" t="str">
        <f>IF(ISERROR(VLOOKUP($C14,院校录取信息表!$C:$CN,8,FALSE)),"",VLOOKUP($C14,院校录取信息表!$C:$CN,8,FALSE))</f>
        <v/>
      </c>
      <c r="M14" s="43" t="str">
        <f>IF(ISERROR(VLOOKUP($C14,院校录取信息表!$C:$CN,9,FALSE)),"",VLOOKUP($C14,院校录取信息表!$C:$CN,9,FALSE))</f>
        <v/>
      </c>
      <c r="N14" s="43" t="str">
        <f>IF(ISERROR(VLOOKUP($C14,院校录取信息表!$C:$CN,10,FALSE)),"",VLOOKUP($C14,院校录取信息表!$C:$CN,10,FALSE))</f>
        <v/>
      </c>
      <c r="O14" s="54" t="str">
        <f>IF(ISERROR(VLOOKUP($C14,院校录取信息表!$C:$CN,11,FALSE)),"",VLOOKUP($C14,院校录取信息表!$C:$CN,11,FALSE))</f>
        <v/>
      </c>
      <c r="P14" s="54" t="str">
        <f>IF(ISERROR(VLOOKUP($C14,院校录取信息表!$C:$CN,12,FALSE)),"",VLOOKUP($C14,院校录取信息表!$C:$CN,12,FALSE))</f>
        <v/>
      </c>
      <c r="Q14" s="54" t="str">
        <f>IF(ISERROR(VLOOKUP($C14,院校录取信息表!$C:$CN,13,FALSE)),"",VLOOKUP($C14,院校录取信息表!$C:$CN,13,FALSE))</f>
        <v/>
      </c>
    </row>
    <row r="15" ht="20" customHeight="1" spans="1:17">
      <c r="A15" s="40"/>
      <c r="B15" s="44"/>
      <c r="C15" s="45">
        <v>12</v>
      </c>
      <c r="D15" s="43" t="str">
        <f>IF(ISERROR(VLOOKUP($C15,院校录取信息表!$C:$CN,3,FALSE)),"",VLOOKUP($C15,院校录取信息表!$C:$CN,3,FALSE))</f>
        <v/>
      </c>
      <c r="E15" s="43" t="str">
        <f>IF(ISERROR(VLOOKUP($C15,院校录取信息表!$C:$CN,4,FALSE)),"",VLOOKUP($C15,院校录取信息表!$C:$CN,4,FALSE))</f>
        <v/>
      </c>
      <c r="F15" s="43" t="str">
        <f>IF(ISERROR(VLOOKUP($C15,院校录取信息表!$C:$CN,16,FALSE)),"",VLOOKUP($C15,院校录取信息表!$C:$CN,16,FALSE))</f>
        <v/>
      </c>
      <c r="G15" s="47" t="str">
        <f>IF(ISERROR(VLOOKUP($C15,院校录取信息表!$C:$CN,17,FALSE)),"",VLOOKUP($C15,院校录取信息表!$C:$CN,17,FALSE))</f>
        <v/>
      </c>
      <c r="H15" s="47" t="str">
        <f>IF(ISERROR(VLOOKUP($C15,院校录取信息表!$C:$CN,21,FALSE)),"",VLOOKUP($C15,院校录取信息表!$C:$CN,21,FALSE))</f>
        <v/>
      </c>
      <c r="I15" s="47" t="str">
        <f>IF(ISERROR(VLOOKUP($C15,院校录取信息表!$C:$CN,18,FALSE)),"",VLOOKUP($C15,院校录取信息表!$C:$CN,18,FALSE))</f>
        <v/>
      </c>
      <c r="J15" s="51" t="str">
        <f>IF(ISERROR(VLOOKUP($C15,院校录取信息表!$C:$CN,23,FALSE)),"",VLOOKUP($C15,院校录取信息表!$C:$CN,23,FALSE))</f>
        <v/>
      </c>
      <c r="K15" s="47" t="str">
        <f>IF(ISERROR(VLOOKUP($C15,院校录取信息表!$C:$CN,5,FALSE)),"",VLOOKUP($C15,院校录取信息表!$C:$CN,5,FALSE))</f>
        <v/>
      </c>
      <c r="L15" s="43" t="str">
        <f>IF(ISERROR(VLOOKUP($C15,院校录取信息表!$C:$CN,8,FALSE)),"",VLOOKUP($C15,院校录取信息表!$C:$CN,8,FALSE))</f>
        <v/>
      </c>
      <c r="M15" s="43" t="str">
        <f>IF(ISERROR(VLOOKUP($C15,院校录取信息表!$C:$CN,9,FALSE)),"",VLOOKUP($C15,院校录取信息表!$C:$CN,9,FALSE))</f>
        <v/>
      </c>
      <c r="N15" s="43" t="str">
        <f>IF(ISERROR(VLOOKUP($C15,院校录取信息表!$C:$CN,10,FALSE)),"",VLOOKUP($C15,院校录取信息表!$C:$CN,10,FALSE))</f>
        <v/>
      </c>
      <c r="O15" s="54" t="str">
        <f>IF(ISERROR(VLOOKUP($C15,院校录取信息表!$C:$CN,11,FALSE)),"",VLOOKUP($C15,院校录取信息表!$C:$CN,11,FALSE))</f>
        <v/>
      </c>
      <c r="P15" s="54" t="str">
        <f>IF(ISERROR(VLOOKUP($C15,院校录取信息表!$C:$CN,12,FALSE)),"",VLOOKUP($C15,院校录取信息表!$C:$CN,12,FALSE))</f>
        <v/>
      </c>
      <c r="Q15" s="54" t="str">
        <f>IF(ISERROR(VLOOKUP($C15,院校录取信息表!$C:$CN,13,FALSE)),"",VLOOKUP($C15,院校录取信息表!$C:$CN,13,FALSE))</f>
        <v/>
      </c>
    </row>
    <row r="16" ht="20" customHeight="1" spans="1:17">
      <c r="A16" s="40"/>
      <c r="B16" s="44" t="s">
        <v>1046</v>
      </c>
      <c r="C16" s="45">
        <v>13</v>
      </c>
      <c r="D16" s="43" t="str">
        <f>IF(ISERROR(VLOOKUP($C16,院校录取信息表!$C:$CN,3,FALSE)),"",VLOOKUP($C16,院校录取信息表!$C:$CN,3,FALSE))</f>
        <v/>
      </c>
      <c r="E16" s="43" t="str">
        <f>IF(ISERROR(VLOOKUP($C16,院校录取信息表!$C:$CN,4,FALSE)),"",VLOOKUP($C16,院校录取信息表!$C:$CN,4,FALSE))</f>
        <v/>
      </c>
      <c r="F16" s="43" t="str">
        <f>IF(ISERROR(VLOOKUP($C16,院校录取信息表!$C:$CN,16,FALSE)),"",VLOOKUP($C16,院校录取信息表!$C:$CN,16,FALSE))</f>
        <v/>
      </c>
      <c r="G16" s="47" t="str">
        <f>IF(ISERROR(VLOOKUP($C16,院校录取信息表!$C:$CN,17,FALSE)),"",VLOOKUP($C16,院校录取信息表!$C:$CN,17,FALSE))</f>
        <v/>
      </c>
      <c r="H16" s="47" t="str">
        <f>IF(ISERROR(VLOOKUP($C16,院校录取信息表!$C:$CN,21,FALSE)),"",VLOOKUP($C16,院校录取信息表!$C:$CN,21,FALSE))</f>
        <v/>
      </c>
      <c r="I16" s="47" t="str">
        <f>IF(ISERROR(VLOOKUP($C16,院校录取信息表!$C:$CN,18,FALSE)),"",VLOOKUP($C16,院校录取信息表!$C:$CN,18,FALSE))</f>
        <v/>
      </c>
      <c r="J16" s="51" t="str">
        <f>IF(ISERROR(VLOOKUP($C16,院校录取信息表!$C:$CN,23,FALSE)),"",VLOOKUP($C16,院校录取信息表!$C:$CN,23,FALSE))</f>
        <v/>
      </c>
      <c r="K16" s="47" t="str">
        <f>IF(ISERROR(VLOOKUP($C16,院校录取信息表!$C:$CN,5,FALSE)),"",VLOOKUP($C16,院校录取信息表!$C:$CN,5,FALSE))</f>
        <v/>
      </c>
      <c r="L16" s="43" t="str">
        <f>IF(ISERROR(VLOOKUP($C16,院校录取信息表!$C:$CN,8,FALSE)),"",VLOOKUP($C16,院校录取信息表!$C:$CN,8,FALSE))</f>
        <v/>
      </c>
      <c r="M16" s="43" t="str">
        <f>IF(ISERROR(VLOOKUP($C16,院校录取信息表!$C:$CN,9,FALSE)),"",VLOOKUP($C16,院校录取信息表!$C:$CN,9,FALSE))</f>
        <v/>
      </c>
      <c r="N16" s="43" t="str">
        <f>IF(ISERROR(VLOOKUP($C16,院校录取信息表!$C:$CN,10,FALSE)),"",VLOOKUP($C16,院校录取信息表!$C:$CN,10,FALSE))</f>
        <v/>
      </c>
      <c r="O16" s="54" t="str">
        <f>IF(ISERROR(VLOOKUP($C16,院校录取信息表!$C:$CN,11,FALSE)),"",VLOOKUP($C16,院校录取信息表!$C:$CN,11,FALSE))</f>
        <v/>
      </c>
      <c r="P16" s="54" t="str">
        <f>IF(ISERROR(VLOOKUP($C16,院校录取信息表!$C:$CN,12,FALSE)),"",VLOOKUP($C16,院校录取信息表!$C:$CN,12,FALSE))</f>
        <v/>
      </c>
      <c r="Q16" s="54" t="str">
        <f>IF(ISERROR(VLOOKUP($C16,院校录取信息表!$C:$CN,13,FALSE)),"",VLOOKUP($C16,院校录取信息表!$C:$CN,13,FALSE))</f>
        <v/>
      </c>
    </row>
    <row r="17" ht="20" customHeight="1" spans="1:17">
      <c r="A17" s="40"/>
      <c r="B17" s="44"/>
      <c r="C17" s="45">
        <v>14</v>
      </c>
      <c r="D17" s="43" t="str">
        <f>IF(ISERROR(VLOOKUP($C17,院校录取信息表!$C:$CN,3,FALSE)),"",VLOOKUP($C17,院校录取信息表!$C:$CN,3,FALSE))</f>
        <v/>
      </c>
      <c r="E17" s="43" t="str">
        <f>IF(ISERROR(VLOOKUP($C17,院校录取信息表!$C:$CN,4,FALSE)),"",VLOOKUP($C17,院校录取信息表!$C:$CN,4,FALSE))</f>
        <v/>
      </c>
      <c r="F17" s="43" t="str">
        <f>IF(ISERROR(VLOOKUP($C17,院校录取信息表!$C:$CN,16,FALSE)),"",VLOOKUP($C17,院校录取信息表!$C:$CN,16,FALSE))</f>
        <v/>
      </c>
      <c r="G17" s="47" t="str">
        <f>IF(ISERROR(VLOOKUP($C17,院校录取信息表!$C:$CN,17,FALSE)),"",VLOOKUP($C17,院校录取信息表!$C:$CN,17,FALSE))</f>
        <v/>
      </c>
      <c r="H17" s="47" t="str">
        <f>IF(ISERROR(VLOOKUP($C17,院校录取信息表!$C:$CN,21,FALSE)),"",VLOOKUP($C17,院校录取信息表!$C:$CN,21,FALSE))</f>
        <v/>
      </c>
      <c r="I17" s="47" t="str">
        <f>IF(ISERROR(VLOOKUP($C17,院校录取信息表!$C:$CN,18,FALSE)),"",VLOOKUP($C17,院校录取信息表!$C:$CN,18,FALSE))</f>
        <v/>
      </c>
      <c r="J17" s="51" t="str">
        <f>IF(ISERROR(VLOOKUP($C17,院校录取信息表!$C:$CN,23,FALSE)),"",VLOOKUP($C17,院校录取信息表!$C:$CN,23,FALSE))</f>
        <v/>
      </c>
      <c r="K17" s="47" t="str">
        <f>IF(ISERROR(VLOOKUP($C17,院校录取信息表!$C:$CN,5,FALSE)),"",VLOOKUP($C17,院校录取信息表!$C:$CN,5,FALSE))</f>
        <v/>
      </c>
      <c r="L17" s="43" t="str">
        <f>IF(ISERROR(VLOOKUP($C17,院校录取信息表!$C:$CN,8,FALSE)),"",VLOOKUP($C17,院校录取信息表!$C:$CN,8,FALSE))</f>
        <v/>
      </c>
      <c r="M17" s="43" t="str">
        <f>IF(ISERROR(VLOOKUP($C17,院校录取信息表!$C:$CN,9,FALSE)),"",VLOOKUP($C17,院校录取信息表!$C:$CN,9,FALSE))</f>
        <v/>
      </c>
      <c r="N17" s="43" t="str">
        <f>IF(ISERROR(VLOOKUP($C17,院校录取信息表!$C:$CN,10,FALSE)),"",VLOOKUP($C17,院校录取信息表!$C:$CN,10,FALSE))</f>
        <v/>
      </c>
      <c r="O17" s="54" t="str">
        <f>IF(ISERROR(VLOOKUP($C17,院校录取信息表!$C:$CN,11,FALSE)),"",VLOOKUP($C17,院校录取信息表!$C:$CN,11,FALSE))</f>
        <v/>
      </c>
      <c r="P17" s="54" t="str">
        <f>IF(ISERROR(VLOOKUP($C17,院校录取信息表!$C:$CN,12,FALSE)),"",VLOOKUP($C17,院校录取信息表!$C:$CN,12,FALSE))</f>
        <v/>
      </c>
      <c r="Q17" s="54" t="str">
        <f>IF(ISERROR(VLOOKUP($C17,院校录取信息表!$C:$CN,13,FALSE)),"",VLOOKUP($C17,院校录取信息表!$C:$CN,13,FALSE))</f>
        <v/>
      </c>
    </row>
    <row r="18" ht="20" customHeight="1" spans="1:17">
      <c r="A18" s="40"/>
      <c r="B18" s="44"/>
      <c r="C18" s="45">
        <v>15</v>
      </c>
      <c r="D18" s="43" t="str">
        <f>IF(ISERROR(VLOOKUP($C18,院校录取信息表!$C:$CN,3,FALSE)),"",VLOOKUP($C18,院校录取信息表!$C:$CN,3,FALSE))</f>
        <v/>
      </c>
      <c r="E18" s="43" t="str">
        <f>IF(ISERROR(VLOOKUP($C18,院校录取信息表!$C:$CN,4,FALSE)),"",VLOOKUP($C18,院校录取信息表!$C:$CN,4,FALSE))</f>
        <v/>
      </c>
      <c r="F18" s="43" t="str">
        <f>IF(ISERROR(VLOOKUP($C18,院校录取信息表!$C:$CN,16,FALSE)),"",VLOOKUP($C18,院校录取信息表!$C:$CN,16,FALSE))</f>
        <v/>
      </c>
      <c r="G18" s="47" t="str">
        <f>IF(ISERROR(VLOOKUP($C18,院校录取信息表!$C:$CN,17,FALSE)),"",VLOOKUP($C18,院校录取信息表!$C:$CN,17,FALSE))</f>
        <v/>
      </c>
      <c r="H18" s="47" t="str">
        <f>IF(ISERROR(VLOOKUP($C18,院校录取信息表!$C:$CN,21,FALSE)),"",VLOOKUP($C18,院校录取信息表!$C:$CN,21,FALSE))</f>
        <v/>
      </c>
      <c r="I18" s="47" t="str">
        <f>IF(ISERROR(VLOOKUP($C18,院校录取信息表!$C:$CN,18,FALSE)),"",VLOOKUP($C18,院校录取信息表!$C:$CN,18,FALSE))</f>
        <v/>
      </c>
      <c r="J18" s="51" t="str">
        <f>IF(ISERROR(VLOOKUP($C18,院校录取信息表!$C:$CN,23,FALSE)),"",VLOOKUP($C18,院校录取信息表!$C:$CN,23,FALSE))</f>
        <v/>
      </c>
      <c r="K18" s="47" t="str">
        <f>IF(ISERROR(VLOOKUP($C18,院校录取信息表!$C:$CN,5,FALSE)),"",VLOOKUP($C18,院校录取信息表!$C:$CN,5,FALSE))</f>
        <v/>
      </c>
      <c r="L18" s="43" t="str">
        <f>IF(ISERROR(VLOOKUP($C18,院校录取信息表!$C:$CN,8,FALSE)),"",VLOOKUP($C18,院校录取信息表!$C:$CN,8,FALSE))</f>
        <v/>
      </c>
      <c r="M18" s="43" t="str">
        <f>IF(ISERROR(VLOOKUP($C18,院校录取信息表!$C:$CN,9,FALSE)),"",VLOOKUP($C18,院校录取信息表!$C:$CN,9,FALSE))</f>
        <v/>
      </c>
      <c r="N18" s="43" t="str">
        <f>IF(ISERROR(VLOOKUP($C18,院校录取信息表!$C:$CN,10,FALSE)),"",VLOOKUP($C18,院校录取信息表!$C:$CN,10,FALSE))</f>
        <v/>
      </c>
      <c r="O18" s="54" t="str">
        <f>IF(ISERROR(VLOOKUP($C18,院校录取信息表!$C:$CN,11,FALSE)),"",VLOOKUP($C18,院校录取信息表!$C:$CN,11,FALSE))</f>
        <v/>
      </c>
      <c r="P18" s="54" t="str">
        <f>IF(ISERROR(VLOOKUP($C18,院校录取信息表!$C:$CN,12,FALSE)),"",VLOOKUP($C18,院校录取信息表!$C:$CN,12,FALSE))</f>
        <v/>
      </c>
      <c r="Q18" s="54" t="str">
        <f>IF(ISERROR(VLOOKUP($C18,院校录取信息表!$C:$CN,13,FALSE)),"",VLOOKUP($C18,院校录取信息表!$C:$CN,13,FALSE))</f>
        <v/>
      </c>
    </row>
    <row r="19" ht="20" customHeight="1" spans="1:17">
      <c r="A19" s="40"/>
      <c r="B19" s="44"/>
      <c r="C19" s="45">
        <v>16</v>
      </c>
      <c r="D19" s="43" t="str">
        <f>IF(ISERROR(VLOOKUP($C19,院校录取信息表!$C:$CN,3,FALSE)),"",VLOOKUP($C19,院校录取信息表!$C:$CN,3,FALSE))</f>
        <v/>
      </c>
      <c r="E19" s="43" t="str">
        <f>IF(ISERROR(VLOOKUP($C19,院校录取信息表!$C:$CN,4,FALSE)),"",VLOOKUP($C19,院校录取信息表!$C:$CN,4,FALSE))</f>
        <v/>
      </c>
      <c r="F19" s="43" t="str">
        <f>IF(ISERROR(VLOOKUP($C19,院校录取信息表!$C:$CN,16,FALSE)),"",VLOOKUP($C19,院校录取信息表!$C:$CN,16,FALSE))</f>
        <v/>
      </c>
      <c r="G19" s="47" t="str">
        <f>IF(ISERROR(VLOOKUP($C19,院校录取信息表!$C:$CN,17,FALSE)),"",VLOOKUP($C19,院校录取信息表!$C:$CN,17,FALSE))</f>
        <v/>
      </c>
      <c r="H19" s="47" t="str">
        <f>IF(ISERROR(VLOOKUP($C19,院校录取信息表!$C:$CN,21,FALSE)),"",VLOOKUP($C19,院校录取信息表!$C:$CN,21,FALSE))</f>
        <v/>
      </c>
      <c r="I19" s="47" t="str">
        <f>IF(ISERROR(VLOOKUP($C19,院校录取信息表!$C:$CN,18,FALSE)),"",VLOOKUP($C19,院校录取信息表!$C:$CN,18,FALSE))</f>
        <v/>
      </c>
      <c r="J19" s="51" t="str">
        <f>IF(ISERROR(VLOOKUP($C19,院校录取信息表!$C:$CN,23,FALSE)),"",VLOOKUP($C19,院校录取信息表!$C:$CN,23,FALSE))</f>
        <v/>
      </c>
      <c r="K19" s="47" t="str">
        <f>IF(ISERROR(VLOOKUP($C19,院校录取信息表!$C:$CN,5,FALSE)),"",VLOOKUP($C19,院校录取信息表!$C:$CN,5,FALSE))</f>
        <v/>
      </c>
      <c r="L19" s="43" t="str">
        <f>IF(ISERROR(VLOOKUP($C19,院校录取信息表!$C:$CN,8,FALSE)),"",VLOOKUP($C19,院校录取信息表!$C:$CN,8,FALSE))</f>
        <v/>
      </c>
      <c r="M19" s="43" t="str">
        <f>IF(ISERROR(VLOOKUP($C19,院校录取信息表!$C:$CN,9,FALSE)),"",VLOOKUP($C19,院校录取信息表!$C:$CN,9,FALSE))</f>
        <v/>
      </c>
      <c r="N19" s="43" t="str">
        <f>IF(ISERROR(VLOOKUP($C19,院校录取信息表!$C:$CN,10,FALSE)),"",VLOOKUP($C19,院校录取信息表!$C:$CN,10,FALSE))</f>
        <v/>
      </c>
      <c r="O19" s="54" t="str">
        <f>IF(ISERROR(VLOOKUP($C19,院校录取信息表!$C:$CN,11,FALSE)),"",VLOOKUP($C19,院校录取信息表!$C:$CN,11,FALSE))</f>
        <v/>
      </c>
      <c r="P19" s="54" t="str">
        <f>IF(ISERROR(VLOOKUP($C19,院校录取信息表!$C:$CN,12,FALSE)),"",VLOOKUP($C19,院校录取信息表!$C:$CN,12,FALSE))</f>
        <v/>
      </c>
      <c r="Q19" s="54" t="str">
        <f>IF(ISERROR(VLOOKUP($C19,院校录取信息表!$C:$CN,13,FALSE)),"",VLOOKUP($C19,院校录取信息表!$C:$CN,13,FALSE))</f>
        <v/>
      </c>
    </row>
    <row r="20" ht="20" customHeight="1" spans="1:17">
      <c r="A20" s="40"/>
      <c r="B20" s="44"/>
      <c r="C20" s="45">
        <v>17</v>
      </c>
      <c r="D20" s="43" t="str">
        <f>IF(ISERROR(VLOOKUP($C20,院校录取信息表!$C:$CN,3,FALSE)),"",VLOOKUP($C20,院校录取信息表!$C:$CN,3,FALSE))</f>
        <v/>
      </c>
      <c r="E20" s="43" t="str">
        <f>IF(ISERROR(VLOOKUP($C20,院校录取信息表!$C:$CN,4,FALSE)),"",VLOOKUP($C20,院校录取信息表!$C:$CN,4,FALSE))</f>
        <v/>
      </c>
      <c r="F20" s="43" t="str">
        <f>IF(ISERROR(VLOOKUP($C20,院校录取信息表!$C:$CN,16,FALSE)),"",VLOOKUP($C20,院校录取信息表!$C:$CN,16,FALSE))</f>
        <v/>
      </c>
      <c r="G20" s="47" t="str">
        <f>IF(ISERROR(VLOOKUP($C20,院校录取信息表!$C:$CN,17,FALSE)),"",VLOOKUP($C20,院校录取信息表!$C:$CN,17,FALSE))</f>
        <v/>
      </c>
      <c r="H20" s="47" t="str">
        <f>IF(ISERROR(VLOOKUP($C20,院校录取信息表!$C:$CN,21,FALSE)),"",VLOOKUP($C20,院校录取信息表!$C:$CN,21,FALSE))</f>
        <v/>
      </c>
      <c r="I20" s="47" t="str">
        <f>IF(ISERROR(VLOOKUP($C20,院校录取信息表!$C:$CN,18,FALSE)),"",VLOOKUP($C20,院校录取信息表!$C:$CN,18,FALSE))</f>
        <v/>
      </c>
      <c r="J20" s="51" t="str">
        <f>IF(ISERROR(VLOOKUP($C20,院校录取信息表!$C:$CN,23,FALSE)),"",VLOOKUP($C20,院校录取信息表!$C:$CN,23,FALSE))</f>
        <v/>
      </c>
      <c r="K20" s="47" t="str">
        <f>IF(ISERROR(VLOOKUP($C20,院校录取信息表!$C:$CN,5,FALSE)),"",VLOOKUP($C20,院校录取信息表!$C:$CN,5,FALSE))</f>
        <v/>
      </c>
      <c r="L20" s="43" t="str">
        <f>IF(ISERROR(VLOOKUP($C20,院校录取信息表!$C:$CN,8,FALSE)),"",VLOOKUP($C20,院校录取信息表!$C:$CN,8,FALSE))</f>
        <v/>
      </c>
      <c r="M20" s="43" t="str">
        <f>IF(ISERROR(VLOOKUP($C20,院校录取信息表!$C:$CN,9,FALSE)),"",VLOOKUP($C20,院校录取信息表!$C:$CN,9,FALSE))</f>
        <v/>
      </c>
      <c r="N20" s="43" t="str">
        <f>IF(ISERROR(VLOOKUP($C20,院校录取信息表!$C:$CN,10,FALSE)),"",VLOOKUP($C20,院校录取信息表!$C:$CN,10,FALSE))</f>
        <v/>
      </c>
      <c r="O20" s="54" t="str">
        <f>IF(ISERROR(VLOOKUP($C20,院校录取信息表!$C:$CN,11,FALSE)),"",VLOOKUP($C20,院校录取信息表!$C:$CN,11,FALSE))</f>
        <v/>
      </c>
      <c r="P20" s="54" t="str">
        <f>IF(ISERROR(VLOOKUP($C20,院校录取信息表!$C:$CN,12,FALSE)),"",VLOOKUP($C20,院校录取信息表!$C:$CN,12,FALSE))</f>
        <v/>
      </c>
      <c r="Q20" s="54" t="str">
        <f>IF(ISERROR(VLOOKUP($C20,院校录取信息表!$C:$CN,13,FALSE)),"",VLOOKUP($C20,院校录取信息表!$C:$CN,13,FALSE))</f>
        <v/>
      </c>
    </row>
    <row r="21" ht="20" customHeight="1" spans="1:17">
      <c r="A21" s="40"/>
      <c r="B21" s="44"/>
      <c r="C21" s="45">
        <v>18</v>
      </c>
      <c r="D21" s="43" t="str">
        <f>IF(ISERROR(VLOOKUP($C21,院校录取信息表!$C:$CN,3,FALSE)),"",VLOOKUP($C21,院校录取信息表!$C:$CN,3,FALSE))</f>
        <v/>
      </c>
      <c r="E21" s="43" t="str">
        <f>IF(ISERROR(VLOOKUP($C21,院校录取信息表!$C:$CN,4,FALSE)),"",VLOOKUP($C21,院校录取信息表!$C:$CN,4,FALSE))</f>
        <v/>
      </c>
      <c r="F21" s="43" t="str">
        <f>IF(ISERROR(VLOOKUP($C21,院校录取信息表!$C:$CN,16,FALSE)),"",VLOOKUP($C21,院校录取信息表!$C:$CN,16,FALSE))</f>
        <v/>
      </c>
      <c r="G21" s="47" t="str">
        <f>IF(ISERROR(VLOOKUP($C21,院校录取信息表!$C:$CN,17,FALSE)),"",VLOOKUP($C21,院校录取信息表!$C:$CN,17,FALSE))</f>
        <v/>
      </c>
      <c r="H21" s="47" t="str">
        <f>IF(ISERROR(VLOOKUP($C21,院校录取信息表!$C:$CN,21,FALSE)),"",VLOOKUP($C21,院校录取信息表!$C:$CN,21,FALSE))</f>
        <v/>
      </c>
      <c r="I21" s="47" t="str">
        <f>IF(ISERROR(VLOOKUP($C21,院校录取信息表!$C:$CN,18,FALSE)),"",VLOOKUP($C21,院校录取信息表!$C:$CN,18,FALSE))</f>
        <v/>
      </c>
      <c r="J21" s="51" t="str">
        <f>IF(ISERROR(VLOOKUP($C21,院校录取信息表!$C:$CN,23,FALSE)),"",VLOOKUP($C21,院校录取信息表!$C:$CN,23,FALSE))</f>
        <v/>
      </c>
      <c r="K21" s="47" t="str">
        <f>IF(ISERROR(VLOOKUP($C21,院校录取信息表!$C:$CN,5,FALSE)),"",VLOOKUP($C21,院校录取信息表!$C:$CN,5,FALSE))</f>
        <v/>
      </c>
      <c r="L21" s="43" t="str">
        <f>IF(ISERROR(VLOOKUP($C21,院校录取信息表!$C:$CN,8,FALSE)),"",VLOOKUP($C21,院校录取信息表!$C:$CN,8,FALSE))</f>
        <v/>
      </c>
      <c r="M21" s="43" t="str">
        <f>IF(ISERROR(VLOOKUP($C21,院校录取信息表!$C:$CN,9,FALSE)),"",VLOOKUP($C21,院校录取信息表!$C:$CN,9,FALSE))</f>
        <v/>
      </c>
      <c r="N21" s="43" t="str">
        <f>IF(ISERROR(VLOOKUP($C21,院校录取信息表!$C:$CN,10,FALSE)),"",VLOOKUP($C21,院校录取信息表!$C:$CN,10,FALSE))</f>
        <v/>
      </c>
      <c r="O21" s="54" t="str">
        <f>IF(ISERROR(VLOOKUP($C21,院校录取信息表!$C:$CN,11,FALSE)),"",VLOOKUP($C21,院校录取信息表!$C:$CN,11,FALSE))</f>
        <v/>
      </c>
      <c r="P21" s="54" t="str">
        <f>IF(ISERROR(VLOOKUP($C21,院校录取信息表!$C:$CN,12,FALSE)),"",VLOOKUP($C21,院校录取信息表!$C:$CN,12,FALSE))</f>
        <v/>
      </c>
      <c r="Q21" s="54" t="str">
        <f>IF(ISERROR(VLOOKUP($C21,院校录取信息表!$C:$CN,13,FALSE)),"",VLOOKUP($C21,院校录取信息表!$C:$CN,13,FALSE))</f>
        <v/>
      </c>
    </row>
    <row r="22" ht="20" customHeight="1" spans="1:17">
      <c r="A22" s="40"/>
      <c r="B22" s="44" t="s">
        <v>1047</v>
      </c>
      <c r="C22" s="45">
        <v>19</v>
      </c>
      <c r="D22" s="43" t="str">
        <f>IF(ISERROR(VLOOKUP($C22,院校录取信息表!$C:$CN,3,FALSE)),"",VLOOKUP($C22,院校录取信息表!$C:$CN,3,FALSE))</f>
        <v/>
      </c>
      <c r="E22" s="43" t="str">
        <f>IF(ISERROR(VLOOKUP($C22,院校录取信息表!$C:$CN,4,FALSE)),"",VLOOKUP($C22,院校录取信息表!$C:$CN,4,FALSE))</f>
        <v/>
      </c>
      <c r="F22" s="43" t="str">
        <f>IF(ISERROR(VLOOKUP($C22,院校录取信息表!$C:$CN,16,FALSE)),"",VLOOKUP($C22,院校录取信息表!$C:$CN,16,FALSE))</f>
        <v/>
      </c>
      <c r="G22" s="47" t="str">
        <f>IF(ISERROR(VLOOKUP($C22,院校录取信息表!$C:$CN,17,FALSE)),"",VLOOKUP($C22,院校录取信息表!$C:$CN,17,FALSE))</f>
        <v/>
      </c>
      <c r="H22" s="47" t="str">
        <f>IF(ISERROR(VLOOKUP($C22,院校录取信息表!$C:$CN,21,FALSE)),"",VLOOKUP($C22,院校录取信息表!$C:$CN,21,FALSE))</f>
        <v/>
      </c>
      <c r="I22" s="47" t="str">
        <f>IF(ISERROR(VLOOKUP($C22,院校录取信息表!$C:$CN,18,FALSE)),"",VLOOKUP($C22,院校录取信息表!$C:$CN,18,FALSE))</f>
        <v/>
      </c>
      <c r="J22" s="51" t="str">
        <f>IF(ISERROR(VLOOKUP($C22,院校录取信息表!$C:$CN,23,FALSE)),"",VLOOKUP($C22,院校录取信息表!$C:$CN,23,FALSE))</f>
        <v/>
      </c>
      <c r="K22" s="47" t="str">
        <f>IF(ISERROR(VLOOKUP($C22,院校录取信息表!$C:$CN,5,FALSE)),"",VLOOKUP($C22,院校录取信息表!$C:$CN,5,FALSE))</f>
        <v/>
      </c>
      <c r="L22" s="43" t="str">
        <f>IF(ISERROR(VLOOKUP($C22,院校录取信息表!$C:$CN,8,FALSE)),"",VLOOKUP($C22,院校录取信息表!$C:$CN,8,FALSE))</f>
        <v/>
      </c>
      <c r="M22" s="43" t="str">
        <f>IF(ISERROR(VLOOKUP($C22,院校录取信息表!$C:$CN,9,FALSE)),"",VLOOKUP($C22,院校录取信息表!$C:$CN,9,FALSE))</f>
        <v/>
      </c>
      <c r="N22" s="43" t="str">
        <f>IF(ISERROR(VLOOKUP($C22,院校录取信息表!$C:$CN,10,FALSE)),"",VLOOKUP($C22,院校录取信息表!$C:$CN,10,FALSE))</f>
        <v/>
      </c>
      <c r="O22" s="54" t="str">
        <f>IF(ISERROR(VLOOKUP($C22,院校录取信息表!$C:$CN,11,FALSE)),"",VLOOKUP($C22,院校录取信息表!$C:$CN,11,FALSE))</f>
        <v/>
      </c>
      <c r="P22" s="54" t="str">
        <f>IF(ISERROR(VLOOKUP($C22,院校录取信息表!$C:$CN,12,FALSE)),"",VLOOKUP($C22,院校录取信息表!$C:$CN,12,FALSE))</f>
        <v/>
      </c>
      <c r="Q22" s="54" t="str">
        <f>IF(ISERROR(VLOOKUP($C22,院校录取信息表!$C:$CN,13,FALSE)),"",VLOOKUP($C22,院校录取信息表!$C:$CN,13,FALSE))</f>
        <v/>
      </c>
    </row>
    <row r="23" ht="20" customHeight="1" spans="1:17">
      <c r="A23" s="40"/>
      <c r="B23" s="44"/>
      <c r="C23" s="45">
        <v>20</v>
      </c>
      <c r="D23" s="43" t="str">
        <f>IF(ISERROR(VLOOKUP($C23,院校录取信息表!$C:$CN,3,FALSE)),"",VLOOKUP($C23,院校录取信息表!$C:$CN,3,FALSE))</f>
        <v/>
      </c>
      <c r="E23" s="43" t="str">
        <f>IF(ISERROR(VLOOKUP($C23,院校录取信息表!$C:$CN,4,FALSE)),"",VLOOKUP($C23,院校录取信息表!$C:$CN,4,FALSE))</f>
        <v/>
      </c>
      <c r="F23" s="43" t="str">
        <f>IF(ISERROR(VLOOKUP($C23,院校录取信息表!$C:$CN,16,FALSE)),"",VLOOKUP($C23,院校录取信息表!$C:$CN,16,FALSE))</f>
        <v/>
      </c>
      <c r="G23" s="47" t="str">
        <f>IF(ISERROR(VLOOKUP($C23,院校录取信息表!$C:$CN,17,FALSE)),"",VLOOKUP($C23,院校录取信息表!$C:$CN,17,FALSE))</f>
        <v/>
      </c>
      <c r="H23" s="47" t="str">
        <f>IF(ISERROR(VLOOKUP($C23,院校录取信息表!$C:$CN,21,FALSE)),"",VLOOKUP($C23,院校录取信息表!$C:$CN,21,FALSE))</f>
        <v/>
      </c>
      <c r="I23" s="47" t="str">
        <f>IF(ISERROR(VLOOKUP($C23,院校录取信息表!$C:$CN,18,FALSE)),"",VLOOKUP($C23,院校录取信息表!$C:$CN,18,FALSE))</f>
        <v/>
      </c>
      <c r="J23" s="51" t="str">
        <f>IF(ISERROR(VLOOKUP($C23,院校录取信息表!$C:$CN,23,FALSE)),"",VLOOKUP($C23,院校录取信息表!$C:$CN,23,FALSE))</f>
        <v/>
      </c>
      <c r="K23" s="47" t="str">
        <f>IF(ISERROR(VLOOKUP($C23,院校录取信息表!$C:$CN,5,FALSE)),"",VLOOKUP($C23,院校录取信息表!$C:$CN,5,FALSE))</f>
        <v/>
      </c>
      <c r="L23" s="43" t="str">
        <f>IF(ISERROR(VLOOKUP($C23,院校录取信息表!$C:$CN,8,FALSE)),"",VLOOKUP($C23,院校录取信息表!$C:$CN,8,FALSE))</f>
        <v/>
      </c>
      <c r="M23" s="43" t="str">
        <f>IF(ISERROR(VLOOKUP($C23,院校录取信息表!$C:$CN,9,FALSE)),"",VLOOKUP($C23,院校录取信息表!$C:$CN,9,FALSE))</f>
        <v/>
      </c>
      <c r="N23" s="43" t="str">
        <f>IF(ISERROR(VLOOKUP($C23,院校录取信息表!$C:$CN,10,FALSE)),"",VLOOKUP($C23,院校录取信息表!$C:$CN,10,FALSE))</f>
        <v/>
      </c>
      <c r="O23" s="54" t="str">
        <f>IF(ISERROR(VLOOKUP($C23,院校录取信息表!$C:$CN,11,FALSE)),"",VLOOKUP($C23,院校录取信息表!$C:$CN,11,FALSE))</f>
        <v/>
      </c>
      <c r="P23" s="54" t="str">
        <f>IF(ISERROR(VLOOKUP($C23,院校录取信息表!$C:$CN,12,FALSE)),"",VLOOKUP($C23,院校录取信息表!$C:$CN,12,FALSE))</f>
        <v/>
      </c>
      <c r="Q23" s="54" t="str">
        <f>IF(ISERROR(VLOOKUP($C23,院校录取信息表!$C:$CN,13,FALSE)),"",VLOOKUP($C23,院校录取信息表!$C:$CN,13,FALSE))</f>
        <v/>
      </c>
    </row>
    <row r="24" ht="20" customHeight="1" spans="1:17">
      <c r="A24" s="46"/>
      <c r="B24" s="44"/>
      <c r="C24" s="45">
        <v>21</v>
      </c>
      <c r="D24" s="43" t="str">
        <f>IF(ISERROR(VLOOKUP($C24,院校录取信息表!$C:$CN,3,FALSE)),"",VLOOKUP($C24,院校录取信息表!$C:$CN,3,FALSE))</f>
        <v/>
      </c>
      <c r="E24" s="43" t="str">
        <f>IF(ISERROR(VLOOKUP($C24,院校录取信息表!$C:$CN,4,FALSE)),"",VLOOKUP($C24,院校录取信息表!$C:$CN,4,FALSE))</f>
        <v/>
      </c>
      <c r="F24" s="43" t="str">
        <f>IF(ISERROR(VLOOKUP($C24,院校录取信息表!$C:$CN,16,FALSE)),"",VLOOKUP($C24,院校录取信息表!$C:$CN,16,FALSE))</f>
        <v/>
      </c>
      <c r="G24" s="47" t="str">
        <f>IF(ISERROR(VLOOKUP($C24,院校录取信息表!$C:$CN,17,FALSE)),"",VLOOKUP($C24,院校录取信息表!$C:$CN,17,FALSE))</f>
        <v/>
      </c>
      <c r="H24" s="47" t="str">
        <f>IF(ISERROR(VLOOKUP($C24,院校录取信息表!$C:$CN,21,FALSE)),"",VLOOKUP($C24,院校录取信息表!$C:$CN,21,FALSE))</f>
        <v/>
      </c>
      <c r="I24" s="47" t="str">
        <f>IF(ISERROR(VLOOKUP($C24,院校录取信息表!$C:$CN,18,FALSE)),"",VLOOKUP($C24,院校录取信息表!$C:$CN,18,FALSE))</f>
        <v/>
      </c>
      <c r="J24" s="51" t="str">
        <f>IF(ISERROR(VLOOKUP($C24,院校录取信息表!$C:$CN,23,FALSE)),"",VLOOKUP($C24,院校录取信息表!$C:$CN,23,FALSE))</f>
        <v/>
      </c>
      <c r="K24" s="47" t="str">
        <f>IF(ISERROR(VLOOKUP($C24,院校录取信息表!$C:$CN,5,FALSE)),"",VLOOKUP($C24,院校录取信息表!$C:$CN,5,FALSE))</f>
        <v/>
      </c>
      <c r="L24" s="43" t="str">
        <f>IF(ISERROR(VLOOKUP($C24,院校录取信息表!$C:$CN,8,FALSE)),"",VLOOKUP($C24,院校录取信息表!$C:$CN,8,FALSE))</f>
        <v/>
      </c>
      <c r="M24" s="43" t="str">
        <f>IF(ISERROR(VLOOKUP($C24,院校录取信息表!$C:$CN,9,FALSE)),"",VLOOKUP($C24,院校录取信息表!$C:$CN,9,FALSE))</f>
        <v/>
      </c>
      <c r="N24" s="43" t="str">
        <f>IF(ISERROR(VLOOKUP($C24,院校录取信息表!$C:$CN,10,FALSE)),"",VLOOKUP($C24,院校录取信息表!$C:$CN,10,FALSE))</f>
        <v/>
      </c>
      <c r="O24" s="54" t="str">
        <f>IF(ISERROR(VLOOKUP($C24,院校录取信息表!$C:$CN,11,FALSE)),"",VLOOKUP($C24,院校录取信息表!$C:$CN,11,FALSE))</f>
        <v/>
      </c>
      <c r="P24" s="54" t="str">
        <f>IF(ISERROR(VLOOKUP($C24,院校录取信息表!$C:$CN,12,FALSE)),"",VLOOKUP($C24,院校录取信息表!$C:$CN,12,FALSE))</f>
        <v/>
      </c>
      <c r="Q24" s="54" t="str">
        <f>IF(ISERROR(VLOOKUP($C24,院校录取信息表!$C:$CN,13,FALSE)),"",VLOOKUP($C24,院校录取信息表!$C:$CN,13,FALSE))</f>
        <v/>
      </c>
    </row>
    <row r="25" ht="20" customHeight="1" spans="1:17">
      <c r="A25" s="46"/>
      <c r="B25" s="44"/>
      <c r="C25" s="45">
        <v>22</v>
      </c>
      <c r="D25" s="43" t="str">
        <f>IF(ISERROR(VLOOKUP($C25,院校录取信息表!$C:$CN,3,FALSE)),"",VLOOKUP($C25,院校录取信息表!$C:$CN,3,FALSE))</f>
        <v/>
      </c>
      <c r="E25" s="43" t="str">
        <f>IF(ISERROR(VLOOKUP($C25,院校录取信息表!$C:$CN,4,FALSE)),"",VLOOKUP($C25,院校录取信息表!$C:$CN,4,FALSE))</f>
        <v/>
      </c>
      <c r="F25" s="43" t="str">
        <f>IF(ISERROR(VLOOKUP($C25,院校录取信息表!$C:$CN,16,FALSE)),"",VLOOKUP($C25,院校录取信息表!$C:$CN,16,FALSE))</f>
        <v/>
      </c>
      <c r="G25" s="47" t="str">
        <f>IF(ISERROR(VLOOKUP($C25,院校录取信息表!$C:$CN,17,FALSE)),"",VLOOKUP($C25,院校录取信息表!$C:$CN,17,FALSE))</f>
        <v/>
      </c>
      <c r="H25" s="47" t="str">
        <f>IF(ISERROR(VLOOKUP($C25,院校录取信息表!$C:$CN,21,FALSE)),"",VLOOKUP($C25,院校录取信息表!$C:$CN,21,FALSE))</f>
        <v/>
      </c>
      <c r="I25" s="47" t="str">
        <f>IF(ISERROR(VLOOKUP($C25,院校录取信息表!$C:$CN,18,FALSE)),"",VLOOKUP($C25,院校录取信息表!$C:$CN,18,FALSE))</f>
        <v/>
      </c>
      <c r="J25" s="51" t="str">
        <f>IF(ISERROR(VLOOKUP($C25,院校录取信息表!$C:$CN,23,FALSE)),"",VLOOKUP($C25,院校录取信息表!$C:$CN,23,FALSE))</f>
        <v/>
      </c>
      <c r="K25" s="47" t="str">
        <f>IF(ISERROR(VLOOKUP($C25,院校录取信息表!$C:$CN,5,FALSE)),"",VLOOKUP($C25,院校录取信息表!$C:$CN,5,FALSE))</f>
        <v/>
      </c>
      <c r="L25" s="43" t="str">
        <f>IF(ISERROR(VLOOKUP($C25,院校录取信息表!$C:$CN,8,FALSE)),"",VLOOKUP($C25,院校录取信息表!$C:$CN,8,FALSE))</f>
        <v/>
      </c>
      <c r="M25" s="43" t="str">
        <f>IF(ISERROR(VLOOKUP($C25,院校录取信息表!$C:$CN,9,FALSE)),"",VLOOKUP($C25,院校录取信息表!$C:$CN,9,FALSE))</f>
        <v/>
      </c>
      <c r="N25" s="43" t="str">
        <f>IF(ISERROR(VLOOKUP($C25,院校录取信息表!$C:$CN,10,FALSE)),"",VLOOKUP($C25,院校录取信息表!$C:$CN,10,FALSE))</f>
        <v/>
      </c>
      <c r="O25" s="54" t="str">
        <f>IF(ISERROR(VLOOKUP($C25,院校录取信息表!$C:$CN,11,FALSE)),"",VLOOKUP($C25,院校录取信息表!$C:$CN,11,FALSE))</f>
        <v/>
      </c>
      <c r="P25" s="54" t="str">
        <f>IF(ISERROR(VLOOKUP($C25,院校录取信息表!$C:$CN,12,FALSE)),"",VLOOKUP($C25,院校录取信息表!$C:$CN,12,FALSE))</f>
        <v/>
      </c>
      <c r="Q25" s="54" t="str">
        <f>IF(ISERROR(VLOOKUP($C25,院校录取信息表!$C:$CN,13,FALSE)),"",VLOOKUP($C25,院校录取信息表!$C:$CN,13,FALSE))</f>
        <v/>
      </c>
    </row>
    <row r="26" ht="20" customHeight="1" spans="1:17">
      <c r="A26" s="46"/>
      <c r="B26" s="44"/>
      <c r="C26" s="45">
        <v>23</v>
      </c>
      <c r="D26" s="43" t="str">
        <f>IF(ISERROR(VLOOKUP($C26,院校录取信息表!$C:$CN,3,FALSE)),"",VLOOKUP($C26,院校录取信息表!$C:$CN,3,FALSE))</f>
        <v/>
      </c>
      <c r="E26" s="43" t="str">
        <f>IF(ISERROR(VLOOKUP($C26,院校录取信息表!$C:$CN,4,FALSE)),"",VLOOKUP($C26,院校录取信息表!$C:$CN,4,FALSE))</f>
        <v/>
      </c>
      <c r="F26" s="43" t="str">
        <f>IF(ISERROR(VLOOKUP($C26,院校录取信息表!$C:$CN,16,FALSE)),"",VLOOKUP($C26,院校录取信息表!$C:$CN,16,FALSE))</f>
        <v/>
      </c>
      <c r="G26" s="47" t="str">
        <f>IF(ISERROR(VLOOKUP($C26,院校录取信息表!$C:$CN,17,FALSE)),"",VLOOKUP($C26,院校录取信息表!$C:$CN,17,FALSE))</f>
        <v/>
      </c>
      <c r="H26" s="47" t="str">
        <f>IF(ISERROR(VLOOKUP($C26,院校录取信息表!$C:$CN,21,FALSE)),"",VLOOKUP($C26,院校录取信息表!$C:$CN,21,FALSE))</f>
        <v/>
      </c>
      <c r="I26" s="47" t="str">
        <f>IF(ISERROR(VLOOKUP($C26,院校录取信息表!$C:$CN,18,FALSE)),"",VLOOKUP($C26,院校录取信息表!$C:$CN,18,FALSE))</f>
        <v/>
      </c>
      <c r="J26" s="51" t="str">
        <f>IF(ISERROR(VLOOKUP($C26,院校录取信息表!$C:$CN,23,FALSE)),"",VLOOKUP($C26,院校录取信息表!$C:$CN,23,FALSE))</f>
        <v/>
      </c>
      <c r="K26" s="47" t="str">
        <f>IF(ISERROR(VLOOKUP($C26,院校录取信息表!$C:$CN,5,FALSE)),"",VLOOKUP($C26,院校录取信息表!$C:$CN,5,FALSE))</f>
        <v/>
      </c>
      <c r="L26" s="43" t="str">
        <f>IF(ISERROR(VLOOKUP($C26,院校录取信息表!$C:$CN,8,FALSE)),"",VLOOKUP($C26,院校录取信息表!$C:$CN,8,FALSE))</f>
        <v/>
      </c>
      <c r="M26" s="43" t="str">
        <f>IF(ISERROR(VLOOKUP($C26,院校录取信息表!$C:$CN,9,FALSE)),"",VLOOKUP($C26,院校录取信息表!$C:$CN,9,FALSE))</f>
        <v/>
      </c>
      <c r="N26" s="43" t="str">
        <f>IF(ISERROR(VLOOKUP($C26,院校录取信息表!$C:$CN,10,FALSE)),"",VLOOKUP($C26,院校录取信息表!$C:$CN,10,FALSE))</f>
        <v/>
      </c>
      <c r="O26" s="54" t="str">
        <f>IF(ISERROR(VLOOKUP($C26,院校录取信息表!$C:$CN,11,FALSE)),"",VLOOKUP($C26,院校录取信息表!$C:$CN,11,FALSE))</f>
        <v/>
      </c>
      <c r="P26" s="54" t="str">
        <f>IF(ISERROR(VLOOKUP($C26,院校录取信息表!$C:$CN,12,FALSE)),"",VLOOKUP($C26,院校录取信息表!$C:$CN,12,FALSE))</f>
        <v/>
      </c>
      <c r="Q26" s="54" t="str">
        <f>IF(ISERROR(VLOOKUP($C26,院校录取信息表!$C:$CN,13,FALSE)),"",VLOOKUP($C26,院校录取信息表!$C:$CN,13,FALSE))</f>
        <v/>
      </c>
    </row>
    <row r="27" ht="20" customHeight="1" spans="1:17">
      <c r="A27" s="46"/>
      <c r="B27" s="44"/>
      <c r="C27" s="45">
        <v>24</v>
      </c>
      <c r="D27" s="43" t="str">
        <f>IF(ISERROR(VLOOKUP($C27,院校录取信息表!$C:$CN,3,FALSE)),"",VLOOKUP($C27,院校录取信息表!$C:$CN,3,FALSE))</f>
        <v/>
      </c>
      <c r="E27" s="43" t="str">
        <f>IF(ISERROR(VLOOKUP($C27,院校录取信息表!$C:$CN,4,FALSE)),"",VLOOKUP($C27,院校录取信息表!$C:$CN,4,FALSE))</f>
        <v/>
      </c>
      <c r="F27" s="43" t="str">
        <f>IF(ISERROR(VLOOKUP($C27,院校录取信息表!$C:$CN,16,FALSE)),"",VLOOKUP($C27,院校录取信息表!$C:$CN,16,FALSE))</f>
        <v/>
      </c>
      <c r="G27" s="47" t="str">
        <f>IF(ISERROR(VLOOKUP($C27,院校录取信息表!$C:$CN,17,FALSE)),"",VLOOKUP($C27,院校录取信息表!$C:$CN,17,FALSE))</f>
        <v/>
      </c>
      <c r="H27" s="47" t="str">
        <f>IF(ISERROR(VLOOKUP($C27,院校录取信息表!$C:$CN,21,FALSE)),"",VLOOKUP($C27,院校录取信息表!$C:$CN,21,FALSE))</f>
        <v/>
      </c>
      <c r="I27" s="47" t="str">
        <f>IF(ISERROR(VLOOKUP($C27,院校录取信息表!$C:$CN,18,FALSE)),"",VLOOKUP($C27,院校录取信息表!$C:$CN,18,FALSE))</f>
        <v/>
      </c>
      <c r="J27" s="51" t="str">
        <f>IF(ISERROR(VLOOKUP($C27,院校录取信息表!$C:$CN,23,FALSE)),"",VLOOKUP($C27,院校录取信息表!$C:$CN,23,FALSE))</f>
        <v/>
      </c>
      <c r="K27" s="47" t="str">
        <f>IF(ISERROR(VLOOKUP($C27,院校录取信息表!$C:$CN,5,FALSE)),"",VLOOKUP($C27,院校录取信息表!$C:$CN,5,FALSE))</f>
        <v/>
      </c>
      <c r="L27" s="43" t="str">
        <f>IF(ISERROR(VLOOKUP($C27,院校录取信息表!$C:$CN,8,FALSE)),"",VLOOKUP($C27,院校录取信息表!$C:$CN,8,FALSE))</f>
        <v/>
      </c>
      <c r="M27" s="43" t="str">
        <f>IF(ISERROR(VLOOKUP($C27,院校录取信息表!$C:$CN,9,FALSE)),"",VLOOKUP($C27,院校录取信息表!$C:$CN,9,FALSE))</f>
        <v/>
      </c>
      <c r="N27" s="43" t="str">
        <f>IF(ISERROR(VLOOKUP($C27,院校录取信息表!$C:$CN,10,FALSE)),"",VLOOKUP($C27,院校录取信息表!$C:$CN,10,FALSE))</f>
        <v/>
      </c>
      <c r="O27" s="54" t="str">
        <f>IF(ISERROR(VLOOKUP($C27,院校录取信息表!$C:$CN,11,FALSE)),"",VLOOKUP($C27,院校录取信息表!$C:$CN,11,FALSE))</f>
        <v/>
      </c>
      <c r="P27" s="54" t="str">
        <f>IF(ISERROR(VLOOKUP($C27,院校录取信息表!$C:$CN,12,FALSE)),"",VLOOKUP($C27,院校录取信息表!$C:$CN,12,FALSE))</f>
        <v/>
      </c>
      <c r="Q27" s="54" t="str">
        <f>IF(ISERROR(VLOOKUP($C27,院校录取信息表!$C:$CN,13,FALSE)),"",VLOOKUP($C27,院校录取信息表!$C:$CN,13,FALSE))</f>
        <v/>
      </c>
    </row>
    <row r="28" ht="20" customHeight="1" spans="1:17">
      <c r="A28" s="46"/>
      <c r="B28" s="44" t="s">
        <v>1048</v>
      </c>
      <c r="C28" s="45">
        <v>25</v>
      </c>
      <c r="D28" s="43" t="str">
        <f>IF(ISERROR(VLOOKUP($C28,院校录取信息表!$C:$CN,3,FALSE)),"",VLOOKUP($C28,院校录取信息表!$C:$CN,3,FALSE))</f>
        <v/>
      </c>
      <c r="E28" s="43" t="str">
        <f>IF(ISERROR(VLOOKUP($C28,院校录取信息表!$C:$CN,4,FALSE)),"",VLOOKUP($C28,院校录取信息表!$C:$CN,4,FALSE))</f>
        <v/>
      </c>
      <c r="F28" s="43" t="str">
        <f>IF(ISERROR(VLOOKUP($C28,院校录取信息表!$C:$CN,16,FALSE)),"",VLOOKUP($C28,院校录取信息表!$C:$CN,16,FALSE))</f>
        <v/>
      </c>
      <c r="G28" s="47" t="str">
        <f>IF(ISERROR(VLOOKUP($C28,院校录取信息表!$C:$CN,17,FALSE)),"",VLOOKUP($C28,院校录取信息表!$C:$CN,17,FALSE))</f>
        <v/>
      </c>
      <c r="H28" s="47" t="str">
        <f>IF(ISERROR(VLOOKUP($C28,院校录取信息表!$C:$CN,21,FALSE)),"",VLOOKUP($C28,院校录取信息表!$C:$CN,21,FALSE))</f>
        <v/>
      </c>
      <c r="I28" s="47" t="str">
        <f>IF(ISERROR(VLOOKUP($C28,院校录取信息表!$C:$CN,18,FALSE)),"",VLOOKUP($C28,院校录取信息表!$C:$CN,18,FALSE))</f>
        <v/>
      </c>
      <c r="J28" s="51" t="str">
        <f>IF(ISERROR(VLOOKUP($C28,院校录取信息表!$C:$CN,23,FALSE)),"",VLOOKUP($C28,院校录取信息表!$C:$CN,23,FALSE))</f>
        <v/>
      </c>
      <c r="K28" s="47" t="str">
        <f>IF(ISERROR(VLOOKUP($C28,院校录取信息表!$C:$CN,5,FALSE)),"",VLOOKUP($C28,院校录取信息表!$C:$CN,5,FALSE))</f>
        <v/>
      </c>
      <c r="L28" s="43" t="str">
        <f>IF(ISERROR(VLOOKUP($C28,院校录取信息表!$C:$CN,8,FALSE)),"",VLOOKUP($C28,院校录取信息表!$C:$CN,8,FALSE))</f>
        <v/>
      </c>
      <c r="M28" s="43" t="str">
        <f>IF(ISERROR(VLOOKUP($C28,院校录取信息表!$C:$CN,9,FALSE)),"",VLOOKUP($C28,院校录取信息表!$C:$CN,9,FALSE))</f>
        <v/>
      </c>
      <c r="N28" s="43" t="str">
        <f>IF(ISERROR(VLOOKUP($C28,院校录取信息表!$C:$CN,10,FALSE)),"",VLOOKUP($C28,院校录取信息表!$C:$CN,10,FALSE))</f>
        <v/>
      </c>
      <c r="O28" s="54" t="str">
        <f>IF(ISERROR(VLOOKUP($C28,院校录取信息表!$C:$CN,11,FALSE)),"",VLOOKUP($C28,院校录取信息表!$C:$CN,11,FALSE))</f>
        <v/>
      </c>
      <c r="P28" s="54" t="str">
        <f>IF(ISERROR(VLOOKUP($C28,院校录取信息表!$C:$CN,12,FALSE)),"",VLOOKUP($C28,院校录取信息表!$C:$CN,12,FALSE))</f>
        <v/>
      </c>
      <c r="Q28" s="54" t="str">
        <f>IF(ISERROR(VLOOKUP($C28,院校录取信息表!$C:$CN,13,FALSE)),"",VLOOKUP($C28,院校录取信息表!$C:$CN,13,FALSE))</f>
        <v/>
      </c>
    </row>
    <row r="29" ht="20" customHeight="1" spans="1:17">
      <c r="A29" s="46"/>
      <c r="B29" s="44"/>
      <c r="C29" s="45">
        <v>26</v>
      </c>
      <c r="D29" s="43" t="str">
        <f>IF(ISERROR(VLOOKUP($C29,院校录取信息表!$C:$CN,3,FALSE)),"",VLOOKUP($C29,院校录取信息表!$C:$CN,3,FALSE))</f>
        <v/>
      </c>
      <c r="E29" s="43" t="str">
        <f>IF(ISERROR(VLOOKUP($C29,院校录取信息表!$C:$CN,4,FALSE)),"",VLOOKUP($C29,院校录取信息表!$C:$CN,4,FALSE))</f>
        <v/>
      </c>
      <c r="F29" s="43" t="str">
        <f>IF(ISERROR(VLOOKUP($C29,院校录取信息表!$C:$CN,16,FALSE)),"",VLOOKUP($C29,院校录取信息表!$C:$CN,16,FALSE))</f>
        <v/>
      </c>
      <c r="G29" s="47" t="str">
        <f>IF(ISERROR(VLOOKUP($C29,院校录取信息表!$C:$CN,17,FALSE)),"",VLOOKUP($C29,院校录取信息表!$C:$CN,17,FALSE))</f>
        <v/>
      </c>
      <c r="H29" s="47" t="str">
        <f>IF(ISERROR(VLOOKUP($C29,院校录取信息表!$C:$CN,21,FALSE)),"",VLOOKUP($C29,院校录取信息表!$C:$CN,21,FALSE))</f>
        <v/>
      </c>
      <c r="I29" s="47" t="str">
        <f>IF(ISERROR(VLOOKUP($C29,院校录取信息表!$C:$CN,18,FALSE)),"",VLOOKUP($C29,院校录取信息表!$C:$CN,18,FALSE))</f>
        <v/>
      </c>
      <c r="J29" s="51" t="str">
        <f>IF(ISERROR(VLOOKUP($C29,院校录取信息表!$C:$CN,23,FALSE)),"",VLOOKUP($C29,院校录取信息表!$C:$CN,23,FALSE))</f>
        <v/>
      </c>
      <c r="K29" s="47" t="str">
        <f>IF(ISERROR(VLOOKUP($C29,院校录取信息表!$C:$CN,5,FALSE)),"",VLOOKUP($C29,院校录取信息表!$C:$CN,5,FALSE))</f>
        <v/>
      </c>
      <c r="L29" s="43" t="str">
        <f>IF(ISERROR(VLOOKUP($C29,院校录取信息表!$C:$CN,8,FALSE)),"",VLOOKUP($C29,院校录取信息表!$C:$CN,8,FALSE))</f>
        <v/>
      </c>
      <c r="M29" s="43" t="str">
        <f>IF(ISERROR(VLOOKUP($C29,院校录取信息表!$C:$CN,9,FALSE)),"",VLOOKUP($C29,院校录取信息表!$C:$CN,9,FALSE))</f>
        <v/>
      </c>
      <c r="N29" s="43" t="str">
        <f>IF(ISERROR(VLOOKUP($C29,院校录取信息表!$C:$CN,10,FALSE)),"",VLOOKUP($C29,院校录取信息表!$C:$CN,10,FALSE))</f>
        <v/>
      </c>
      <c r="O29" s="54" t="str">
        <f>IF(ISERROR(VLOOKUP($C29,院校录取信息表!$C:$CN,11,FALSE)),"",VLOOKUP($C29,院校录取信息表!$C:$CN,11,FALSE))</f>
        <v/>
      </c>
      <c r="P29" s="54" t="str">
        <f>IF(ISERROR(VLOOKUP($C29,院校录取信息表!$C:$CN,12,FALSE)),"",VLOOKUP($C29,院校录取信息表!$C:$CN,12,FALSE))</f>
        <v/>
      </c>
      <c r="Q29" s="54" t="str">
        <f>IF(ISERROR(VLOOKUP($C29,院校录取信息表!$C:$CN,13,FALSE)),"",VLOOKUP($C29,院校录取信息表!$C:$CN,13,FALSE))</f>
        <v/>
      </c>
    </row>
    <row r="30" ht="20" customHeight="1" spans="1:17">
      <c r="A30" s="46"/>
      <c r="B30" s="44"/>
      <c r="C30" s="45">
        <v>27</v>
      </c>
      <c r="D30" s="43" t="str">
        <f>IF(ISERROR(VLOOKUP($C30,院校录取信息表!$C:$CN,3,FALSE)),"",VLOOKUP($C30,院校录取信息表!$C:$CN,3,FALSE))</f>
        <v/>
      </c>
      <c r="E30" s="43" t="str">
        <f>IF(ISERROR(VLOOKUP($C30,院校录取信息表!$C:$CN,4,FALSE)),"",VLOOKUP($C30,院校录取信息表!$C:$CN,4,FALSE))</f>
        <v/>
      </c>
      <c r="F30" s="43" t="str">
        <f>IF(ISERROR(VLOOKUP($C30,院校录取信息表!$C:$CN,16,FALSE)),"",VLOOKUP($C30,院校录取信息表!$C:$CN,16,FALSE))</f>
        <v/>
      </c>
      <c r="G30" s="47" t="str">
        <f>IF(ISERROR(VLOOKUP($C30,院校录取信息表!$C:$CN,17,FALSE)),"",VLOOKUP($C30,院校录取信息表!$C:$CN,17,FALSE))</f>
        <v/>
      </c>
      <c r="H30" s="47" t="str">
        <f>IF(ISERROR(VLOOKUP($C30,院校录取信息表!$C:$CN,21,FALSE)),"",VLOOKUP($C30,院校录取信息表!$C:$CN,21,FALSE))</f>
        <v/>
      </c>
      <c r="I30" s="47" t="str">
        <f>IF(ISERROR(VLOOKUP($C30,院校录取信息表!$C:$CN,18,FALSE)),"",VLOOKUP($C30,院校录取信息表!$C:$CN,18,FALSE))</f>
        <v/>
      </c>
      <c r="J30" s="51" t="str">
        <f>IF(ISERROR(VLOOKUP($C30,院校录取信息表!$C:$CN,23,FALSE)),"",VLOOKUP($C30,院校录取信息表!$C:$CN,23,FALSE))</f>
        <v/>
      </c>
      <c r="K30" s="47" t="str">
        <f>IF(ISERROR(VLOOKUP($C30,院校录取信息表!$C:$CN,5,FALSE)),"",VLOOKUP($C30,院校录取信息表!$C:$CN,5,FALSE))</f>
        <v/>
      </c>
      <c r="L30" s="43" t="str">
        <f>IF(ISERROR(VLOOKUP($C30,院校录取信息表!$C:$CN,8,FALSE)),"",VLOOKUP($C30,院校录取信息表!$C:$CN,8,FALSE))</f>
        <v/>
      </c>
      <c r="M30" s="43" t="str">
        <f>IF(ISERROR(VLOOKUP($C30,院校录取信息表!$C:$CN,9,FALSE)),"",VLOOKUP($C30,院校录取信息表!$C:$CN,9,FALSE))</f>
        <v/>
      </c>
      <c r="N30" s="43" t="str">
        <f>IF(ISERROR(VLOOKUP($C30,院校录取信息表!$C:$CN,10,FALSE)),"",VLOOKUP($C30,院校录取信息表!$C:$CN,10,FALSE))</f>
        <v/>
      </c>
      <c r="O30" s="54" t="str">
        <f>IF(ISERROR(VLOOKUP($C30,院校录取信息表!$C:$CN,11,FALSE)),"",VLOOKUP($C30,院校录取信息表!$C:$CN,11,FALSE))</f>
        <v/>
      </c>
      <c r="P30" s="54" t="str">
        <f>IF(ISERROR(VLOOKUP($C30,院校录取信息表!$C:$CN,12,FALSE)),"",VLOOKUP($C30,院校录取信息表!$C:$CN,12,FALSE))</f>
        <v/>
      </c>
      <c r="Q30" s="54" t="str">
        <f>IF(ISERROR(VLOOKUP($C30,院校录取信息表!$C:$CN,13,FALSE)),"",VLOOKUP($C30,院校录取信息表!$C:$CN,13,FALSE))</f>
        <v/>
      </c>
    </row>
    <row r="31" ht="20" customHeight="1" spans="1:17">
      <c r="A31" s="46"/>
      <c r="B31" s="44"/>
      <c r="C31" s="45">
        <v>28</v>
      </c>
      <c r="D31" s="43" t="str">
        <f>IF(ISERROR(VLOOKUP($C31,院校录取信息表!$C:$CN,3,FALSE)),"",VLOOKUP($C31,院校录取信息表!$C:$CN,3,FALSE))</f>
        <v/>
      </c>
      <c r="E31" s="43" t="str">
        <f>IF(ISERROR(VLOOKUP($C31,院校录取信息表!$C:$CN,4,FALSE)),"",VLOOKUP($C31,院校录取信息表!$C:$CN,4,FALSE))</f>
        <v/>
      </c>
      <c r="F31" s="43" t="str">
        <f>IF(ISERROR(VLOOKUP($C31,院校录取信息表!$C:$CN,16,FALSE)),"",VLOOKUP($C31,院校录取信息表!$C:$CN,16,FALSE))</f>
        <v/>
      </c>
      <c r="G31" s="47" t="str">
        <f>IF(ISERROR(VLOOKUP($C31,院校录取信息表!$C:$CN,17,FALSE)),"",VLOOKUP($C31,院校录取信息表!$C:$CN,17,FALSE))</f>
        <v/>
      </c>
      <c r="H31" s="47" t="str">
        <f>IF(ISERROR(VLOOKUP($C31,院校录取信息表!$C:$CN,21,FALSE)),"",VLOOKUP($C31,院校录取信息表!$C:$CN,21,FALSE))</f>
        <v/>
      </c>
      <c r="I31" s="47" t="str">
        <f>IF(ISERROR(VLOOKUP($C31,院校录取信息表!$C:$CN,18,FALSE)),"",VLOOKUP($C31,院校录取信息表!$C:$CN,18,FALSE))</f>
        <v/>
      </c>
      <c r="J31" s="51" t="str">
        <f>IF(ISERROR(VLOOKUP($C31,院校录取信息表!$C:$CN,23,FALSE)),"",VLOOKUP($C31,院校录取信息表!$C:$CN,23,FALSE))</f>
        <v/>
      </c>
      <c r="K31" s="47" t="str">
        <f>IF(ISERROR(VLOOKUP($C31,院校录取信息表!$C:$CN,5,FALSE)),"",VLOOKUP($C31,院校录取信息表!$C:$CN,5,FALSE))</f>
        <v/>
      </c>
      <c r="L31" s="43" t="str">
        <f>IF(ISERROR(VLOOKUP($C31,院校录取信息表!$C:$CN,8,FALSE)),"",VLOOKUP($C31,院校录取信息表!$C:$CN,8,FALSE))</f>
        <v/>
      </c>
      <c r="M31" s="43" t="str">
        <f>IF(ISERROR(VLOOKUP($C31,院校录取信息表!$C:$CN,9,FALSE)),"",VLOOKUP($C31,院校录取信息表!$C:$CN,9,FALSE))</f>
        <v/>
      </c>
      <c r="N31" s="43" t="str">
        <f>IF(ISERROR(VLOOKUP($C31,院校录取信息表!$C:$CN,10,FALSE)),"",VLOOKUP($C31,院校录取信息表!$C:$CN,10,FALSE))</f>
        <v/>
      </c>
      <c r="O31" s="54" t="str">
        <f>IF(ISERROR(VLOOKUP($C31,院校录取信息表!$C:$CN,11,FALSE)),"",VLOOKUP($C31,院校录取信息表!$C:$CN,11,FALSE))</f>
        <v/>
      </c>
      <c r="P31" s="54" t="str">
        <f>IF(ISERROR(VLOOKUP($C31,院校录取信息表!$C:$CN,12,FALSE)),"",VLOOKUP($C31,院校录取信息表!$C:$CN,12,FALSE))</f>
        <v/>
      </c>
      <c r="Q31" s="54" t="str">
        <f>IF(ISERROR(VLOOKUP($C31,院校录取信息表!$C:$CN,13,FALSE)),"",VLOOKUP($C31,院校录取信息表!$C:$CN,13,FALSE))</f>
        <v/>
      </c>
    </row>
    <row r="32" ht="20" customHeight="1" spans="1:17">
      <c r="A32" s="46"/>
      <c r="B32" s="44"/>
      <c r="C32" s="45">
        <v>29</v>
      </c>
      <c r="D32" s="43" t="str">
        <f>IF(ISERROR(VLOOKUP($C32,院校录取信息表!$C:$CN,3,FALSE)),"",VLOOKUP($C32,院校录取信息表!$C:$CN,3,FALSE))</f>
        <v/>
      </c>
      <c r="E32" s="43" t="str">
        <f>IF(ISERROR(VLOOKUP($C32,院校录取信息表!$C:$CN,4,FALSE)),"",VLOOKUP($C32,院校录取信息表!$C:$CN,4,FALSE))</f>
        <v/>
      </c>
      <c r="F32" s="43" t="str">
        <f>IF(ISERROR(VLOOKUP($C32,院校录取信息表!$C:$CN,16,FALSE)),"",VLOOKUP($C32,院校录取信息表!$C:$CN,16,FALSE))</f>
        <v/>
      </c>
      <c r="G32" s="47" t="str">
        <f>IF(ISERROR(VLOOKUP($C32,院校录取信息表!$C:$CN,17,FALSE)),"",VLOOKUP($C32,院校录取信息表!$C:$CN,17,FALSE))</f>
        <v/>
      </c>
      <c r="H32" s="47" t="str">
        <f>IF(ISERROR(VLOOKUP($C32,院校录取信息表!$C:$CN,21,FALSE)),"",VLOOKUP($C32,院校录取信息表!$C:$CN,21,FALSE))</f>
        <v/>
      </c>
      <c r="I32" s="47" t="str">
        <f>IF(ISERROR(VLOOKUP($C32,院校录取信息表!$C:$CN,18,FALSE)),"",VLOOKUP($C32,院校录取信息表!$C:$CN,18,FALSE))</f>
        <v/>
      </c>
      <c r="J32" s="51" t="str">
        <f>IF(ISERROR(VLOOKUP($C32,院校录取信息表!$C:$CN,23,FALSE)),"",VLOOKUP($C32,院校录取信息表!$C:$CN,23,FALSE))</f>
        <v/>
      </c>
      <c r="K32" s="47" t="str">
        <f>IF(ISERROR(VLOOKUP($C32,院校录取信息表!$C:$CN,5,FALSE)),"",VLOOKUP($C32,院校录取信息表!$C:$CN,5,FALSE))</f>
        <v/>
      </c>
      <c r="L32" s="43" t="str">
        <f>IF(ISERROR(VLOOKUP($C32,院校录取信息表!$C:$CN,8,FALSE)),"",VLOOKUP($C32,院校录取信息表!$C:$CN,8,FALSE))</f>
        <v/>
      </c>
      <c r="M32" s="43" t="str">
        <f>IF(ISERROR(VLOOKUP($C32,院校录取信息表!$C:$CN,9,FALSE)),"",VLOOKUP($C32,院校录取信息表!$C:$CN,9,FALSE))</f>
        <v/>
      </c>
      <c r="N32" s="43" t="str">
        <f>IF(ISERROR(VLOOKUP($C32,院校录取信息表!$C:$CN,10,FALSE)),"",VLOOKUP($C32,院校录取信息表!$C:$CN,10,FALSE))</f>
        <v/>
      </c>
      <c r="O32" s="54" t="str">
        <f>IF(ISERROR(VLOOKUP($C32,院校录取信息表!$C:$CN,11,FALSE)),"",VLOOKUP($C32,院校录取信息表!$C:$CN,11,FALSE))</f>
        <v/>
      </c>
      <c r="P32" s="54" t="str">
        <f>IF(ISERROR(VLOOKUP($C32,院校录取信息表!$C:$CN,12,FALSE)),"",VLOOKUP($C32,院校录取信息表!$C:$CN,12,FALSE))</f>
        <v/>
      </c>
      <c r="Q32" s="54" t="str">
        <f>IF(ISERROR(VLOOKUP($C32,院校录取信息表!$C:$CN,13,FALSE)),"",VLOOKUP($C32,院校录取信息表!$C:$CN,13,FALSE))</f>
        <v/>
      </c>
    </row>
    <row r="33" ht="20" customHeight="1" spans="1:17">
      <c r="A33" s="46"/>
      <c r="B33" s="44"/>
      <c r="C33" s="45">
        <v>30</v>
      </c>
      <c r="D33" s="43" t="str">
        <f>IF(ISERROR(VLOOKUP($C33,院校录取信息表!$C:$CN,3,FALSE)),"",VLOOKUP($C33,院校录取信息表!$C:$CN,3,FALSE))</f>
        <v/>
      </c>
      <c r="E33" s="43" t="str">
        <f>IF(ISERROR(VLOOKUP($C33,院校录取信息表!$C:$CN,4,FALSE)),"",VLOOKUP($C33,院校录取信息表!$C:$CN,4,FALSE))</f>
        <v/>
      </c>
      <c r="F33" s="43" t="str">
        <f>IF(ISERROR(VLOOKUP($C33,院校录取信息表!$C:$CN,16,FALSE)),"",VLOOKUP($C33,院校录取信息表!$C:$CN,16,FALSE))</f>
        <v/>
      </c>
      <c r="G33" s="47" t="str">
        <f>IF(ISERROR(VLOOKUP($C33,院校录取信息表!$C:$CN,17,FALSE)),"",VLOOKUP($C33,院校录取信息表!$C:$CN,17,FALSE))</f>
        <v/>
      </c>
      <c r="H33" s="47" t="str">
        <f>IF(ISERROR(VLOOKUP($C33,院校录取信息表!$C:$CN,21,FALSE)),"",VLOOKUP($C33,院校录取信息表!$C:$CN,21,FALSE))</f>
        <v/>
      </c>
      <c r="I33" s="47" t="str">
        <f>IF(ISERROR(VLOOKUP($C33,院校录取信息表!$C:$CN,18,FALSE)),"",VLOOKUP($C33,院校录取信息表!$C:$CN,18,FALSE))</f>
        <v/>
      </c>
      <c r="J33" s="51" t="str">
        <f>IF(ISERROR(VLOOKUP($C33,院校录取信息表!$C:$CN,23,FALSE)),"",VLOOKUP($C33,院校录取信息表!$C:$CN,23,FALSE))</f>
        <v/>
      </c>
      <c r="K33" s="47" t="str">
        <f>IF(ISERROR(VLOOKUP($C33,院校录取信息表!$C:$CN,5,FALSE)),"",VLOOKUP($C33,院校录取信息表!$C:$CN,5,FALSE))</f>
        <v/>
      </c>
      <c r="L33" s="43" t="str">
        <f>IF(ISERROR(VLOOKUP($C33,院校录取信息表!$C:$CN,8,FALSE)),"",VLOOKUP($C33,院校录取信息表!$C:$CN,8,FALSE))</f>
        <v/>
      </c>
      <c r="M33" s="43" t="str">
        <f>IF(ISERROR(VLOOKUP($C33,院校录取信息表!$C:$CN,9,FALSE)),"",VLOOKUP($C33,院校录取信息表!$C:$CN,9,FALSE))</f>
        <v/>
      </c>
      <c r="N33" s="43" t="str">
        <f>IF(ISERROR(VLOOKUP($C33,院校录取信息表!$C:$CN,10,FALSE)),"",VLOOKUP($C33,院校录取信息表!$C:$CN,10,FALSE))</f>
        <v/>
      </c>
      <c r="O33" s="54" t="str">
        <f>IF(ISERROR(VLOOKUP($C33,院校录取信息表!$C:$CN,11,FALSE)),"",VLOOKUP($C33,院校录取信息表!$C:$CN,11,FALSE))</f>
        <v/>
      </c>
      <c r="P33" s="54" t="str">
        <f>IF(ISERROR(VLOOKUP($C33,院校录取信息表!$C:$CN,12,FALSE)),"",VLOOKUP($C33,院校录取信息表!$C:$CN,12,FALSE))</f>
        <v/>
      </c>
      <c r="Q33" s="54" t="str">
        <f>IF(ISERROR(VLOOKUP($C33,院校录取信息表!$C:$CN,13,FALSE)),"",VLOOKUP($C33,院校录取信息表!$C:$CN,13,FALSE))</f>
        <v/>
      </c>
    </row>
    <row r="34" ht="20" customHeight="1" spans="1:17">
      <c r="A34" s="46"/>
      <c r="B34" s="44" t="s">
        <v>1049</v>
      </c>
      <c r="C34" s="45">
        <v>31</v>
      </c>
      <c r="D34" s="43" t="str">
        <f>IF(ISERROR(VLOOKUP($C34,院校录取信息表!$C:$CN,3,FALSE)),"",VLOOKUP($C34,院校录取信息表!$C:$CN,3,FALSE))</f>
        <v/>
      </c>
      <c r="E34" s="43" t="str">
        <f>IF(ISERROR(VLOOKUP($C34,院校录取信息表!$C:$CN,4,FALSE)),"",VLOOKUP($C34,院校录取信息表!$C:$CN,4,FALSE))</f>
        <v/>
      </c>
      <c r="F34" s="43" t="str">
        <f>IF(ISERROR(VLOOKUP($C34,院校录取信息表!$C:$CN,16,FALSE)),"",VLOOKUP($C34,院校录取信息表!$C:$CN,16,FALSE))</f>
        <v/>
      </c>
      <c r="G34" s="47" t="str">
        <f>IF(ISERROR(VLOOKUP($C34,院校录取信息表!$C:$CN,17,FALSE)),"",VLOOKUP($C34,院校录取信息表!$C:$CN,17,FALSE))</f>
        <v/>
      </c>
      <c r="H34" s="47" t="str">
        <f>IF(ISERROR(VLOOKUP($C34,院校录取信息表!$C:$CN,21,FALSE)),"",VLOOKUP($C34,院校录取信息表!$C:$CN,21,FALSE))</f>
        <v/>
      </c>
      <c r="I34" s="47" t="str">
        <f>IF(ISERROR(VLOOKUP($C34,院校录取信息表!$C:$CN,18,FALSE)),"",VLOOKUP($C34,院校录取信息表!$C:$CN,18,FALSE))</f>
        <v/>
      </c>
      <c r="J34" s="51" t="str">
        <f>IF(ISERROR(VLOOKUP($C34,院校录取信息表!$C:$CN,23,FALSE)),"",VLOOKUP($C34,院校录取信息表!$C:$CN,23,FALSE))</f>
        <v/>
      </c>
      <c r="K34" s="47" t="str">
        <f>IF(ISERROR(VLOOKUP($C34,院校录取信息表!$C:$CN,5,FALSE)),"",VLOOKUP($C34,院校录取信息表!$C:$CN,5,FALSE))</f>
        <v/>
      </c>
      <c r="L34" s="43" t="str">
        <f>IF(ISERROR(VLOOKUP($C34,院校录取信息表!$C:$CN,8,FALSE)),"",VLOOKUP($C34,院校录取信息表!$C:$CN,8,FALSE))</f>
        <v/>
      </c>
      <c r="M34" s="43" t="str">
        <f>IF(ISERROR(VLOOKUP($C34,院校录取信息表!$C:$CN,9,FALSE)),"",VLOOKUP($C34,院校录取信息表!$C:$CN,9,FALSE))</f>
        <v/>
      </c>
      <c r="N34" s="43" t="str">
        <f>IF(ISERROR(VLOOKUP($C34,院校录取信息表!$C:$CN,10,FALSE)),"",VLOOKUP($C34,院校录取信息表!$C:$CN,10,FALSE))</f>
        <v/>
      </c>
      <c r="O34" s="54" t="str">
        <f>IF(ISERROR(VLOOKUP($C34,院校录取信息表!$C:$CN,11,FALSE)),"",VLOOKUP($C34,院校录取信息表!$C:$CN,11,FALSE))</f>
        <v/>
      </c>
      <c r="P34" s="54" t="str">
        <f>IF(ISERROR(VLOOKUP($C34,院校录取信息表!$C:$CN,12,FALSE)),"",VLOOKUP($C34,院校录取信息表!$C:$CN,12,FALSE))</f>
        <v/>
      </c>
      <c r="Q34" s="54" t="str">
        <f>IF(ISERROR(VLOOKUP($C34,院校录取信息表!$C:$CN,13,FALSE)),"",VLOOKUP($C34,院校录取信息表!$C:$CN,13,FALSE))</f>
        <v/>
      </c>
    </row>
    <row r="35" ht="20" customHeight="1" spans="1:17">
      <c r="A35" s="46"/>
      <c r="B35" s="44"/>
      <c r="C35" s="45">
        <v>32</v>
      </c>
      <c r="D35" s="43" t="str">
        <f>IF(ISERROR(VLOOKUP($C35,院校录取信息表!$C:$CN,3,FALSE)),"",VLOOKUP($C35,院校录取信息表!$C:$CN,3,FALSE))</f>
        <v/>
      </c>
      <c r="E35" s="43" t="str">
        <f>IF(ISERROR(VLOOKUP($C35,院校录取信息表!$C:$CN,4,FALSE)),"",VLOOKUP($C35,院校录取信息表!$C:$CN,4,FALSE))</f>
        <v/>
      </c>
      <c r="F35" s="43" t="str">
        <f>IF(ISERROR(VLOOKUP($C35,院校录取信息表!$C:$CN,16,FALSE)),"",VLOOKUP($C35,院校录取信息表!$C:$CN,16,FALSE))</f>
        <v/>
      </c>
      <c r="G35" s="47" t="str">
        <f>IF(ISERROR(VLOOKUP($C35,院校录取信息表!$C:$CN,17,FALSE)),"",VLOOKUP($C35,院校录取信息表!$C:$CN,17,FALSE))</f>
        <v/>
      </c>
      <c r="H35" s="47" t="str">
        <f>IF(ISERROR(VLOOKUP($C35,院校录取信息表!$C:$CN,21,FALSE)),"",VLOOKUP($C35,院校录取信息表!$C:$CN,21,FALSE))</f>
        <v/>
      </c>
      <c r="I35" s="47" t="str">
        <f>IF(ISERROR(VLOOKUP($C35,院校录取信息表!$C:$CN,18,FALSE)),"",VLOOKUP($C35,院校录取信息表!$C:$CN,18,FALSE))</f>
        <v/>
      </c>
      <c r="J35" s="51" t="str">
        <f>IF(ISERROR(VLOOKUP($C35,院校录取信息表!$C:$CN,23,FALSE)),"",VLOOKUP($C35,院校录取信息表!$C:$CN,23,FALSE))</f>
        <v/>
      </c>
      <c r="K35" s="47" t="str">
        <f>IF(ISERROR(VLOOKUP($C35,院校录取信息表!$C:$CN,5,FALSE)),"",VLOOKUP($C35,院校录取信息表!$C:$CN,5,FALSE))</f>
        <v/>
      </c>
      <c r="L35" s="43" t="str">
        <f>IF(ISERROR(VLOOKUP($C35,院校录取信息表!$C:$CN,8,FALSE)),"",VLOOKUP($C35,院校录取信息表!$C:$CN,8,FALSE))</f>
        <v/>
      </c>
      <c r="M35" s="43" t="str">
        <f>IF(ISERROR(VLOOKUP($C35,院校录取信息表!$C:$CN,9,FALSE)),"",VLOOKUP($C35,院校录取信息表!$C:$CN,9,FALSE))</f>
        <v/>
      </c>
      <c r="N35" s="43" t="str">
        <f>IF(ISERROR(VLOOKUP($C35,院校录取信息表!$C:$CN,10,FALSE)),"",VLOOKUP($C35,院校录取信息表!$C:$CN,10,FALSE))</f>
        <v/>
      </c>
      <c r="O35" s="54" t="str">
        <f>IF(ISERROR(VLOOKUP($C35,院校录取信息表!$C:$CN,11,FALSE)),"",VLOOKUP($C35,院校录取信息表!$C:$CN,11,FALSE))</f>
        <v/>
      </c>
      <c r="P35" s="54" t="str">
        <f>IF(ISERROR(VLOOKUP($C35,院校录取信息表!$C:$CN,12,FALSE)),"",VLOOKUP($C35,院校录取信息表!$C:$CN,12,FALSE))</f>
        <v/>
      </c>
      <c r="Q35" s="54" t="str">
        <f>IF(ISERROR(VLOOKUP($C35,院校录取信息表!$C:$CN,13,FALSE)),"",VLOOKUP($C35,院校录取信息表!$C:$CN,13,FALSE))</f>
        <v/>
      </c>
    </row>
    <row r="36" ht="20" customHeight="1" spans="1:17">
      <c r="A36" s="46"/>
      <c r="B36" s="44"/>
      <c r="C36" s="45">
        <v>33</v>
      </c>
      <c r="D36" s="43" t="str">
        <f>IF(ISERROR(VLOOKUP($C36,院校录取信息表!$C:$CN,3,FALSE)),"",VLOOKUP($C36,院校录取信息表!$C:$CN,3,FALSE))</f>
        <v/>
      </c>
      <c r="E36" s="43" t="str">
        <f>IF(ISERROR(VLOOKUP($C36,院校录取信息表!$C:$CN,4,FALSE)),"",VLOOKUP($C36,院校录取信息表!$C:$CN,4,FALSE))</f>
        <v/>
      </c>
      <c r="F36" s="43" t="str">
        <f>IF(ISERROR(VLOOKUP($C36,院校录取信息表!$C:$CN,16,FALSE)),"",VLOOKUP($C36,院校录取信息表!$C:$CN,16,FALSE))</f>
        <v/>
      </c>
      <c r="G36" s="47" t="str">
        <f>IF(ISERROR(VLOOKUP($C36,院校录取信息表!$C:$CN,17,FALSE)),"",VLOOKUP($C36,院校录取信息表!$C:$CN,17,FALSE))</f>
        <v/>
      </c>
      <c r="H36" s="47" t="str">
        <f>IF(ISERROR(VLOOKUP($C36,院校录取信息表!$C:$CN,21,FALSE)),"",VLOOKUP($C36,院校录取信息表!$C:$CN,21,FALSE))</f>
        <v/>
      </c>
      <c r="I36" s="47" t="str">
        <f>IF(ISERROR(VLOOKUP($C36,院校录取信息表!$C:$CN,18,FALSE)),"",VLOOKUP($C36,院校录取信息表!$C:$CN,18,FALSE))</f>
        <v/>
      </c>
      <c r="J36" s="51" t="str">
        <f>IF(ISERROR(VLOOKUP($C36,院校录取信息表!$C:$CN,23,FALSE)),"",VLOOKUP($C36,院校录取信息表!$C:$CN,23,FALSE))</f>
        <v/>
      </c>
      <c r="K36" s="47" t="str">
        <f>IF(ISERROR(VLOOKUP($C36,院校录取信息表!$C:$CN,5,FALSE)),"",VLOOKUP($C36,院校录取信息表!$C:$CN,5,FALSE))</f>
        <v/>
      </c>
      <c r="L36" s="43" t="str">
        <f>IF(ISERROR(VLOOKUP($C36,院校录取信息表!$C:$CN,8,FALSE)),"",VLOOKUP($C36,院校录取信息表!$C:$CN,8,FALSE))</f>
        <v/>
      </c>
      <c r="M36" s="43" t="str">
        <f>IF(ISERROR(VLOOKUP($C36,院校录取信息表!$C:$CN,9,FALSE)),"",VLOOKUP($C36,院校录取信息表!$C:$CN,9,FALSE))</f>
        <v/>
      </c>
      <c r="N36" s="43" t="str">
        <f>IF(ISERROR(VLOOKUP($C36,院校录取信息表!$C:$CN,10,FALSE)),"",VLOOKUP($C36,院校录取信息表!$C:$CN,10,FALSE))</f>
        <v/>
      </c>
      <c r="O36" s="54" t="str">
        <f>IF(ISERROR(VLOOKUP($C36,院校录取信息表!$C:$CN,11,FALSE)),"",VLOOKUP($C36,院校录取信息表!$C:$CN,11,FALSE))</f>
        <v/>
      </c>
      <c r="P36" s="54" t="str">
        <f>IF(ISERROR(VLOOKUP($C36,院校录取信息表!$C:$CN,12,FALSE)),"",VLOOKUP($C36,院校录取信息表!$C:$CN,12,FALSE))</f>
        <v/>
      </c>
      <c r="Q36" s="54" t="str">
        <f>IF(ISERROR(VLOOKUP($C36,院校录取信息表!$C:$CN,13,FALSE)),"",VLOOKUP($C36,院校录取信息表!$C:$CN,13,FALSE))</f>
        <v/>
      </c>
    </row>
    <row r="37" ht="20" customHeight="1" spans="1:17">
      <c r="A37" s="46"/>
      <c r="B37" s="44"/>
      <c r="C37" s="45">
        <v>34</v>
      </c>
      <c r="D37" s="43" t="str">
        <f>IF(ISERROR(VLOOKUP($C37,院校录取信息表!$C:$CN,3,FALSE)),"",VLOOKUP($C37,院校录取信息表!$C:$CN,3,FALSE))</f>
        <v/>
      </c>
      <c r="E37" s="43" t="str">
        <f>IF(ISERROR(VLOOKUP($C37,院校录取信息表!$C:$CN,4,FALSE)),"",VLOOKUP($C37,院校录取信息表!$C:$CN,4,FALSE))</f>
        <v/>
      </c>
      <c r="F37" s="43" t="str">
        <f>IF(ISERROR(VLOOKUP($C37,院校录取信息表!$C:$CN,16,FALSE)),"",VLOOKUP($C37,院校录取信息表!$C:$CN,16,FALSE))</f>
        <v/>
      </c>
      <c r="G37" s="47" t="str">
        <f>IF(ISERROR(VLOOKUP($C37,院校录取信息表!$C:$CN,17,FALSE)),"",VLOOKUP($C37,院校录取信息表!$C:$CN,17,FALSE))</f>
        <v/>
      </c>
      <c r="H37" s="47" t="str">
        <f>IF(ISERROR(VLOOKUP($C37,院校录取信息表!$C:$CN,21,FALSE)),"",VLOOKUP($C37,院校录取信息表!$C:$CN,21,FALSE))</f>
        <v/>
      </c>
      <c r="I37" s="47" t="str">
        <f>IF(ISERROR(VLOOKUP($C37,院校录取信息表!$C:$CN,18,FALSE)),"",VLOOKUP($C37,院校录取信息表!$C:$CN,18,FALSE))</f>
        <v/>
      </c>
      <c r="J37" s="51" t="str">
        <f>IF(ISERROR(VLOOKUP($C37,院校录取信息表!$C:$CN,23,FALSE)),"",VLOOKUP($C37,院校录取信息表!$C:$CN,23,FALSE))</f>
        <v/>
      </c>
      <c r="K37" s="47" t="str">
        <f>IF(ISERROR(VLOOKUP($C37,院校录取信息表!$C:$CN,5,FALSE)),"",VLOOKUP($C37,院校录取信息表!$C:$CN,5,FALSE))</f>
        <v/>
      </c>
      <c r="L37" s="43" t="str">
        <f>IF(ISERROR(VLOOKUP($C37,院校录取信息表!$C:$CN,8,FALSE)),"",VLOOKUP($C37,院校录取信息表!$C:$CN,8,FALSE))</f>
        <v/>
      </c>
      <c r="M37" s="43" t="str">
        <f>IF(ISERROR(VLOOKUP($C37,院校录取信息表!$C:$CN,9,FALSE)),"",VLOOKUP($C37,院校录取信息表!$C:$CN,9,FALSE))</f>
        <v/>
      </c>
      <c r="N37" s="43" t="str">
        <f>IF(ISERROR(VLOOKUP($C37,院校录取信息表!$C:$CN,10,FALSE)),"",VLOOKUP($C37,院校录取信息表!$C:$CN,10,FALSE))</f>
        <v/>
      </c>
      <c r="O37" s="54" t="str">
        <f>IF(ISERROR(VLOOKUP($C37,院校录取信息表!$C:$CN,11,FALSE)),"",VLOOKUP($C37,院校录取信息表!$C:$CN,11,FALSE))</f>
        <v/>
      </c>
      <c r="P37" s="54" t="str">
        <f>IF(ISERROR(VLOOKUP($C37,院校录取信息表!$C:$CN,12,FALSE)),"",VLOOKUP($C37,院校录取信息表!$C:$CN,12,FALSE))</f>
        <v/>
      </c>
      <c r="Q37" s="54" t="str">
        <f>IF(ISERROR(VLOOKUP($C37,院校录取信息表!$C:$CN,13,FALSE)),"",VLOOKUP($C37,院校录取信息表!$C:$CN,13,FALSE))</f>
        <v/>
      </c>
    </row>
    <row r="38" ht="20" customHeight="1" spans="1:17">
      <c r="A38" s="46"/>
      <c r="B38" s="44"/>
      <c r="C38" s="45">
        <v>35</v>
      </c>
      <c r="D38" s="43" t="str">
        <f>IF(ISERROR(VLOOKUP($C38,院校录取信息表!$C:$CN,3,FALSE)),"",VLOOKUP($C38,院校录取信息表!$C:$CN,3,FALSE))</f>
        <v/>
      </c>
      <c r="E38" s="43" t="str">
        <f>IF(ISERROR(VLOOKUP($C38,院校录取信息表!$C:$CN,4,FALSE)),"",VLOOKUP($C38,院校录取信息表!$C:$CN,4,FALSE))</f>
        <v/>
      </c>
      <c r="F38" s="43" t="str">
        <f>IF(ISERROR(VLOOKUP($C38,院校录取信息表!$C:$CN,16,FALSE)),"",VLOOKUP($C38,院校录取信息表!$C:$CN,16,FALSE))</f>
        <v/>
      </c>
      <c r="G38" s="47" t="str">
        <f>IF(ISERROR(VLOOKUP($C38,院校录取信息表!$C:$CN,17,FALSE)),"",VLOOKUP($C38,院校录取信息表!$C:$CN,17,FALSE))</f>
        <v/>
      </c>
      <c r="H38" s="47" t="str">
        <f>IF(ISERROR(VLOOKUP($C38,院校录取信息表!$C:$CN,21,FALSE)),"",VLOOKUP($C38,院校录取信息表!$C:$CN,21,FALSE))</f>
        <v/>
      </c>
      <c r="I38" s="47" t="str">
        <f>IF(ISERROR(VLOOKUP($C38,院校录取信息表!$C:$CN,18,FALSE)),"",VLOOKUP($C38,院校录取信息表!$C:$CN,18,FALSE))</f>
        <v/>
      </c>
      <c r="J38" s="51" t="str">
        <f>IF(ISERROR(VLOOKUP($C38,院校录取信息表!$C:$CN,23,FALSE)),"",VLOOKUP($C38,院校录取信息表!$C:$CN,23,FALSE))</f>
        <v/>
      </c>
      <c r="K38" s="47" t="str">
        <f>IF(ISERROR(VLOOKUP($C38,院校录取信息表!$C:$CN,5,FALSE)),"",VLOOKUP($C38,院校录取信息表!$C:$CN,5,FALSE))</f>
        <v/>
      </c>
      <c r="L38" s="43" t="str">
        <f>IF(ISERROR(VLOOKUP($C38,院校录取信息表!$C:$CN,8,FALSE)),"",VLOOKUP($C38,院校录取信息表!$C:$CN,8,FALSE))</f>
        <v/>
      </c>
      <c r="M38" s="43" t="str">
        <f>IF(ISERROR(VLOOKUP($C38,院校录取信息表!$C:$CN,9,FALSE)),"",VLOOKUP($C38,院校录取信息表!$C:$CN,9,FALSE))</f>
        <v/>
      </c>
      <c r="N38" s="43" t="str">
        <f>IF(ISERROR(VLOOKUP($C38,院校录取信息表!$C:$CN,10,FALSE)),"",VLOOKUP($C38,院校录取信息表!$C:$CN,10,FALSE))</f>
        <v/>
      </c>
      <c r="O38" s="54" t="str">
        <f>IF(ISERROR(VLOOKUP($C38,院校录取信息表!$C:$CN,11,FALSE)),"",VLOOKUP($C38,院校录取信息表!$C:$CN,11,FALSE))</f>
        <v/>
      </c>
      <c r="P38" s="54" t="str">
        <f>IF(ISERROR(VLOOKUP($C38,院校录取信息表!$C:$CN,12,FALSE)),"",VLOOKUP($C38,院校录取信息表!$C:$CN,12,FALSE))</f>
        <v/>
      </c>
      <c r="Q38" s="54" t="str">
        <f>IF(ISERROR(VLOOKUP($C38,院校录取信息表!$C:$CN,13,FALSE)),"",VLOOKUP($C38,院校录取信息表!$C:$CN,13,FALSE))</f>
        <v/>
      </c>
    </row>
    <row r="39" ht="20" customHeight="1" spans="1:17">
      <c r="A39" s="46"/>
      <c r="B39" s="44"/>
      <c r="C39" s="45">
        <v>36</v>
      </c>
      <c r="D39" s="43" t="str">
        <f>IF(ISERROR(VLOOKUP($C39,院校录取信息表!$C:$CN,3,FALSE)),"",VLOOKUP($C39,院校录取信息表!$C:$CN,3,FALSE))</f>
        <v/>
      </c>
      <c r="E39" s="43" t="str">
        <f>IF(ISERROR(VLOOKUP($C39,院校录取信息表!$C:$CN,4,FALSE)),"",VLOOKUP($C39,院校录取信息表!$C:$CN,4,FALSE))</f>
        <v/>
      </c>
      <c r="F39" s="43" t="str">
        <f>IF(ISERROR(VLOOKUP($C39,院校录取信息表!$C:$CN,16,FALSE)),"",VLOOKUP($C39,院校录取信息表!$C:$CN,16,FALSE))</f>
        <v/>
      </c>
      <c r="G39" s="47" t="str">
        <f>IF(ISERROR(VLOOKUP($C39,院校录取信息表!$C:$CN,17,FALSE)),"",VLOOKUP($C39,院校录取信息表!$C:$CN,17,FALSE))</f>
        <v/>
      </c>
      <c r="H39" s="47" t="str">
        <f>IF(ISERROR(VLOOKUP($C39,院校录取信息表!$C:$CN,21,FALSE)),"",VLOOKUP($C39,院校录取信息表!$C:$CN,21,FALSE))</f>
        <v/>
      </c>
      <c r="I39" s="47" t="str">
        <f>IF(ISERROR(VLOOKUP($C39,院校录取信息表!$C:$CN,18,FALSE)),"",VLOOKUP($C39,院校录取信息表!$C:$CN,18,FALSE))</f>
        <v/>
      </c>
      <c r="J39" s="51" t="str">
        <f>IF(ISERROR(VLOOKUP($C39,院校录取信息表!$C:$CN,23,FALSE)),"",VLOOKUP($C39,院校录取信息表!$C:$CN,23,FALSE))</f>
        <v/>
      </c>
      <c r="K39" s="47" t="str">
        <f>IF(ISERROR(VLOOKUP($C39,院校录取信息表!$C:$CN,5,FALSE)),"",VLOOKUP($C39,院校录取信息表!$C:$CN,5,FALSE))</f>
        <v/>
      </c>
      <c r="L39" s="43" t="str">
        <f>IF(ISERROR(VLOOKUP($C39,院校录取信息表!$C:$CN,8,FALSE)),"",VLOOKUP($C39,院校录取信息表!$C:$CN,8,FALSE))</f>
        <v/>
      </c>
      <c r="M39" s="43" t="str">
        <f>IF(ISERROR(VLOOKUP($C39,院校录取信息表!$C:$CN,9,FALSE)),"",VLOOKUP($C39,院校录取信息表!$C:$CN,9,FALSE))</f>
        <v/>
      </c>
      <c r="N39" s="43" t="str">
        <f>IF(ISERROR(VLOOKUP($C39,院校录取信息表!$C:$CN,10,FALSE)),"",VLOOKUP($C39,院校录取信息表!$C:$CN,10,FALSE))</f>
        <v/>
      </c>
      <c r="O39" s="54" t="str">
        <f>IF(ISERROR(VLOOKUP($C39,院校录取信息表!$C:$CN,11,FALSE)),"",VLOOKUP($C39,院校录取信息表!$C:$CN,11,FALSE))</f>
        <v/>
      </c>
      <c r="P39" s="54" t="str">
        <f>IF(ISERROR(VLOOKUP($C39,院校录取信息表!$C:$CN,12,FALSE)),"",VLOOKUP($C39,院校录取信息表!$C:$CN,12,FALSE))</f>
        <v/>
      </c>
      <c r="Q39" s="54" t="str">
        <f>IF(ISERROR(VLOOKUP($C39,院校录取信息表!$C:$CN,13,FALSE)),"",VLOOKUP($C39,院校录取信息表!$C:$CN,13,FALSE))</f>
        <v/>
      </c>
    </row>
    <row r="40" ht="20" customHeight="1" spans="1:17">
      <c r="A40" s="46"/>
      <c r="B40" s="44" t="s">
        <v>1050</v>
      </c>
      <c r="C40" s="45">
        <v>37</v>
      </c>
      <c r="D40" s="43" t="str">
        <f>IF(ISERROR(VLOOKUP($C40,院校录取信息表!$C:$CN,3,FALSE)),"",VLOOKUP($C40,院校录取信息表!$C:$CN,3,FALSE))</f>
        <v/>
      </c>
      <c r="E40" s="43" t="str">
        <f>IF(ISERROR(VLOOKUP($C40,院校录取信息表!$C:$CN,4,FALSE)),"",VLOOKUP($C40,院校录取信息表!$C:$CN,4,FALSE))</f>
        <v/>
      </c>
      <c r="F40" s="43" t="str">
        <f>IF(ISERROR(VLOOKUP($C40,院校录取信息表!$C:$CN,16,FALSE)),"",VLOOKUP($C40,院校录取信息表!$C:$CN,16,FALSE))</f>
        <v/>
      </c>
      <c r="G40" s="47" t="str">
        <f>IF(ISERROR(VLOOKUP($C40,院校录取信息表!$C:$CN,17,FALSE)),"",VLOOKUP($C40,院校录取信息表!$C:$CN,17,FALSE))</f>
        <v/>
      </c>
      <c r="H40" s="47" t="str">
        <f>IF(ISERROR(VLOOKUP($C40,院校录取信息表!$C:$CN,21,FALSE)),"",VLOOKUP($C40,院校录取信息表!$C:$CN,21,FALSE))</f>
        <v/>
      </c>
      <c r="I40" s="47" t="str">
        <f>IF(ISERROR(VLOOKUP($C40,院校录取信息表!$C:$CN,18,FALSE)),"",VLOOKUP($C40,院校录取信息表!$C:$CN,18,FALSE))</f>
        <v/>
      </c>
      <c r="J40" s="51" t="str">
        <f>IF(ISERROR(VLOOKUP($C40,院校录取信息表!$C:$CN,23,FALSE)),"",VLOOKUP($C40,院校录取信息表!$C:$CN,23,FALSE))</f>
        <v/>
      </c>
      <c r="K40" s="47" t="str">
        <f>IF(ISERROR(VLOOKUP($C40,院校录取信息表!$C:$CN,5,FALSE)),"",VLOOKUP($C40,院校录取信息表!$C:$CN,5,FALSE))</f>
        <v/>
      </c>
      <c r="L40" s="43" t="str">
        <f>IF(ISERROR(VLOOKUP($C40,院校录取信息表!$C:$CN,8,FALSE)),"",VLOOKUP($C40,院校录取信息表!$C:$CN,8,FALSE))</f>
        <v/>
      </c>
      <c r="M40" s="43" t="str">
        <f>IF(ISERROR(VLOOKUP($C40,院校录取信息表!$C:$CN,9,FALSE)),"",VLOOKUP($C40,院校录取信息表!$C:$CN,9,FALSE))</f>
        <v/>
      </c>
      <c r="N40" s="43" t="str">
        <f>IF(ISERROR(VLOOKUP($C40,院校录取信息表!$C:$CN,10,FALSE)),"",VLOOKUP($C40,院校录取信息表!$C:$CN,10,FALSE))</f>
        <v/>
      </c>
      <c r="O40" s="54" t="str">
        <f>IF(ISERROR(VLOOKUP($C40,院校录取信息表!$C:$CN,11,FALSE)),"",VLOOKUP($C40,院校录取信息表!$C:$CN,11,FALSE))</f>
        <v/>
      </c>
      <c r="P40" s="54" t="str">
        <f>IF(ISERROR(VLOOKUP($C40,院校录取信息表!$C:$CN,12,FALSE)),"",VLOOKUP($C40,院校录取信息表!$C:$CN,12,FALSE))</f>
        <v/>
      </c>
      <c r="Q40" s="54" t="str">
        <f>IF(ISERROR(VLOOKUP($C40,院校录取信息表!$C:$CN,13,FALSE)),"",VLOOKUP($C40,院校录取信息表!$C:$CN,13,FALSE))</f>
        <v/>
      </c>
    </row>
    <row r="41" ht="20" customHeight="1" spans="1:17">
      <c r="A41" s="46"/>
      <c r="B41" s="44"/>
      <c r="C41" s="45">
        <v>38</v>
      </c>
      <c r="D41" s="43" t="str">
        <f>IF(ISERROR(VLOOKUP($C41,院校录取信息表!$C:$CN,3,FALSE)),"",VLOOKUP($C41,院校录取信息表!$C:$CN,3,FALSE))</f>
        <v/>
      </c>
      <c r="E41" s="43" t="str">
        <f>IF(ISERROR(VLOOKUP($C41,院校录取信息表!$C:$CN,4,FALSE)),"",VLOOKUP($C41,院校录取信息表!$C:$CN,4,FALSE))</f>
        <v/>
      </c>
      <c r="F41" s="43" t="str">
        <f>IF(ISERROR(VLOOKUP($C41,院校录取信息表!$C:$CN,16,FALSE)),"",VLOOKUP($C41,院校录取信息表!$C:$CN,16,FALSE))</f>
        <v/>
      </c>
      <c r="G41" s="47" t="str">
        <f>IF(ISERROR(VLOOKUP($C41,院校录取信息表!$C:$CN,17,FALSE)),"",VLOOKUP($C41,院校录取信息表!$C:$CN,17,FALSE))</f>
        <v/>
      </c>
      <c r="H41" s="47" t="str">
        <f>IF(ISERROR(VLOOKUP($C41,院校录取信息表!$C:$CN,21,FALSE)),"",VLOOKUP($C41,院校录取信息表!$C:$CN,21,FALSE))</f>
        <v/>
      </c>
      <c r="I41" s="47" t="str">
        <f>IF(ISERROR(VLOOKUP($C41,院校录取信息表!$C:$CN,18,FALSE)),"",VLOOKUP($C41,院校录取信息表!$C:$CN,18,FALSE))</f>
        <v/>
      </c>
      <c r="J41" s="51" t="str">
        <f>IF(ISERROR(VLOOKUP($C41,院校录取信息表!$C:$CN,23,FALSE)),"",VLOOKUP($C41,院校录取信息表!$C:$CN,23,FALSE))</f>
        <v/>
      </c>
      <c r="K41" s="47" t="str">
        <f>IF(ISERROR(VLOOKUP($C41,院校录取信息表!$C:$CN,5,FALSE)),"",VLOOKUP($C41,院校录取信息表!$C:$CN,5,FALSE))</f>
        <v/>
      </c>
      <c r="L41" s="43" t="str">
        <f>IF(ISERROR(VLOOKUP($C41,院校录取信息表!$C:$CN,8,FALSE)),"",VLOOKUP($C41,院校录取信息表!$C:$CN,8,FALSE))</f>
        <v/>
      </c>
      <c r="M41" s="43" t="str">
        <f>IF(ISERROR(VLOOKUP($C41,院校录取信息表!$C:$CN,9,FALSE)),"",VLOOKUP($C41,院校录取信息表!$C:$CN,9,FALSE))</f>
        <v/>
      </c>
      <c r="N41" s="43" t="str">
        <f>IF(ISERROR(VLOOKUP($C41,院校录取信息表!$C:$CN,10,FALSE)),"",VLOOKUP($C41,院校录取信息表!$C:$CN,10,FALSE))</f>
        <v/>
      </c>
      <c r="O41" s="54" t="str">
        <f>IF(ISERROR(VLOOKUP($C41,院校录取信息表!$C:$CN,11,FALSE)),"",VLOOKUP($C41,院校录取信息表!$C:$CN,11,FALSE))</f>
        <v/>
      </c>
      <c r="P41" s="54" t="str">
        <f>IF(ISERROR(VLOOKUP($C41,院校录取信息表!$C:$CN,12,FALSE)),"",VLOOKUP($C41,院校录取信息表!$C:$CN,12,FALSE))</f>
        <v/>
      </c>
      <c r="Q41" s="54" t="str">
        <f>IF(ISERROR(VLOOKUP($C41,院校录取信息表!$C:$CN,13,FALSE)),"",VLOOKUP($C41,院校录取信息表!$C:$CN,13,FALSE))</f>
        <v/>
      </c>
    </row>
    <row r="42" ht="20" customHeight="1" spans="1:17">
      <c r="A42" s="46"/>
      <c r="B42" s="44"/>
      <c r="C42" s="45">
        <v>39</v>
      </c>
      <c r="D42" s="43" t="str">
        <f>IF(ISERROR(VLOOKUP($C42,院校录取信息表!$C:$CN,3,FALSE)),"",VLOOKUP($C42,院校录取信息表!$C:$CN,3,FALSE))</f>
        <v/>
      </c>
      <c r="E42" s="43" t="str">
        <f>IF(ISERROR(VLOOKUP($C42,院校录取信息表!$C:$CN,4,FALSE)),"",VLOOKUP($C42,院校录取信息表!$C:$CN,4,FALSE))</f>
        <v/>
      </c>
      <c r="F42" s="43" t="str">
        <f>IF(ISERROR(VLOOKUP($C42,院校录取信息表!$C:$CN,16,FALSE)),"",VLOOKUP($C42,院校录取信息表!$C:$CN,16,FALSE))</f>
        <v/>
      </c>
      <c r="G42" s="47" t="str">
        <f>IF(ISERROR(VLOOKUP($C42,院校录取信息表!$C:$CN,17,FALSE)),"",VLOOKUP($C42,院校录取信息表!$C:$CN,17,FALSE))</f>
        <v/>
      </c>
      <c r="H42" s="47" t="str">
        <f>IF(ISERROR(VLOOKUP($C42,院校录取信息表!$C:$CN,21,FALSE)),"",VLOOKUP($C42,院校录取信息表!$C:$CN,21,FALSE))</f>
        <v/>
      </c>
      <c r="I42" s="47" t="str">
        <f>IF(ISERROR(VLOOKUP($C42,院校录取信息表!$C:$CN,18,FALSE)),"",VLOOKUP($C42,院校录取信息表!$C:$CN,18,FALSE))</f>
        <v/>
      </c>
      <c r="J42" s="51" t="str">
        <f>IF(ISERROR(VLOOKUP($C42,院校录取信息表!$C:$CN,23,FALSE)),"",VLOOKUP($C42,院校录取信息表!$C:$CN,23,FALSE))</f>
        <v/>
      </c>
      <c r="K42" s="47" t="str">
        <f>IF(ISERROR(VLOOKUP($C42,院校录取信息表!$C:$CN,5,FALSE)),"",VLOOKUP($C42,院校录取信息表!$C:$CN,5,FALSE))</f>
        <v/>
      </c>
      <c r="L42" s="43" t="str">
        <f>IF(ISERROR(VLOOKUP($C42,院校录取信息表!$C:$CN,8,FALSE)),"",VLOOKUP($C42,院校录取信息表!$C:$CN,8,FALSE))</f>
        <v/>
      </c>
      <c r="M42" s="43" t="str">
        <f>IF(ISERROR(VLOOKUP($C42,院校录取信息表!$C:$CN,9,FALSE)),"",VLOOKUP($C42,院校录取信息表!$C:$CN,9,FALSE))</f>
        <v/>
      </c>
      <c r="N42" s="43" t="str">
        <f>IF(ISERROR(VLOOKUP($C42,院校录取信息表!$C:$CN,10,FALSE)),"",VLOOKUP($C42,院校录取信息表!$C:$CN,10,FALSE))</f>
        <v/>
      </c>
      <c r="O42" s="54" t="str">
        <f>IF(ISERROR(VLOOKUP($C42,院校录取信息表!$C:$CN,11,FALSE)),"",VLOOKUP($C42,院校录取信息表!$C:$CN,11,FALSE))</f>
        <v/>
      </c>
      <c r="P42" s="54" t="str">
        <f>IF(ISERROR(VLOOKUP($C42,院校录取信息表!$C:$CN,12,FALSE)),"",VLOOKUP($C42,院校录取信息表!$C:$CN,12,FALSE))</f>
        <v/>
      </c>
      <c r="Q42" s="54" t="str">
        <f>IF(ISERROR(VLOOKUP($C42,院校录取信息表!$C:$CN,13,FALSE)),"",VLOOKUP($C42,院校录取信息表!$C:$CN,13,FALSE))</f>
        <v/>
      </c>
    </row>
    <row r="43" ht="20" customHeight="1" spans="1:17">
      <c r="A43" s="46"/>
      <c r="B43" s="44"/>
      <c r="C43" s="45">
        <v>40</v>
      </c>
      <c r="D43" s="43" t="str">
        <f>IF(ISERROR(VLOOKUP($C43,院校录取信息表!$C:$CN,3,FALSE)),"",VLOOKUP($C43,院校录取信息表!$C:$CN,3,FALSE))</f>
        <v/>
      </c>
      <c r="E43" s="43" t="str">
        <f>IF(ISERROR(VLOOKUP($C43,院校录取信息表!$C:$CN,4,FALSE)),"",VLOOKUP($C43,院校录取信息表!$C:$CN,4,FALSE))</f>
        <v/>
      </c>
      <c r="F43" s="43" t="str">
        <f>IF(ISERROR(VLOOKUP($C43,院校录取信息表!$C:$CN,16,FALSE)),"",VLOOKUP($C43,院校录取信息表!$C:$CN,16,FALSE))</f>
        <v/>
      </c>
      <c r="G43" s="47" t="str">
        <f>IF(ISERROR(VLOOKUP($C43,院校录取信息表!$C:$CN,17,FALSE)),"",VLOOKUP($C43,院校录取信息表!$C:$CN,17,FALSE))</f>
        <v/>
      </c>
      <c r="H43" s="47" t="str">
        <f>IF(ISERROR(VLOOKUP($C43,院校录取信息表!$C:$CN,21,FALSE)),"",VLOOKUP($C43,院校录取信息表!$C:$CN,21,FALSE))</f>
        <v/>
      </c>
      <c r="I43" s="47" t="str">
        <f>IF(ISERROR(VLOOKUP($C43,院校录取信息表!$C:$CN,18,FALSE)),"",VLOOKUP($C43,院校录取信息表!$C:$CN,18,FALSE))</f>
        <v/>
      </c>
      <c r="J43" s="51" t="str">
        <f>IF(ISERROR(VLOOKUP($C43,院校录取信息表!$C:$CN,23,FALSE)),"",VLOOKUP($C43,院校录取信息表!$C:$CN,23,FALSE))</f>
        <v/>
      </c>
      <c r="K43" s="47" t="str">
        <f>IF(ISERROR(VLOOKUP($C43,院校录取信息表!$C:$CN,5,FALSE)),"",VLOOKUP($C43,院校录取信息表!$C:$CN,5,FALSE))</f>
        <v/>
      </c>
      <c r="L43" s="43" t="str">
        <f>IF(ISERROR(VLOOKUP($C43,院校录取信息表!$C:$CN,8,FALSE)),"",VLOOKUP($C43,院校录取信息表!$C:$CN,8,FALSE))</f>
        <v/>
      </c>
      <c r="M43" s="43" t="str">
        <f>IF(ISERROR(VLOOKUP($C43,院校录取信息表!$C:$CN,9,FALSE)),"",VLOOKUP($C43,院校录取信息表!$C:$CN,9,FALSE))</f>
        <v/>
      </c>
      <c r="N43" s="43" t="str">
        <f>IF(ISERROR(VLOOKUP($C43,院校录取信息表!$C:$CN,10,FALSE)),"",VLOOKUP($C43,院校录取信息表!$C:$CN,10,FALSE))</f>
        <v/>
      </c>
      <c r="O43" s="54" t="str">
        <f>IF(ISERROR(VLOOKUP($C43,院校录取信息表!$C:$CN,11,FALSE)),"",VLOOKUP($C43,院校录取信息表!$C:$CN,11,FALSE))</f>
        <v/>
      </c>
      <c r="P43" s="54" t="str">
        <f>IF(ISERROR(VLOOKUP($C43,院校录取信息表!$C:$CN,12,FALSE)),"",VLOOKUP($C43,院校录取信息表!$C:$CN,12,FALSE))</f>
        <v/>
      </c>
      <c r="Q43" s="54" t="str">
        <f>IF(ISERROR(VLOOKUP($C43,院校录取信息表!$C:$CN,13,FALSE)),"",VLOOKUP($C43,院校录取信息表!$C:$CN,13,FALSE))</f>
        <v/>
      </c>
    </row>
    <row r="44" ht="20" customHeight="1" spans="1:17">
      <c r="A44" s="46"/>
      <c r="B44" s="44"/>
      <c r="C44" s="45">
        <v>41</v>
      </c>
      <c r="D44" s="43" t="str">
        <f>IF(ISERROR(VLOOKUP($C44,院校录取信息表!$C:$CN,3,FALSE)),"",VLOOKUP($C44,院校录取信息表!$C:$CN,3,FALSE))</f>
        <v/>
      </c>
      <c r="E44" s="43" t="str">
        <f>IF(ISERROR(VLOOKUP($C44,院校录取信息表!$C:$CN,4,FALSE)),"",VLOOKUP($C44,院校录取信息表!$C:$CN,4,FALSE))</f>
        <v/>
      </c>
      <c r="F44" s="43" t="str">
        <f>IF(ISERROR(VLOOKUP($C44,院校录取信息表!$C:$CN,16,FALSE)),"",VLOOKUP($C44,院校录取信息表!$C:$CN,16,FALSE))</f>
        <v/>
      </c>
      <c r="G44" s="47" t="str">
        <f>IF(ISERROR(VLOOKUP($C44,院校录取信息表!$C:$CN,17,FALSE)),"",VLOOKUP($C44,院校录取信息表!$C:$CN,17,FALSE))</f>
        <v/>
      </c>
      <c r="H44" s="47" t="str">
        <f>IF(ISERROR(VLOOKUP($C44,院校录取信息表!$C:$CN,21,FALSE)),"",VLOOKUP($C44,院校录取信息表!$C:$CN,21,FALSE))</f>
        <v/>
      </c>
      <c r="I44" s="47" t="str">
        <f>IF(ISERROR(VLOOKUP($C44,院校录取信息表!$C:$CN,18,FALSE)),"",VLOOKUP($C44,院校录取信息表!$C:$CN,18,FALSE))</f>
        <v/>
      </c>
      <c r="J44" s="51" t="str">
        <f>IF(ISERROR(VLOOKUP($C44,院校录取信息表!$C:$CN,23,FALSE)),"",VLOOKUP($C44,院校录取信息表!$C:$CN,23,FALSE))</f>
        <v/>
      </c>
      <c r="K44" s="47" t="str">
        <f>IF(ISERROR(VLOOKUP($C44,院校录取信息表!$C:$CN,5,FALSE)),"",VLOOKUP($C44,院校录取信息表!$C:$CN,5,FALSE))</f>
        <v/>
      </c>
      <c r="L44" s="43" t="str">
        <f>IF(ISERROR(VLOOKUP($C44,院校录取信息表!$C:$CN,8,FALSE)),"",VLOOKUP($C44,院校录取信息表!$C:$CN,8,FALSE))</f>
        <v/>
      </c>
      <c r="M44" s="43" t="str">
        <f>IF(ISERROR(VLOOKUP($C44,院校录取信息表!$C:$CN,9,FALSE)),"",VLOOKUP($C44,院校录取信息表!$C:$CN,9,FALSE))</f>
        <v/>
      </c>
      <c r="N44" s="43" t="str">
        <f>IF(ISERROR(VLOOKUP($C44,院校录取信息表!$C:$CN,10,FALSE)),"",VLOOKUP($C44,院校录取信息表!$C:$CN,10,FALSE))</f>
        <v/>
      </c>
      <c r="O44" s="54" t="str">
        <f>IF(ISERROR(VLOOKUP($C44,院校录取信息表!$C:$CN,11,FALSE)),"",VLOOKUP($C44,院校录取信息表!$C:$CN,11,FALSE))</f>
        <v/>
      </c>
      <c r="P44" s="54" t="str">
        <f>IF(ISERROR(VLOOKUP($C44,院校录取信息表!$C:$CN,12,FALSE)),"",VLOOKUP($C44,院校录取信息表!$C:$CN,12,FALSE))</f>
        <v/>
      </c>
      <c r="Q44" s="54" t="str">
        <f>IF(ISERROR(VLOOKUP($C44,院校录取信息表!$C:$CN,13,FALSE)),"",VLOOKUP($C44,院校录取信息表!$C:$CN,13,FALSE))</f>
        <v/>
      </c>
    </row>
    <row r="45" ht="20" customHeight="1" spans="1:17">
      <c r="A45" s="46"/>
      <c r="B45" s="44"/>
      <c r="C45" s="45">
        <v>42</v>
      </c>
      <c r="D45" s="43" t="str">
        <f>IF(ISERROR(VLOOKUP($C45,院校录取信息表!$C:$CN,3,FALSE)),"",VLOOKUP($C45,院校录取信息表!$C:$CN,3,FALSE))</f>
        <v/>
      </c>
      <c r="E45" s="43" t="str">
        <f>IF(ISERROR(VLOOKUP($C45,院校录取信息表!$C:$CN,4,FALSE)),"",VLOOKUP($C45,院校录取信息表!$C:$CN,4,FALSE))</f>
        <v/>
      </c>
      <c r="F45" s="43" t="str">
        <f>IF(ISERROR(VLOOKUP($C45,院校录取信息表!$C:$CN,16,FALSE)),"",VLOOKUP($C45,院校录取信息表!$C:$CN,16,FALSE))</f>
        <v/>
      </c>
      <c r="G45" s="47" t="str">
        <f>IF(ISERROR(VLOOKUP($C45,院校录取信息表!$C:$CN,17,FALSE)),"",VLOOKUP($C45,院校录取信息表!$C:$CN,17,FALSE))</f>
        <v/>
      </c>
      <c r="H45" s="47" t="str">
        <f>IF(ISERROR(VLOOKUP($C45,院校录取信息表!$C:$CN,21,FALSE)),"",VLOOKUP($C45,院校录取信息表!$C:$CN,21,FALSE))</f>
        <v/>
      </c>
      <c r="I45" s="47" t="str">
        <f>IF(ISERROR(VLOOKUP($C45,院校录取信息表!$C:$CN,18,FALSE)),"",VLOOKUP($C45,院校录取信息表!$C:$CN,18,FALSE))</f>
        <v/>
      </c>
      <c r="J45" s="51" t="str">
        <f>IF(ISERROR(VLOOKUP($C45,院校录取信息表!$C:$CN,23,FALSE)),"",VLOOKUP($C45,院校录取信息表!$C:$CN,23,FALSE))</f>
        <v/>
      </c>
      <c r="K45" s="47" t="str">
        <f>IF(ISERROR(VLOOKUP($C45,院校录取信息表!$C:$CN,5,FALSE)),"",VLOOKUP($C45,院校录取信息表!$C:$CN,5,FALSE))</f>
        <v/>
      </c>
      <c r="L45" s="43" t="str">
        <f>IF(ISERROR(VLOOKUP($C45,院校录取信息表!$C:$CN,8,FALSE)),"",VLOOKUP($C45,院校录取信息表!$C:$CN,8,FALSE))</f>
        <v/>
      </c>
      <c r="M45" s="43" t="str">
        <f>IF(ISERROR(VLOOKUP($C45,院校录取信息表!$C:$CN,9,FALSE)),"",VLOOKUP($C45,院校录取信息表!$C:$CN,9,FALSE))</f>
        <v/>
      </c>
      <c r="N45" s="43" t="str">
        <f>IF(ISERROR(VLOOKUP($C45,院校录取信息表!$C:$CN,10,FALSE)),"",VLOOKUP($C45,院校录取信息表!$C:$CN,10,FALSE))</f>
        <v/>
      </c>
      <c r="O45" s="54" t="str">
        <f>IF(ISERROR(VLOOKUP($C45,院校录取信息表!$C:$CN,11,FALSE)),"",VLOOKUP($C45,院校录取信息表!$C:$CN,11,FALSE))</f>
        <v/>
      </c>
      <c r="P45" s="54" t="str">
        <f>IF(ISERROR(VLOOKUP($C45,院校录取信息表!$C:$CN,12,FALSE)),"",VLOOKUP($C45,院校录取信息表!$C:$CN,12,FALSE))</f>
        <v/>
      </c>
      <c r="Q45" s="54" t="str">
        <f>IF(ISERROR(VLOOKUP($C45,院校录取信息表!$C:$CN,13,FALSE)),"",VLOOKUP($C45,院校录取信息表!$C:$CN,13,FALSE))</f>
        <v/>
      </c>
    </row>
    <row r="46" ht="20" customHeight="1" spans="1:17">
      <c r="A46" s="46"/>
      <c r="B46" s="44" t="s">
        <v>1051</v>
      </c>
      <c r="C46" s="45">
        <v>43</v>
      </c>
      <c r="D46" s="43" t="str">
        <f>IF(ISERROR(VLOOKUP($C46,院校录取信息表!$C:$CN,3,FALSE)),"",VLOOKUP($C46,院校录取信息表!$C:$CN,3,FALSE))</f>
        <v/>
      </c>
      <c r="E46" s="43" t="str">
        <f>IF(ISERROR(VLOOKUP($C46,院校录取信息表!$C:$CN,4,FALSE)),"",VLOOKUP($C46,院校录取信息表!$C:$CN,4,FALSE))</f>
        <v/>
      </c>
      <c r="F46" s="43" t="str">
        <f>IF(ISERROR(VLOOKUP($C46,院校录取信息表!$C:$CN,16,FALSE)),"",VLOOKUP($C46,院校录取信息表!$C:$CN,16,FALSE))</f>
        <v/>
      </c>
      <c r="G46" s="47" t="str">
        <f>IF(ISERROR(VLOOKUP($C46,院校录取信息表!$C:$CN,17,FALSE)),"",VLOOKUP($C46,院校录取信息表!$C:$CN,17,FALSE))</f>
        <v/>
      </c>
      <c r="H46" s="47" t="str">
        <f>IF(ISERROR(VLOOKUP($C46,院校录取信息表!$C:$CN,21,FALSE)),"",VLOOKUP($C46,院校录取信息表!$C:$CN,21,FALSE))</f>
        <v/>
      </c>
      <c r="I46" s="47" t="str">
        <f>IF(ISERROR(VLOOKUP($C46,院校录取信息表!$C:$CN,18,FALSE)),"",VLOOKUP($C46,院校录取信息表!$C:$CN,18,FALSE))</f>
        <v/>
      </c>
      <c r="J46" s="51" t="str">
        <f>IF(ISERROR(VLOOKUP($C46,院校录取信息表!$C:$CN,23,FALSE)),"",VLOOKUP($C46,院校录取信息表!$C:$CN,23,FALSE))</f>
        <v/>
      </c>
      <c r="K46" s="47" t="str">
        <f>IF(ISERROR(VLOOKUP($C46,院校录取信息表!$C:$CN,5,FALSE)),"",VLOOKUP($C46,院校录取信息表!$C:$CN,5,FALSE))</f>
        <v/>
      </c>
      <c r="L46" s="43" t="str">
        <f>IF(ISERROR(VLOOKUP($C46,院校录取信息表!$C:$CN,8,FALSE)),"",VLOOKUP($C46,院校录取信息表!$C:$CN,8,FALSE))</f>
        <v/>
      </c>
      <c r="M46" s="43" t="str">
        <f>IF(ISERROR(VLOOKUP($C46,院校录取信息表!$C:$CN,9,FALSE)),"",VLOOKUP($C46,院校录取信息表!$C:$CN,9,FALSE))</f>
        <v/>
      </c>
      <c r="N46" s="43" t="str">
        <f>IF(ISERROR(VLOOKUP($C46,院校录取信息表!$C:$CN,10,FALSE)),"",VLOOKUP($C46,院校录取信息表!$C:$CN,10,FALSE))</f>
        <v/>
      </c>
      <c r="O46" s="54" t="str">
        <f>IF(ISERROR(VLOOKUP($C46,院校录取信息表!$C:$CN,11,FALSE)),"",VLOOKUP($C46,院校录取信息表!$C:$CN,11,FALSE))</f>
        <v/>
      </c>
      <c r="P46" s="54" t="str">
        <f>IF(ISERROR(VLOOKUP($C46,院校录取信息表!$C:$CN,12,FALSE)),"",VLOOKUP($C46,院校录取信息表!$C:$CN,12,FALSE))</f>
        <v/>
      </c>
      <c r="Q46" s="54" t="str">
        <f>IF(ISERROR(VLOOKUP($C46,院校录取信息表!$C:$CN,13,FALSE)),"",VLOOKUP($C46,院校录取信息表!$C:$CN,13,FALSE))</f>
        <v/>
      </c>
    </row>
    <row r="47" ht="20" customHeight="1" spans="1:17">
      <c r="A47" s="46"/>
      <c r="B47" s="44"/>
      <c r="C47" s="45">
        <v>44</v>
      </c>
      <c r="D47" s="43" t="str">
        <f>IF(ISERROR(VLOOKUP($C47,院校录取信息表!$C:$CN,3,FALSE)),"",VLOOKUP($C47,院校录取信息表!$C:$CN,3,FALSE))</f>
        <v/>
      </c>
      <c r="E47" s="43" t="str">
        <f>IF(ISERROR(VLOOKUP($C47,院校录取信息表!$C:$CN,4,FALSE)),"",VLOOKUP($C47,院校录取信息表!$C:$CN,4,FALSE))</f>
        <v/>
      </c>
      <c r="F47" s="43" t="str">
        <f>IF(ISERROR(VLOOKUP($C47,院校录取信息表!$C:$CN,16,FALSE)),"",VLOOKUP($C47,院校录取信息表!$C:$CN,16,FALSE))</f>
        <v/>
      </c>
      <c r="G47" s="47" t="str">
        <f>IF(ISERROR(VLOOKUP($C47,院校录取信息表!$C:$CN,17,FALSE)),"",VLOOKUP($C47,院校录取信息表!$C:$CN,17,FALSE))</f>
        <v/>
      </c>
      <c r="H47" s="47" t="str">
        <f>IF(ISERROR(VLOOKUP($C47,院校录取信息表!$C:$CN,21,FALSE)),"",VLOOKUP($C47,院校录取信息表!$C:$CN,21,FALSE))</f>
        <v/>
      </c>
      <c r="I47" s="47" t="str">
        <f>IF(ISERROR(VLOOKUP($C47,院校录取信息表!$C:$CN,18,FALSE)),"",VLOOKUP($C47,院校录取信息表!$C:$CN,18,FALSE))</f>
        <v/>
      </c>
      <c r="J47" s="51" t="str">
        <f>IF(ISERROR(VLOOKUP($C47,院校录取信息表!$C:$CN,23,FALSE)),"",VLOOKUP($C47,院校录取信息表!$C:$CN,23,FALSE))</f>
        <v/>
      </c>
      <c r="K47" s="47" t="str">
        <f>IF(ISERROR(VLOOKUP($C47,院校录取信息表!$C:$CN,5,FALSE)),"",VLOOKUP($C47,院校录取信息表!$C:$CN,5,FALSE))</f>
        <v/>
      </c>
      <c r="L47" s="43" t="str">
        <f>IF(ISERROR(VLOOKUP($C47,院校录取信息表!$C:$CN,8,FALSE)),"",VLOOKUP($C47,院校录取信息表!$C:$CN,8,FALSE))</f>
        <v/>
      </c>
      <c r="M47" s="43" t="str">
        <f>IF(ISERROR(VLOOKUP($C47,院校录取信息表!$C:$CN,9,FALSE)),"",VLOOKUP($C47,院校录取信息表!$C:$CN,9,FALSE))</f>
        <v/>
      </c>
      <c r="N47" s="43" t="str">
        <f>IF(ISERROR(VLOOKUP($C47,院校录取信息表!$C:$CN,10,FALSE)),"",VLOOKUP($C47,院校录取信息表!$C:$CN,10,FALSE))</f>
        <v/>
      </c>
      <c r="O47" s="54" t="str">
        <f>IF(ISERROR(VLOOKUP($C47,院校录取信息表!$C:$CN,11,FALSE)),"",VLOOKUP($C47,院校录取信息表!$C:$CN,11,FALSE))</f>
        <v/>
      </c>
      <c r="P47" s="54" t="str">
        <f>IF(ISERROR(VLOOKUP($C47,院校录取信息表!$C:$CN,12,FALSE)),"",VLOOKUP($C47,院校录取信息表!$C:$CN,12,FALSE))</f>
        <v/>
      </c>
      <c r="Q47" s="54" t="str">
        <f>IF(ISERROR(VLOOKUP($C47,院校录取信息表!$C:$CN,13,FALSE)),"",VLOOKUP($C47,院校录取信息表!$C:$CN,13,FALSE))</f>
        <v/>
      </c>
    </row>
    <row r="48" ht="20" customHeight="1" spans="1:17">
      <c r="A48" s="46"/>
      <c r="B48" s="44"/>
      <c r="C48" s="45">
        <v>45</v>
      </c>
      <c r="D48" s="43" t="str">
        <f>IF(ISERROR(VLOOKUP($C48,院校录取信息表!$C:$CN,3,FALSE)),"",VLOOKUP($C48,院校录取信息表!$C:$CN,3,FALSE))</f>
        <v/>
      </c>
      <c r="E48" s="43" t="str">
        <f>IF(ISERROR(VLOOKUP($C48,院校录取信息表!$C:$CN,4,FALSE)),"",VLOOKUP($C48,院校录取信息表!$C:$CN,4,FALSE))</f>
        <v/>
      </c>
      <c r="F48" s="43" t="str">
        <f>IF(ISERROR(VLOOKUP($C48,院校录取信息表!$C:$CN,16,FALSE)),"",VLOOKUP($C48,院校录取信息表!$C:$CN,16,FALSE))</f>
        <v/>
      </c>
      <c r="G48" s="47" t="str">
        <f>IF(ISERROR(VLOOKUP($C48,院校录取信息表!$C:$CN,17,FALSE)),"",VLOOKUP($C48,院校录取信息表!$C:$CN,17,FALSE))</f>
        <v/>
      </c>
      <c r="H48" s="47" t="str">
        <f>IF(ISERROR(VLOOKUP($C48,院校录取信息表!$C:$CN,21,FALSE)),"",VLOOKUP($C48,院校录取信息表!$C:$CN,21,FALSE))</f>
        <v/>
      </c>
      <c r="I48" s="47" t="str">
        <f>IF(ISERROR(VLOOKUP($C48,院校录取信息表!$C:$CN,18,FALSE)),"",VLOOKUP($C48,院校录取信息表!$C:$CN,18,FALSE))</f>
        <v/>
      </c>
      <c r="J48" s="51" t="str">
        <f>IF(ISERROR(VLOOKUP($C48,院校录取信息表!$C:$CN,23,FALSE)),"",VLOOKUP($C48,院校录取信息表!$C:$CN,23,FALSE))</f>
        <v/>
      </c>
      <c r="K48" s="47" t="str">
        <f>IF(ISERROR(VLOOKUP($C48,院校录取信息表!$C:$CN,5,FALSE)),"",VLOOKUP($C48,院校录取信息表!$C:$CN,5,FALSE))</f>
        <v/>
      </c>
      <c r="L48" s="43" t="str">
        <f>IF(ISERROR(VLOOKUP($C48,院校录取信息表!$C:$CN,8,FALSE)),"",VLOOKUP($C48,院校录取信息表!$C:$CN,8,FALSE))</f>
        <v/>
      </c>
      <c r="M48" s="43" t="str">
        <f>IF(ISERROR(VLOOKUP($C48,院校录取信息表!$C:$CN,9,FALSE)),"",VLOOKUP($C48,院校录取信息表!$C:$CN,9,FALSE))</f>
        <v/>
      </c>
      <c r="N48" s="43" t="str">
        <f>IF(ISERROR(VLOOKUP($C48,院校录取信息表!$C:$CN,10,FALSE)),"",VLOOKUP($C48,院校录取信息表!$C:$CN,10,FALSE))</f>
        <v/>
      </c>
      <c r="O48" s="54" t="str">
        <f>IF(ISERROR(VLOOKUP($C48,院校录取信息表!$C:$CN,11,FALSE)),"",VLOOKUP($C48,院校录取信息表!$C:$CN,11,FALSE))</f>
        <v/>
      </c>
      <c r="P48" s="54" t="str">
        <f>IF(ISERROR(VLOOKUP($C48,院校录取信息表!$C:$CN,12,FALSE)),"",VLOOKUP($C48,院校录取信息表!$C:$CN,12,FALSE))</f>
        <v/>
      </c>
      <c r="Q48" s="54" t="str">
        <f>IF(ISERROR(VLOOKUP($C48,院校录取信息表!$C:$CN,13,FALSE)),"",VLOOKUP($C48,院校录取信息表!$C:$CN,13,FALSE))</f>
        <v/>
      </c>
    </row>
    <row r="49" ht="20" customHeight="1" spans="1:17">
      <c r="A49" s="46"/>
      <c r="B49" s="44"/>
      <c r="C49" s="45">
        <v>46</v>
      </c>
      <c r="D49" s="43" t="str">
        <f>IF(ISERROR(VLOOKUP($C49,院校录取信息表!$C:$CN,3,FALSE)),"",VLOOKUP($C49,院校录取信息表!$C:$CN,3,FALSE))</f>
        <v/>
      </c>
      <c r="E49" s="43" t="str">
        <f>IF(ISERROR(VLOOKUP($C49,院校录取信息表!$C:$CN,4,FALSE)),"",VLOOKUP($C49,院校录取信息表!$C:$CN,4,FALSE))</f>
        <v/>
      </c>
      <c r="F49" s="43" t="str">
        <f>IF(ISERROR(VLOOKUP($C49,院校录取信息表!$C:$CN,16,FALSE)),"",VLOOKUP($C49,院校录取信息表!$C:$CN,16,FALSE))</f>
        <v/>
      </c>
      <c r="G49" s="47" t="str">
        <f>IF(ISERROR(VLOOKUP($C49,院校录取信息表!$C:$CN,17,FALSE)),"",VLOOKUP($C49,院校录取信息表!$C:$CN,17,FALSE))</f>
        <v/>
      </c>
      <c r="H49" s="47" t="str">
        <f>IF(ISERROR(VLOOKUP($C49,院校录取信息表!$C:$CN,21,FALSE)),"",VLOOKUP($C49,院校录取信息表!$C:$CN,21,FALSE))</f>
        <v/>
      </c>
      <c r="I49" s="47" t="str">
        <f>IF(ISERROR(VLOOKUP($C49,院校录取信息表!$C:$CN,18,FALSE)),"",VLOOKUP($C49,院校录取信息表!$C:$CN,18,FALSE))</f>
        <v/>
      </c>
      <c r="J49" s="51" t="str">
        <f>IF(ISERROR(VLOOKUP($C49,院校录取信息表!$C:$CN,23,FALSE)),"",VLOOKUP($C49,院校录取信息表!$C:$CN,23,FALSE))</f>
        <v/>
      </c>
      <c r="K49" s="47" t="str">
        <f>IF(ISERROR(VLOOKUP($C49,院校录取信息表!$C:$CN,5,FALSE)),"",VLOOKUP($C49,院校录取信息表!$C:$CN,5,FALSE))</f>
        <v/>
      </c>
      <c r="L49" s="43" t="str">
        <f>IF(ISERROR(VLOOKUP($C49,院校录取信息表!$C:$CN,8,FALSE)),"",VLOOKUP($C49,院校录取信息表!$C:$CN,8,FALSE))</f>
        <v/>
      </c>
      <c r="M49" s="43" t="str">
        <f>IF(ISERROR(VLOOKUP($C49,院校录取信息表!$C:$CN,9,FALSE)),"",VLOOKUP($C49,院校录取信息表!$C:$CN,9,FALSE))</f>
        <v/>
      </c>
      <c r="N49" s="43" t="str">
        <f>IF(ISERROR(VLOOKUP($C49,院校录取信息表!$C:$CN,10,FALSE)),"",VLOOKUP($C49,院校录取信息表!$C:$CN,10,FALSE))</f>
        <v/>
      </c>
      <c r="O49" s="54" t="str">
        <f>IF(ISERROR(VLOOKUP($C49,院校录取信息表!$C:$CN,11,FALSE)),"",VLOOKUP($C49,院校录取信息表!$C:$CN,11,FALSE))</f>
        <v/>
      </c>
      <c r="P49" s="54" t="str">
        <f>IF(ISERROR(VLOOKUP($C49,院校录取信息表!$C:$CN,12,FALSE)),"",VLOOKUP($C49,院校录取信息表!$C:$CN,12,FALSE))</f>
        <v/>
      </c>
      <c r="Q49" s="54" t="str">
        <f>IF(ISERROR(VLOOKUP($C49,院校录取信息表!$C:$CN,13,FALSE)),"",VLOOKUP($C49,院校录取信息表!$C:$CN,13,FALSE))</f>
        <v/>
      </c>
    </row>
    <row r="50" ht="20" customHeight="1" spans="1:17">
      <c r="A50" s="46"/>
      <c r="B50" s="44"/>
      <c r="C50" s="45">
        <v>47</v>
      </c>
      <c r="D50" s="43" t="str">
        <f>IF(ISERROR(VLOOKUP($C50,院校录取信息表!$C:$CN,3,FALSE)),"",VLOOKUP($C50,院校录取信息表!$C:$CN,3,FALSE))</f>
        <v/>
      </c>
      <c r="E50" s="43" t="str">
        <f>IF(ISERROR(VLOOKUP($C50,院校录取信息表!$C:$CN,4,FALSE)),"",VLOOKUP($C50,院校录取信息表!$C:$CN,4,FALSE))</f>
        <v/>
      </c>
      <c r="F50" s="43" t="str">
        <f>IF(ISERROR(VLOOKUP($C50,院校录取信息表!$C:$CN,16,FALSE)),"",VLOOKUP($C50,院校录取信息表!$C:$CN,16,FALSE))</f>
        <v/>
      </c>
      <c r="G50" s="47" t="str">
        <f>IF(ISERROR(VLOOKUP($C50,院校录取信息表!$C:$CN,17,FALSE)),"",VLOOKUP($C50,院校录取信息表!$C:$CN,17,FALSE))</f>
        <v/>
      </c>
      <c r="H50" s="47" t="str">
        <f>IF(ISERROR(VLOOKUP($C50,院校录取信息表!$C:$CN,21,FALSE)),"",VLOOKUP($C50,院校录取信息表!$C:$CN,21,FALSE))</f>
        <v/>
      </c>
      <c r="I50" s="47" t="str">
        <f>IF(ISERROR(VLOOKUP($C50,院校录取信息表!$C:$CN,18,FALSE)),"",VLOOKUP($C50,院校录取信息表!$C:$CN,18,FALSE))</f>
        <v/>
      </c>
      <c r="J50" s="51" t="str">
        <f>IF(ISERROR(VLOOKUP($C50,院校录取信息表!$C:$CN,23,FALSE)),"",VLOOKUP($C50,院校录取信息表!$C:$CN,23,FALSE))</f>
        <v/>
      </c>
      <c r="K50" s="47" t="str">
        <f>IF(ISERROR(VLOOKUP($C50,院校录取信息表!$C:$CN,5,FALSE)),"",VLOOKUP($C50,院校录取信息表!$C:$CN,5,FALSE))</f>
        <v/>
      </c>
      <c r="L50" s="43" t="str">
        <f>IF(ISERROR(VLOOKUP($C50,院校录取信息表!$C:$CN,8,FALSE)),"",VLOOKUP($C50,院校录取信息表!$C:$CN,8,FALSE))</f>
        <v/>
      </c>
      <c r="M50" s="43" t="str">
        <f>IF(ISERROR(VLOOKUP($C50,院校录取信息表!$C:$CN,9,FALSE)),"",VLOOKUP($C50,院校录取信息表!$C:$CN,9,FALSE))</f>
        <v/>
      </c>
      <c r="N50" s="43" t="str">
        <f>IF(ISERROR(VLOOKUP($C50,院校录取信息表!$C:$CN,10,FALSE)),"",VLOOKUP($C50,院校录取信息表!$C:$CN,10,FALSE))</f>
        <v/>
      </c>
      <c r="O50" s="54" t="str">
        <f>IF(ISERROR(VLOOKUP($C50,院校录取信息表!$C:$CN,11,FALSE)),"",VLOOKUP($C50,院校录取信息表!$C:$CN,11,FALSE))</f>
        <v/>
      </c>
      <c r="P50" s="54" t="str">
        <f>IF(ISERROR(VLOOKUP($C50,院校录取信息表!$C:$CN,12,FALSE)),"",VLOOKUP($C50,院校录取信息表!$C:$CN,12,FALSE))</f>
        <v/>
      </c>
      <c r="Q50" s="54" t="str">
        <f>IF(ISERROR(VLOOKUP($C50,院校录取信息表!$C:$CN,13,FALSE)),"",VLOOKUP($C50,院校录取信息表!$C:$CN,13,FALSE))</f>
        <v/>
      </c>
    </row>
    <row r="51" ht="20" customHeight="1" spans="1:17">
      <c r="A51" s="46"/>
      <c r="B51" s="44"/>
      <c r="C51" s="45">
        <v>48</v>
      </c>
      <c r="D51" s="43" t="str">
        <f>IF(ISERROR(VLOOKUP($C51,院校录取信息表!$C:$CN,3,FALSE)),"",VLOOKUP($C51,院校录取信息表!$C:$CN,3,FALSE))</f>
        <v/>
      </c>
      <c r="E51" s="43" t="str">
        <f>IF(ISERROR(VLOOKUP($C51,院校录取信息表!$C:$CN,4,FALSE)),"",VLOOKUP($C51,院校录取信息表!$C:$CN,4,FALSE))</f>
        <v/>
      </c>
      <c r="F51" s="43" t="str">
        <f>IF(ISERROR(VLOOKUP($C51,院校录取信息表!$C:$CN,16,FALSE)),"",VLOOKUP($C51,院校录取信息表!$C:$CN,16,FALSE))</f>
        <v/>
      </c>
      <c r="G51" s="47" t="str">
        <f>IF(ISERROR(VLOOKUP($C51,院校录取信息表!$C:$CN,17,FALSE)),"",VLOOKUP($C51,院校录取信息表!$C:$CN,17,FALSE))</f>
        <v/>
      </c>
      <c r="H51" s="47" t="str">
        <f>IF(ISERROR(VLOOKUP($C51,院校录取信息表!$C:$CN,21,FALSE)),"",VLOOKUP($C51,院校录取信息表!$C:$CN,21,FALSE))</f>
        <v/>
      </c>
      <c r="I51" s="47" t="str">
        <f>IF(ISERROR(VLOOKUP($C51,院校录取信息表!$C:$CN,18,FALSE)),"",VLOOKUP($C51,院校录取信息表!$C:$CN,18,FALSE))</f>
        <v/>
      </c>
      <c r="J51" s="51" t="str">
        <f>IF(ISERROR(VLOOKUP($C51,院校录取信息表!$C:$CN,23,FALSE)),"",VLOOKUP($C51,院校录取信息表!$C:$CN,23,FALSE))</f>
        <v/>
      </c>
      <c r="K51" s="47" t="str">
        <f>IF(ISERROR(VLOOKUP($C51,院校录取信息表!$C:$CN,5,FALSE)),"",VLOOKUP($C51,院校录取信息表!$C:$CN,5,FALSE))</f>
        <v/>
      </c>
      <c r="L51" s="43" t="str">
        <f>IF(ISERROR(VLOOKUP($C51,院校录取信息表!$C:$CN,8,FALSE)),"",VLOOKUP($C51,院校录取信息表!$C:$CN,8,FALSE))</f>
        <v/>
      </c>
      <c r="M51" s="43" t="str">
        <f>IF(ISERROR(VLOOKUP($C51,院校录取信息表!$C:$CN,9,FALSE)),"",VLOOKUP($C51,院校录取信息表!$C:$CN,9,FALSE))</f>
        <v/>
      </c>
      <c r="N51" s="43" t="str">
        <f>IF(ISERROR(VLOOKUP($C51,院校录取信息表!$C:$CN,10,FALSE)),"",VLOOKUP($C51,院校录取信息表!$C:$CN,10,FALSE))</f>
        <v/>
      </c>
      <c r="O51" s="54" t="str">
        <f>IF(ISERROR(VLOOKUP($C51,院校录取信息表!$C:$CN,11,FALSE)),"",VLOOKUP($C51,院校录取信息表!$C:$CN,11,FALSE))</f>
        <v/>
      </c>
      <c r="P51" s="54" t="str">
        <f>IF(ISERROR(VLOOKUP($C51,院校录取信息表!$C:$CN,12,FALSE)),"",VLOOKUP($C51,院校录取信息表!$C:$CN,12,FALSE))</f>
        <v/>
      </c>
      <c r="Q51" s="54" t="str">
        <f>IF(ISERROR(VLOOKUP($C51,院校录取信息表!$C:$CN,13,FALSE)),"",VLOOKUP($C51,院校录取信息表!$C:$CN,13,FALSE))</f>
        <v/>
      </c>
    </row>
    <row r="52" ht="20" customHeight="1" spans="1:17">
      <c r="A52" s="46"/>
      <c r="B52" s="44" t="s">
        <v>1052</v>
      </c>
      <c r="C52" s="45">
        <v>49</v>
      </c>
      <c r="D52" s="43" t="str">
        <f>IF(ISERROR(VLOOKUP($C52,院校录取信息表!$C:$CN,3,FALSE)),"",VLOOKUP($C52,院校录取信息表!$C:$CN,3,FALSE))</f>
        <v/>
      </c>
      <c r="E52" s="43" t="str">
        <f>IF(ISERROR(VLOOKUP($C52,院校录取信息表!$C:$CN,4,FALSE)),"",VLOOKUP($C52,院校录取信息表!$C:$CN,4,FALSE))</f>
        <v/>
      </c>
      <c r="F52" s="43" t="str">
        <f>IF(ISERROR(VLOOKUP($C52,院校录取信息表!$C:$CN,16,FALSE)),"",VLOOKUP($C52,院校录取信息表!$C:$CN,16,FALSE))</f>
        <v/>
      </c>
      <c r="G52" s="47" t="str">
        <f>IF(ISERROR(VLOOKUP($C52,院校录取信息表!$C:$CN,17,FALSE)),"",VLOOKUP($C52,院校录取信息表!$C:$CN,17,FALSE))</f>
        <v/>
      </c>
      <c r="H52" s="47" t="str">
        <f>IF(ISERROR(VLOOKUP($C52,院校录取信息表!$C:$CN,21,FALSE)),"",VLOOKUP($C52,院校录取信息表!$C:$CN,21,FALSE))</f>
        <v/>
      </c>
      <c r="I52" s="47" t="str">
        <f>IF(ISERROR(VLOOKUP($C52,院校录取信息表!$C:$CN,18,FALSE)),"",VLOOKUP($C52,院校录取信息表!$C:$CN,18,FALSE))</f>
        <v/>
      </c>
      <c r="J52" s="51" t="str">
        <f>IF(ISERROR(VLOOKUP($C52,院校录取信息表!$C:$CN,23,FALSE)),"",VLOOKUP($C52,院校录取信息表!$C:$CN,23,FALSE))</f>
        <v/>
      </c>
      <c r="K52" s="47" t="str">
        <f>IF(ISERROR(VLOOKUP($C52,院校录取信息表!$C:$CN,5,FALSE)),"",VLOOKUP($C52,院校录取信息表!$C:$CN,5,FALSE))</f>
        <v/>
      </c>
      <c r="L52" s="43" t="str">
        <f>IF(ISERROR(VLOOKUP($C52,院校录取信息表!$C:$CN,8,FALSE)),"",VLOOKUP($C52,院校录取信息表!$C:$CN,8,FALSE))</f>
        <v/>
      </c>
      <c r="M52" s="43" t="str">
        <f>IF(ISERROR(VLOOKUP($C52,院校录取信息表!$C:$CN,9,FALSE)),"",VLOOKUP($C52,院校录取信息表!$C:$CN,9,FALSE))</f>
        <v/>
      </c>
      <c r="N52" s="43" t="str">
        <f>IF(ISERROR(VLOOKUP($C52,院校录取信息表!$C:$CN,10,FALSE)),"",VLOOKUP($C52,院校录取信息表!$C:$CN,10,FALSE))</f>
        <v/>
      </c>
      <c r="O52" s="54" t="str">
        <f>IF(ISERROR(VLOOKUP($C52,院校录取信息表!$C:$CN,11,FALSE)),"",VLOOKUP($C52,院校录取信息表!$C:$CN,11,FALSE))</f>
        <v/>
      </c>
      <c r="P52" s="54" t="str">
        <f>IF(ISERROR(VLOOKUP($C52,院校录取信息表!$C:$CN,12,FALSE)),"",VLOOKUP($C52,院校录取信息表!$C:$CN,12,FALSE))</f>
        <v/>
      </c>
      <c r="Q52" s="54" t="str">
        <f>IF(ISERROR(VLOOKUP($C52,院校录取信息表!$C:$CN,13,FALSE)),"",VLOOKUP($C52,院校录取信息表!$C:$CN,13,FALSE))</f>
        <v/>
      </c>
    </row>
    <row r="53" ht="20" customHeight="1" spans="1:17">
      <c r="A53" s="46"/>
      <c r="B53" s="44"/>
      <c r="C53" s="45">
        <v>50</v>
      </c>
      <c r="D53" s="43" t="str">
        <f>IF(ISERROR(VLOOKUP($C53,院校录取信息表!$C:$CN,3,FALSE)),"",VLOOKUP($C53,院校录取信息表!$C:$CN,3,FALSE))</f>
        <v/>
      </c>
      <c r="E53" s="43" t="str">
        <f>IF(ISERROR(VLOOKUP($C53,院校录取信息表!$C:$CN,4,FALSE)),"",VLOOKUP($C53,院校录取信息表!$C:$CN,4,FALSE))</f>
        <v/>
      </c>
      <c r="F53" s="43" t="str">
        <f>IF(ISERROR(VLOOKUP($C53,院校录取信息表!$C:$CN,16,FALSE)),"",VLOOKUP($C53,院校录取信息表!$C:$CN,16,FALSE))</f>
        <v/>
      </c>
      <c r="G53" s="47" t="str">
        <f>IF(ISERROR(VLOOKUP($C53,院校录取信息表!$C:$CN,17,FALSE)),"",VLOOKUP($C53,院校录取信息表!$C:$CN,17,FALSE))</f>
        <v/>
      </c>
      <c r="H53" s="47" t="str">
        <f>IF(ISERROR(VLOOKUP($C53,院校录取信息表!$C:$CN,21,FALSE)),"",VLOOKUP($C53,院校录取信息表!$C:$CN,21,FALSE))</f>
        <v/>
      </c>
      <c r="I53" s="47" t="str">
        <f>IF(ISERROR(VLOOKUP($C53,院校录取信息表!$C:$CN,18,FALSE)),"",VLOOKUP($C53,院校录取信息表!$C:$CN,18,FALSE))</f>
        <v/>
      </c>
      <c r="J53" s="51" t="str">
        <f>IF(ISERROR(VLOOKUP($C53,院校录取信息表!$C:$CN,23,FALSE)),"",VLOOKUP($C53,院校录取信息表!$C:$CN,23,FALSE))</f>
        <v/>
      </c>
      <c r="K53" s="47" t="str">
        <f>IF(ISERROR(VLOOKUP($C53,院校录取信息表!$C:$CN,5,FALSE)),"",VLOOKUP($C53,院校录取信息表!$C:$CN,5,FALSE))</f>
        <v/>
      </c>
      <c r="L53" s="43" t="str">
        <f>IF(ISERROR(VLOOKUP($C53,院校录取信息表!$C:$CN,8,FALSE)),"",VLOOKUP($C53,院校录取信息表!$C:$CN,8,FALSE))</f>
        <v/>
      </c>
      <c r="M53" s="43" t="str">
        <f>IF(ISERROR(VLOOKUP($C53,院校录取信息表!$C:$CN,9,FALSE)),"",VLOOKUP($C53,院校录取信息表!$C:$CN,9,FALSE))</f>
        <v/>
      </c>
      <c r="N53" s="43" t="str">
        <f>IF(ISERROR(VLOOKUP($C53,院校录取信息表!$C:$CN,10,FALSE)),"",VLOOKUP($C53,院校录取信息表!$C:$CN,10,FALSE))</f>
        <v/>
      </c>
      <c r="O53" s="54" t="str">
        <f>IF(ISERROR(VLOOKUP($C53,院校录取信息表!$C:$CN,11,FALSE)),"",VLOOKUP($C53,院校录取信息表!$C:$CN,11,FALSE))</f>
        <v/>
      </c>
      <c r="P53" s="54" t="str">
        <f>IF(ISERROR(VLOOKUP($C53,院校录取信息表!$C:$CN,12,FALSE)),"",VLOOKUP($C53,院校录取信息表!$C:$CN,12,FALSE))</f>
        <v/>
      </c>
      <c r="Q53" s="54" t="str">
        <f>IF(ISERROR(VLOOKUP($C53,院校录取信息表!$C:$CN,13,FALSE)),"",VLOOKUP($C53,院校录取信息表!$C:$CN,13,FALSE))</f>
        <v/>
      </c>
    </row>
    <row r="54" ht="20" customHeight="1" spans="1:17">
      <c r="A54" s="46"/>
      <c r="B54" s="44"/>
      <c r="C54" s="45">
        <v>51</v>
      </c>
      <c r="D54" s="43" t="str">
        <f>IF(ISERROR(VLOOKUP($C54,院校录取信息表!$C:$CN,3,FALSE)),"",VLOOKUP($C54,院校录取信息表!$C:$CN,3,FALSE))</f>
        <v/>
      </c>
      <c r="E54" s="43" t="str">
        <f>IF(ISERROR(VLOOKUP($C54,院校录取信息表!$C:$CN,4,FALSE)),"",VLOOKUP($C54,院校录取信息表!$C:$CN,4,FALSE))</f>
        <v/>
      </c>
      <c r="F54" s="43" t="str">
        <f>IF(ISERROR(VLOOKUP($C54,院校录取信息表!$C:$CN,16,FALSE)),"",VLOOKUP($C54,院校录取信息表!$C:$CN,16,FALSE))</f>
        <v/>
      </c>
      <c r="G54" s="47" t="str">
        <f>IF(ISERROR(VLOOKUP($C54,院校录取信息表!$C:$CN,17,FALSE)),"",VLOOKUP($C54,院校录取信息表!$C:$CN,17,FALSE))</f>
        <v/>
      </c>
      <c r="H54" s="47" t="str">
        <f>IF(ISERROR(VLOOKUP($C54,院校录取信息表!$C:$CN,21,FALSE)),"",VLOOKUP($C54,院校录取信息表!$C:$CN,21,FALSE))</f>
        <v/>
      </c>
      <c r="I54" s="47" t="str">
        <f>IF(ISERROR(VLOOKUP($C54,院校录取信息表!$C:$CN,18,FALSE)),"",VLOOKUP($C54,院校录取信息表!$C:$CN,18,FALSE))</f>
        <v/>
      </c>
      <c r="J54" s="51" t="str">
        <f>IF(ISERROR(VLOOKUP($C54,院校录取信息表!$C:$CN,23,FALSE)),"",VLOOKUP($C54,院校录取信息表!$C:$CN,23,FALSE))</f>
        <v/>
      </c>
      <c r="K54" s="47" t="str">
        <f>IF(ISERROR(VLOOKUP($C54,院校录取信息表!$C:$CN,5,FALSE)),"",VLOOKUP($C54,院校录取信息表!$C:$CN,5,FALSE))</f>
        <v/>
      </c>
      <c r="L54" s="43" t="str">
        <f>IF(ISERROR(VLOOKUP($C54,院校录取信息表!$C:$CN,8,FALSE)),"",VLOOKUP($C54,院校录取信息表!$C:$CN,8,FALSE))</f>
        <v/>
      </c>
      <c r="M54" s="43" t="str">
        <f>IF(ISERROR(VLOOKUP($C54,院校录取信息表!$C:$CN,9,FALSE)),"",VLOOKUP($C54,院校录取信息表!$C:$CN,9,FALSE))</f>
        <v/>
      </c>
      <c r="N54" s="43" t="str">
        <f>IF(ISERROR(VLOOKUP($C54,院校录取信息表!$C:$CN,10,FALSE)),"",VLOOKUP($C54,院校录取信息表!$C:$CN,10,FALSE))</f>
        <v/>
      </c>
      <c r="O54" s="54" t="str">
        <f>IF(ISERROR(VLOOKUP($C54,院校录取信息表!$C:$CN,11,FALSE)),"",VLOOKUP($C54,院校录取信息表!$C:$CN,11,FALSE))</f>
        <v/>
      </c>
      <c r="P54" s="54" t="str">
        <f>IF(ISERROR(VLOOKUP($C54,院校录取信息表!$C:$CN,12,FALSE)),"",VLOOKUP($C54,院校录取信息表!$C:$CN,12,FALSE))</f>
        <v/>
      </c>
      <c r="Q54" s="54" t="str">
        <f>IF(ISERROR(VLOOKUP($C54,院校录取信息表!$C:$CN,13,FALSE)),"",VLOOKUP($C54,院校录取信息表!$C:$CN,13,FALSE))</f>
        <v/>
      </c>
    </row>
    <row r="55" ht="20" customHeight="1" spans="1:17">
      <c r="A55" s="46"/>
      <c r="B55" s="44"/>
      <c r="C55" s="45">
        <v>52</v>
      </c>
      <c r="D55" s="43" t="str">
        <f>IF(ISERROR(VLOOKUP($C55,院校录取信息表!$C:$CN,3,FALSE)),"",VLOOKUP($C55,院校录取信息表!$C:$CN,3,FALSE))</f>
        <v/>
      </c>
      <c r="E55" s="43" t="str">
        <f>IF(ISERROR(VLOOKUP($C55,院校录取信息表!$C:$CN,4,FALSE)),"",VLOOKUP($C55,院校录取信息表!$C:$CN,4,FALSE))</f>
        <v/>
      </c>
      <c r="F55" s="43" t="str">
        <f>IF(ISERROR(VLOOKUP($C55,院校录取信息表!$C:$CN,16,FALSE)),"",VLOOKUP($C55,院校录取信息表!$C:$CN,16,FALSE))</f>
        <v/>
      </c>
      <c r="G55" s="47" t="str">
        <f>IF(ISERROR(VLOOKUP($C55,院校录取信息表!$C:$CN,17,FALSE)),"",VLOOKUP($C55,院校录取信息表!$C:$CN,17,FALSE))</f>
        <v/>
      </c>
      <c r="H55" s="47" t="str">
        <f>IF(ISERROR(VLOOKUP($C55,院校录取信息表!$C:$CN,21,FALSE)),"",VLOOKUP($C55,院校录取信息表!$C:$CN,21,FALSE))</f>
        <v/>
      </c>
      <c r="I55" s="47" t="str">
        <f>IF(ISERROR(VLOOKUP($C55,院校录取信息表!$C:$CN,18,FALSE)),"",VLOOKUP($C55,院校录取信息表!$C:$CN,18,FALSE))</f>
        <v/>
      </c>
      <c r="J55" s="51" t="str">
        <f>IF(ISERROR(VLOOKUP($C55,院校录取信息表!$C:$CN,23,FALSE)),"",VLOOKUP($C55,院校录取信息表!$C:$CN,23,FALSE))</f>
        <v/>
      </c>
      <c r="K55" s="47" t="str">
        <f>IF(ISERROR(VLOOKUP($C55,院校录取信息表!$C:$CN,5,FALSE)),"",VLOOKUP($C55,院校录取信息表!$C:$CN,5,FALSE))</f>
        <v/>
      </c>
      <c r="L55" s="43" t="str">
        <f>IF(ISERROR(VLOOKUP($C55,院校录取信息表!$C:$CN,8,FALSE)),"",VLOOKUP($C55,院校录取信息表!$C:$CN,8,FALSE))</f>
        <v/>
      </c>
      <c r="M55" s="43" t="str">
        <f>IF(ISERROR(VLOOKUP($C55,院校录取信息表!$C:$CN,9,FALSE)),"",VLOOKUP($C55,院校录取信息表!$C:$CN,9,FALSE))</f>
        <v/>
      </c>
      <c r="N55" s="43" t="str">
        <f>IF(ISERROR(VLOOKUP($C55,院校录取信息表!$C:$CN,10,FALSE)),"",VLOOKUP($C55,院校录取信息表!$C:$CN,10,FALSE))</f>
        <v/>
      </c>
      <c r="O55" s="54" t="str">
        <f>IF(ISERROR(VLOOKUP($C55,院校录取信息表!$C:$CN,11,FALSE)),"",VLOOKUP($C55,院校录取信息表!$C:$CN,11,FALSE))</f>
        <v/>
      </c>
      <c r="P55" s="54" t="str">
        <f>IF(ISERROR(VLOOKUP($C55,院校录取信息表!$C:$CN,12,FALSE)),"",VLOOKUP($C55,院校录取信息表!$C:$CN,12,FALSE))</f>
        <v/>
      </c>
      <c r="Q55" s="54" t="str">
        <f>IF(ISERROR(VLOOKUP($C55,院校录取信息表!$C:$CN,13,FALSE)),"",VLOOKUP($C55,院校录取信息表!$C:$CN,13,FALSE))</f>
        <v/>
      </c>
    </row>
    <row r="56" ht="20" customHeight="1" spans="1:17">
      <c r="A56" s="46"/>
      <c r="B56" s="44"/>
      <c r="C56" s="45">
        <v>53</v>
      </c>
      <c r="D56" s="43" t="str">
        <f>IF(ISERROR(VLOOKUP($C56,院校录取信息表!$C:$CN,3,FALSE)),"",VLOOKUP($C56,院校录取信息表!$C:$CN,3,FALSE))</f>
        <v/>
      </c>
      <c r="E56" s="43" t="str">
        <f>IF(ISERROR(VLOOKUP($C56,院校录取信息表!$C:$CN,4,FALSE)),"",VLOOKUP($C56,院校录取信息表!$C:$CN,4,FALSE))</f>
        <v/>
      </c>
      <c r="F56" s="43" t="str">
        <f>IF(ISERROR(VLOOKUP($C56,院校录取信息表!$C:$CN,16,FALSE)),"",VLOOKUP($C56,院校录取信息表!$C:$CN,16,FALSE))</f>
        <v/>
      </c>
      <c r="G56" s="47" t="str">
        <f>IF(ISERROR(VLOOKUP($C56,院校录取信息表!$C:$CN,17,FALSE)),"",VLOOKUP($C56,院校录取信息表!$C:$CN,17,FALSE))</f>
        <v/>
      </c>
      <c r="H56" s="47" t="str">
        <f>IF(ISERROR(VLOOKUP($C56,院校录取信息表!$C:$CN,21,FALSE)),"",VLOOKUP($C56,院校录取信息表!$C:$CN,21,FALSE))</f>
        <v/>
      </c>
      <c r="I56" s="47" t="str">
        <f>IF(ISERROR(VLOOKUP($C56,院校录取信息表!$C:$CN,18,FALSE)),"",VLOOKUP($C56,院校录取信息表!$C:$CN,18,FALSE))</f>
        <v/>
      </c>
      <c r="J56" s="51" t="str">
        <f>IF(ISERROR(VLOOKUP($C56,院校录取信息表!$C:$CN,23,FALSE)),"",VLOOKUP($C56,院校录取信息表!$C:$CN,23,FALSE))</f>
        <v/>
      </c>
      <c r="K56" s="47" t="str">
        <f>IF(ISERROR(VLOOKUP($C56,院校录取信息表!$C:$CN,5,FALSE)),"",VLOOKUP($C56,院校录取信息表!$C:$CN,5,FALSE))</f>
        <v/>
      </c>
      <c r="L56" s="43" t="str">
        <f>IF(ISERROR(VLOOKUP($C56,院校录取信息表!$C:$CN,8,FALSE)),"",VLOOKUP($C56,院校录取信息表!$C:$CN,8,FALSE))</f>
        <v/>
      </c>
      <c r="M56" s="43" t="str">
        <f>IF(ISERROR(VLOOKUP($C56,院校录取信息表!$C:$CN,9,FALSE)),"",VLOOKUP($C56,院校录取信息表!$C:$CN,9,FALSE))</f>
        <v/>
      </c>
      <c r="N56" s="43" t="str">
        <f>IF(ISERROR(VLOOKUP($C56,院校录取信息表!$C:$CN,10,FALSE)),"",VLOOKUP($C56,院校录取信息表!$C:$CN,10,FALSE))</f>
        <v/>
      </c>
      <c r="O56" s="54" t="str">
        <f>IF(ISERROR(VLOOKUP($C56,院校录取信息表!$C:$CN,11,FALSE)),"",VLOOKUP($C56,院校录取信息表!$C:$CN,11,FALSE))</f>
        <v/>
      </c>
      <c r="P56" s="54" t="str">
        <f>IF(ISERROR(VLOOKUP($C56,院校录取信息表!$C:$CN,12,FALSE)),"",VLOOKUP($C56,院校录取信息表!$C:$CN,12,FALSE))</f>
        <v/>
      </c>
      <c r="Q56" s="54" t="str">
        <f>IF(ISERROR(VLOOKUP($C56,院校录取信息表!$C:$CN,13,FALSE)),"",VLOOKUP($C56,院校录取信息表!$C:$CN,13,FALSE))</f>
        <v/>
      </c>
    </row>
    <row r="57" ht="20" customHeight="1" spans="1:17">
      <c r="A57" s="46"/>
      <c r="B57" s="44"/>
      <c r="C57" s="45">
        <v>54</v>
      </c>
      <c r="D57" s="43" t="str">
        <f>IF(ISERROR(VLOOKUP($C57,院校录取信息表!$C:$CN,3,FALSE)),"",VLOOKUP($C57,院校录取信息表!$C:$CN,3,FALSE))</f>
        <v/>
      </c>
      <c r="E57" s="43" t="str">
        <f>IF(ISERROR(VLOOKUP($C57,院校录取信息表!$C:$CN,4,FALSE)),"",VLOOKUP($C57,院校录取信息表!$C:$CN,4,FALSE))</f>
        <v/>
      </c>
      <c r="F57" s="43" t="str">
        <f>IF(ISERROR(VLOOKUP($C57,院校录取信息表!$C:$CN,16,FALSE)),"",VLOOKUP($C57,院校录取信息表!$C:$CN,16,FALSE))</f>
        <v/>
      </c>
      <c r="G57" s="47" t="str">
        <f>IF(ISERROR(VLOOKUP($C57,院校录取信息表!$C:$CN,17,FALSE)),"",VLOOKUP($C57,院校录取信息表!$C:$CN,17,FALSE))</f>
        <v/>
      </c>
      <c r="H57" s="47" t="str">
        <f>IF(ISERROR(VLOOKUP($C57,院校录取信息表!$C:$CN,21,FALSE)),"",VLOOKUP($C57,院校录取信息表!$C:$CN,21,FALSE))</f>
        <v/>
      </c>
      <c r="I57" s="47" t="str">
        <f>IF(ISERROR(VLOOKUP($C57,院校录取信息表!$C:$CN,18,FALSE)),"",VLOOKUP($C57,院校录取信息表!$C:$CN,18,FALSE))</f>
        <v/>
      </c>
      <c r="J57" s="51" t="str">
        <f>IF(ISERROR(VLOOKUP($C57,院校录取信息表!$C:$CN,23,FALSE)),"",VLOOKUP($C57,院校录取信息表!$C:$CN,23,FALSE))</f>
        <v/>
      </c>
      <c r="K57" s="47" t="str">
        <f>IF(ISERROR(VLOOKUP($C57,院校录取信息表!$C:$CN,5,FALSE)),"",VLOOKUP($C57,院校录取信息表!$C:$CN,5,FALSE))</f>
        <v/>
      </c>
      <c r="L57" s="43" t="str">
        <f>IF(ISERROR(VLOOKUP($C57,院校录取信息表!$C:$CN,8,FALSE)),"",VLOOKUP($C57,院校录取信息表!$C:$CN,8,FALSE))</f>
        <v/>
      </c>
      <c r="M57" s="43" t="str">
        <f>IF(ISERROR(VLOOKUP($C57,院校录取信息表!$C:$CN,9,FALSE)),"",VLOOKUP($C57,院校录取信息表!$C:$CN,9,FALSE))</f>
        <v/>
      </c>
      <c r="N57" s="43" t="str">
        <f>IF(ISERROR(VLOOKUP($C57,院校录取信息表!$C:$CN,10,FALSE)),"",VLOOKUP($C57,院校录取信息表!$C:$CN,10,FALSE))</f>
        <v/>
      </c>
      <c r="O57" s="54" t="str">
        <f>IF(ISERROR(VLOOKUP($C57,院校录取信息表!$C:$CN,11,FALSE)),"",VLOOKUP($C57,院校录取信息表!$C:$CN,11,FALSE))</f>
        <v/>
      </c>
      <c r="P57" s="54" t="str">
        <f>IF(ISERROR(VLOOKUP($C57,院校录取信息表!$C:$CN,12,FALSE)),"",VLOOKUP($C57,院校录取信息表!$C:$CN,12,FALSE))</f>
        <v/>
      </c>
      <c r="Q57" s="54" t="str">
        <f>IF(ISERROR(VLOOKUP($C57,院校录取信息表!$C:$CN,13,FALSE)),"",VLOOKUP($C57,院校录取信息表!$C:$CN,13,FALSE))</f>
        <v/>
      </c>
    </row>
    <row r="58" ht="20" customHeight="1" spans="1:17">
      <c r="A58" s="46"/>
      <c r="B58" s="44" t="s">
        <v>1053</v>
      </c>
      <c r="C58" s="45">
        <v>55</v>
      </c>
      <c r="D58" s="43" t="str">
        <f>IF(ISERROR(VLOOKUP($C58,院校录取信息表!$C:$CN,3,FALSE)),"",VLOOKUP($C58,院校录取信息表!$C:$CN,3,FALSE))</f>
        <v/>
      </c>
      <c r="E58" s="43" t="str">
        <f>IF(ISERROR(VLOOKUP($C58,院校录取信息表!$C:$CN,4,FALSE)),"",VLOOKUP($C58,院校录取信息表!$C:$CN,4,FALSE))</f>
        <v/>
      </c>
      <c r="F58" s="43" t="str">
        <f>IF(ISERROR(VLOOKUP($C58,院校录取信息表!$C:$CN,16,FALSE)),"",VLOOKUP($C58,院校录取信息表!$C:$CN,16,FALSE))</f>
        <v/>
      </c>
      <c r="G58" s="47" t="str">
        <f>IF(ISERROR(VLOOKUP($C58,院校录取信息表!$C:$CN,17,FALSE)),"",VLOOKUP($C58,院校录取信息表!$C:$CN,17,FALSE))</f>
        <v/>
      </c>
      <c r="H58" s="47" t="str">
        <f>IF(ISERROR(VLOOKUP($C58,院校录取信息表!$C:$CN,21,FALSE)),"",VLOOKUP($C58,院校录取信息表!$C:$CN,21,FALSE))</f>
        <v/>
      </c>
      <c r="I58" s="47" t="str">
        <f>IF(ISERROR(VLOOKUP($C58,院校录取信息表!$C:$CN,18,FALSE)),"",VLOOKUP($C58,院校录取信息表!$C:$CN,18,FALSE))</f>
        <v/>
      </c>
      <c r="J58" s="51" t="str">
        <f>IF(ISERROR(VLOOKUP($C58,院校录取信息表!$C:$CN,23,FALSE)),"",VLOOKUP($C58,院校录取信息表!$C:$CN,23,FALSE))</f>
        <v/>
      </c>
      <c r="K58" s="47" t="str">
        <f>IF(ISERROR(VLOOKUP($C58,院校录取信息表!$C:$CN,5,FALSE)),"",VLOOKUP($C58,院校录取信息表!$C:$CN,5,FALSE))</f>
        <v/>
      </c>
      <c r="L58" s="43" t="str">
        <f>IF(ISERROR(VLOOKUP($C58,院校录取信息表!$C:$CN,8,FALSE)),"",VLOOKUP($C58,院校录取信息表!$C:$CN,8,FALSE))</f>
        <v/>
      </c>
      <c r="M58" s="43" t="str">
        <f>IF(ISERROR(VLOOKUP($C58,院校录取信息表!$C:$CN,9,FALSE)),"",VLOOKUP($C58,院校录取信息表!$C:$CN,9,FALSE))</f>
        <v/>
      </c>
      <c r="N58" s="43" t="str">
        <f>IF(ISERROR(VLOOKUP($C58,院校录取信息表!$C:$CN,10,FALSE)),"",VLOOKUP($C58,院校录取信息表!$C:$CN,10,FALSE))</f>
        <v/>
      </c>
      <c r="O58" s="54" t="str">
        <f>IF(ISERROR(VLOOKUP($C58,院校录取信息表!$C:$CN,11,FALSE)),"",VLOOKUP($C58,院校录取信息表!$C:$CN,11,FALSE))</f>
        <v/>
      </c>
      <c r="P58" s="54" t="str">
        <f>IF(ISERROR(VLOOKUP($C58,院校录取信息表!$C:$CN,12,FALSE)),"",VLOOKUP($C58,院校录取信息表!$C:$CN,12,FALSE))</f>
        <v/>
      </c>
      <c r="Q58" s="54" t="str">
        <f>IF(ISERROR(VLOOKUP($C58,院校录取信息表!$C:$CN,13,FALSE)),"",VLOOKUP($C58,院校录取信息表!$C:$CN,13,FALSE))</f>
        <v/>
      </c>
    </row>
    <row r="59" ht="20" customHeight="1" spans="1:17">
      <c r="A59" s="46"/>
      <c r="B59" s="44"/>
      <c r="C59" s="45">
        <v>56</v>
      </c>
      <c r="D59" s="43" t="str">
        <f>IF(ISERROR(VLOOKUP($C59,院校录取信息表!$C:$CN,3,FALSE)),"",VLOOKUP($C59,院校录取信息表!$C:$CN,3,FALSE))</f>
        <v/>
      </c>
      <c r="E59" s="43" t="str">
        <f>IF(ISERROR(VLOOKUP($C59,院校录取信息表!$C:$CN,4,FALSE)),"",VLOOKUP($C59,院校录取信息表!$C:$CN,4,FALSE))</f>
        <v/>
      </c>
      <c r="F59" s="43" t="str">
        <f>IF(ISERROR(VLOOKUP($C59,院校录取信息表!$C:$CN,16,FALSE)),"",VLOOKUP($C59,院校录取信息表!$C:$CN,16,FALSE))</f>
        <v/>
      </c>
      <c r="G59" s="47" t="str">
        <f>IF(ISERROR(VLOOKUP($C59,院校录取信息表!$C:$CN,17,FALSE)),"",VLOOKUP($C59,院校录取信息表!$C:$CN,17,FALSE))</f>
        <v/>
      </c>
      <c r="H59" s="47" t="str">
        <f>IF(ISERROR(VLOOKUP($C59,院校录取信息表!$C:$CN,21,FALSE)),"",VLOOKUP($C59,院校录取信息表!$C:$CN,21,FALSE))</f>
        <v/>
      </c>
      <c r="I59" s="47" t="str">
        <f>IF(ISERROR(VLOOKUP($C59,院校录取信息表!$C:$CN,18,FALSE)),"",VLOOKUP($C59,院校录取信息表!$C:$CN,18,FALSE))</f>
        <v/>
      </c>
      <c r="J59" s="51" t="str">
        <f>IF(ISERROR(VLOOKUP($C59,院校录取信息表!$C:$CN,23,FALSE)),"",VLOOKUP($C59,院校录取信息表!$C:$CN,23,FALSE))</f>
        <v/>
      </c>
      <c r="K59" s="47" t="str">
        <f>IF(ISERROR(VLOOKUP($C59,院校录取信息表!$C:$CN,5,FALSE)),"",VLOOKUP($C59,院校录取信息表!$C:$CN,5,FALSE))</f>
        <v/>
      </c>
      <c r="L59" s="43" t="str">
        <f>IF(ISERROR(VLOOKUP($C59,院校录取信息表!$C:$CN,8,FALSE)),"",VLOOKUP($C59,院校录取信息表!$C:$CN,8,FALSE))</f>
        <v/>
      </c>
      <c r="M59" s="43" t="str">
        <f>IF(ISERROR(VLOOKUP($C59,院校录取信息表!$C:$CN,9,FALSE)),"",VLOOKUP($C59,院校录取信息表!$C:$CN,9,FALSE))</f>
        <v/>
      </c>
      <c r="N59" s="43" t="str">
        <f>IF(ISERROR(VLOOKUP($C59,院校录取信息表!$C:$CN,10,FALSE)),"",VLOOKUP($C59,院校录取信息表!$C:$CN,10,FALSE))</f>
        <v/>
      </c>
      <c r="O59" s="54" t="str">
        <f>IF(ISERROR(VLOOKUP($C59,院校录取信息表!$C:$CN,11,FALSE)),"",VLOOKUP($C59,院校录取信息表!$C:$CN,11,FALSE))</f>
        <v/>
      </c>
      <c r="P59" s="54" t="str">
        <f>IF(ISERROR(VLOOKUP($C59,院校录取信息表!$C:$CN,12,FALSE)),"",VLOOKUP($C59,院校录取信息表!$C:$CN,12,FALSE))</f>
        <v/>
      </c>
      <c r="Q59" s="54" t="str">
        <f>IF(ISERROR(VLOOKUP($C59,院校录取信息表!$C:$CN,13,FALSE)),"",VLOOKUP($C59,院校录取信息表!$C:$CN,13,FALSE))</f>
        <v/>
      </c>
    </row>
    <row r="60" ht="20" customHeight="1" spans="1:17">
      <c r="A60" s="46"/>
      <c r="B60" s="44"/>
      <c r="C60" s="45">
        <v>57</v>
      </c>
      <c r="D60" s="43" t="str">
        <f>IF(ISERROR(VLOOKUP($C60,院校录取信息表!$C:$CN,3,FALSE)),"",VLOOKUP($C60,院校录取信息表!$C:$CN,3,FALSE))</f>
        <v/>
      </c>
      <c r="E60" s="43" t="str">
        <f>IF(ISERROR(VLOOKUP($C60,院校录取信息表!$C:$CN,4,FALSE)),"",VLOOKUP($C60,院校录取信息表!$C:$CN,4,FALSE))</f>
        <v/>
      </c>
      <c r="F60" s="43" t="str">
        <f>IF(ISERROR(VLOOKUP($C60,院校录取信息表!$C:$CN,16,FALSE)),"",VLOOKUP($C60,院校录取信息表!$C:$CN,16,FALSE))</f>
        <v/>
      </c>
      <c r="G60" s="47" t="str">
        <f>IF(ISERROR(VLOOKUP($C60,院校录取信息表!$C:$CN,17,FALSE)),"",VLOOKUP($C60,院校录取信息表!$C:$CN,17,FALSE))</f>
        <v/>
      </c>
      <c r="H60" s="47" t="str">
        <f>IF(ISERROR(VLOOKUP($C60,院校录取信息表!$C:$CN,21,FALSE)),"",VLOOKUP($C60,院校录取信息表!$C:$CN,21,FALSE))</f>
        <v/>
      </c>
      <c r="I60" s="47" t="str">
        <f>IF(ISERROR(VLOOKUP($C60,院校录取信息表!$C:$CN,18,FALSE)),"",VLOOKUP($C60,院校录取信息表!$C:$CN,18,FALSE))</f>
        <v/>
      </c>
      <c r="J60" s="51" t="str">
        <f>IF(ISERROR(VLOOKUP($C60,院校录取信息表!$C:$CN,23,FALSE)),"",VLOOKUP($C60,院校录取信息表!$C:$CN,23,FALSE))</f>
        <v/>
      </c>
      <c r="K60" s="47" t="str">
        <f>IF(ISERROR(VLOOKUP($C60,院校录取信息表!$C:$CN,5,FALSE)),"",VLOOKUP($C60,院校录取信息表!$C:$CN,5,FALSE))</f>
        <v/>
      </c>
      <c r="L60" s="43" t="str">
        <f>IF(ISERROR(VLOOKUP($C60,院校录取信息表!$C:$CN,8,FALSE)),"",VLOOKUP($C60,院校录取信息表!$C:$CN,8,FALSE))</f>
        <v/>
      </c>
      <c r="M60" s="43" t="str">
        <f>IF(ISERROR(VLOOKUP($C60,院校录取信息表!$C:$CN,9,FALSE)),"",VLOOKUP($C60,院校录取信息表!$C:$CN,9,FALSE))</f>
        <v/>
      </c>
      <c r="N60" s="43" t="str">
        <f>IF(ISERROR(VLOOKUP($C60,院校录取信息表!$C:$CN,10,FALSE)),"",VLOOKUP($C60,院校录取信息表!$C:$CN,10,FALSE))</f>
        <v/>
      </c>
      <c r="O60" s="54" t="str">
        <f>IF(ISERROR(VLOOKUP($C60,院校录取信息表!$C:$CN,11,FALSE)),"",VLOOKUP($C60,院校录取信息表!$C:$CN,11,FALSE))</f>
        <v/>
      </c>
      <c r="P60" s="54" t="str">
        <f>IF(ISERROR(VLOOKUP($C60,院校录取信息表!$C:$CN,12,FALSE)),"",VLOOKUP($C60,院校录取信息表!$C:$CN,12,FALSE))</f>
        <v/>
      </c>
      <c r="Q60" s="54" t="str">
        <f>IF(ISERROR(VLOOKUP($C60,院校录取信息表!$C:$CN,13,FALSE)),"",VLOOKUP($C60,院校录取信息表!$C:$CN,13,FALSE))</f>
        <v/>
      </c>
    </row>
    <row r="61" ht="20" customHeight="1" spans="1:17">
      <c r="A61" s="46"/>
      <c r="B61" s="44"/>
      <c r="C61" s="45">
        <v>58</v>
      </c>
      <c r="D61" s="43" t="str">
        <f>IF(ISERROR(VLOOKUP($C61,院校录取信息表!$C:$CN,3,FALSE)),"",VLOOKUP($C61,院校录取信息表!$C:$CN,3,FALSE))</f>
        <v/>
      </c>
      <c r="E61" s="43" t="str">
        <f>IF(ISERROR(VLOOKUP($C61,院校录取信息表!$C:$CN,4,FALSE)),"",VLOOKUP($C61,院校录取信息表!$C:$CN,4,FALSE))</f>
        <v/>
      </c>
      <c r="F61" s="43" t="str">
        <f>IF(ISERROR(VLOOKUP($C61,院校录取信息表!$C:$CN,16,FALSE)),"",VLOOKUP($C61,院校录取信息表!$C:$CN,16,FALSE))</f>
        <v/>
      </c>
      <c r="G61" s="47" t="str">
        <f>IF(ISERROR(VLOOKUP($C61,院校录取信息表!$C:$CN,17,FALSE)),"",VLOOKUP($C61,院校录取信息表!$C:$CN,17,FALSE))</f>
        <v/>
      </c>
      <c r="H61" s="47" t="str">
        <f>IF(ISERROR(VLOOKUP($C61,院校录取信息表!$C:$CN,21,FALSE)),"",VLOOKUP($C61,院校录取信息表!$C:$CN,21,FALSE))</f>
        <v/>
      </c>
      <c r="I61" s="47" t="str">
        <f>IF(ISERROR(VLOOKUP($C61,院校录取信息表!$C:$CN,18,FALSE)),"",VLOOKUP($C61,院校录取信息表!$C:$CN,18,FALSE))</f>
        <v/>
      </c>
      <c r="J61" s="51" t="str">
        <f>IF(ISERROR(VLOOKUP($C61,院校录取信息表!$C:$CN,23,FALSE)),"",VLOOKUP($C61,院校录取信息表!$C:$CN,23,FALSE))</f>
        <v/>
      </c>
      <c r="K61" s="47" t="str">
        <f>IF(ISERROR(VLOOKUP($C61,院校录取信息表!$C:$CN,5,FALSE)),"",VLOOKUP($C61,院校录取信息表!$C:$CN,5,FALSE))</f>
        <v/>
      </c>
      <c r="L61" s="43" t="str">
        <f>IF(ISERROR(VLOOKUP($C61,院校录取信息表!$C:$CN,8,FALSE)),"",VLOOKUP($C61,院校录取信息表!$C:$CN,8,FALSE))</f>
        <v/>
      </c>
      <c r="M61" s="43" t="str">
        <f>IF(ISERROR(VLOOKUP($C61,院校录取信息表!$C:$CN,9,FALSE)),"",VLOOKUP($C61,院校录取信息表!$C:$CN,9,FALSE))</f>
        <v/>
      </c>
      <c r="N61" s="43" t="str">
        <f>IF(ISERROR(VLOOKUP($C61,院校录取信息表!$C:$CN,10,FALSE)),"",VLOOKUP($C61,院校录取信息表!$C:$CN,10,FALSE))</f>
        <v/>
      </c>
      <c r="O61" s="54" t="str">
        <f>IF(ISERROR(VLOOKUP($C61,院校录取信息表!$C:$CN,11,FALSE)),"",VLOOKUP($C61,院校录取信息表!$C:$CN,11,FALSE))</f>
        <v/>
      </c>
      <c r="P61" s="54" t="str">
        <f>IF(ISERROR(VLOOKUP($C61,院校录取信息表!$C:$CN,12,FALSE)),"",VLOOKUP($C61,院校录取信息表!$C:$CN,12,FALSE))</f>
        <v/>
      </c>
      <c r="Q61" s="54" t="str">
        <f>IF(ISERROR(VLOOKUP($C61,院校录取信息表!$C:$CN,13,FALSE)),"",VLOOKUP($C61,院校录取信息表!$C:$CN,13,FALSE))</f>
        <v/>
      </c>
    </row>
    <row r="62" ht="20" customHeight="1" spans="1:17">
      <c r="A62" s="46"/>
      <c r="B62" s="44"/>
      <c r="C62" s="45">
        <v>59</v>
      </c>
      <c r="D62" s="43" t="str">
        <f>IF(ISERROR(VLOOKUP($C62,院校录取信息表!$C:$CN,3,FALSE)),"",VLOOKUP($C62,院校录取信息表!$C:$CN,3,FALSE))</f>
        <v/>
      </c>
      <c r="E62" s="43" t="str">
        <f>IF(ISERROR(VLOOKUP($C62,院校录取信息表!$C:$CN,4,FALSE)),"",VLOOKUP($C62,院校录取信息表!$C:$CN,4,FALSE))</f>
        <v/>
      </c>
      <c r="F62" s="43" t="str">
        <f>IF(ISERROR(VLOOKUP($C62,院校录取信息表!$C:$CN,16,FALSE)),"",VLOOKUP($C62,院校录取信息表!$C:$CN,16,FALSE))</f>
        <v/>
      </c>
      <c r="G62" s="47" t="str">
        <f>IF(ISERROR(VLOOKUP($C62,院校录取信息表!$C:$CN,17,FALSE)),"",VLOOKUP($C62,院校录取信息表!$C:$CN,17,FALSE))</f>
        <v/>
      </c>
      <c r="H62" s="47" t="str">
        <f>IF(ISERROR(VLOOKUP($C62,院校录取信息表!$C:$CN,21,FALSE)),"",VLOOKUP($C62,院校录取信息表!$C:$CN,21,FALSE))</f>
        <v/>
      </c>
      <c r="I62" s="47" t="str">
        <f>IF(ISERROR(VLOOKUP($C62,院校录取信息表!$C:$CN,18,FALSE)),"",VLOOKUP($C62,院校录取信息表!$C:$CN,18,FALSE))</f>
        <v/>
      </c>
      <c r="J62" s="51" t="str">
        <f>IF(ISERROR(VLOOKUP($C62,院校录取信息表!$C:$CN,23,FALSE)),"",VLOOKUP($C62,院校录取信息表!$C:$CN,23,FALSE))</f>
        <v/>
      </c>
      <c r="K62" s="47" t="str">
        <f>IF(ISERROR(VLOOKUP($C62,院校录取信息表!$C:$CN,5,FALSE)),"",VLOOKUP($C62,院校录取信息表!$C:$CN,5,FALSE))</f>
        <v/>
      </c>
      <c r="L62" s="43" t="str">
        <f>IF(ISERROR(VLOOKUP($C62,院校录取信息表!$C:$CN,8,FALSE)),"",VLOOKUP($C62,院校录取信息表!$C:$CN,8,FALSE))</f>
        <v/>
      </c>
      <c r="M62" s="43" t="str">
        <f>IF(ISERROR(VLOOKUP($C62,院校录取信息表!$C:$CN,9,FALSE)),"",VLOOKUP($C62,院校录取信息表!$C:$CN,9,FALSE))</f>
        <v/>
      </c>
      <c r="N62" s="43" t="str">
        <f>IF(ISERROR(VLOOKUP($C62,院校录取信息表!$C:$CN,10,FALSE)),"",VLOOKUP($C62,院校录取信息表!$C:$CN,10,FALSE))</f>
        <v/>
      </c>
      <c r="O62" s="54" t="str">
        <f>IF(ISERROR(VLOOKUP($C62,院校录取信息表!$C:$CN,11,FALSE)),"",VLOOKUP($C62,院校录取信息表!$C:$CN,11,FALSE))</f>
        <v/>
      </c>
      <c r="P62" s="54" t="str">
        <f>IF(ISERROR(VLOOKUP($C62,院校录取信息表!$C:$CN,12,FALSE)),"",VLOOKUP($C62,院校录取信息表!$C:$CN,12,FALSE))</f>
        <v/>
      </c>
      <c r="Q62" s="54" t="str">
        <f>IF(ISERROR(VLOOKUP($C62,院校录取信息表!$C:$CN,13,FALSE)),"",VLOOKUP($C62,院校录取信息表!$C:$CN,13,FALSE))</f>
        <v/>
      </c>
    </row>
    <row r="63" ht="20" customHeight="1" spans="1:17">
      <c r="A63" s="46"/>
      <c r="B63" s="44"/>
      <c r="C63" s="45">
        <v>60</v>
      </c>
      <c r="D63" s="43" t="str">
        <f>IF(ISERROR(VLOOKUP($C63,院校录取信息表!$C:$CN,3,FALSE)),"",VLOOKUP($C63,院校录取信息表!$C:$CN,3,FALSE))</f>
        <v/>
      </c>
      <c r="E63" s="43" t="str">
        <f>IF(ISERROR(VLOOKUP($C63,院校录取信息表!$C:$CN,4,FALSE)),"",VLOOKUP($C63,院校录取信息表!$C:$CN,4,FALSE))</f>
        <v/>
      </c>
      <c r="F63" s="43" t="str">
        <f>IF(ISERROR(VLOOKUP($C63,院校录取信息表!$C:$CN,16,FALSE)),"",VLOOKUP($C63,院校录取信息表!$C:$CN,16,FALSE))</f>
        <v/>
      </c>
      <c r="G63" s="47" t="str">
        <f>IF(ISERROR(VLOOKUP($C63,院校录取信息表!$C:$CN,17,FALSE)),"",VLOOKUP($C63,院校录取信息表!$C:$CN,17,FALSE))</f>
        <v/>
      </c>
      <c r="H63" s="47" t="str">
        <f>IF(ISERROR(VLOOKUP($C63,院校录取信息表!$C:$CN,21,FALSE)),"",VLOOKUP($C63,院校录取信息表!$C:$CN,21,FALSE))</f>
        <v/>
      </c>
      <c r="I63" s="47" t="str">
        <f>IF(ISERROR(VLOOKUP($C63,院校录取信息表!$C:$CN,18,FALSE)),"",VLOOKUP($C63,院校录取信息表!$C:$CN,18,FALSE))</f>
        <v/>
      </c>
      <c r="J63" s="51" t="str">
        <f>IF(ISERROR(VLOOKUP($C63,院校录取信息表!$C:$CN,23,FALSE)),"",VLOOKUP($C63,院校录取信息表!$C:$CN,23,FALSE))</f>
        <v/>
      </c>
      <c r="K63" s="47" t="str">
        <f>IF(ISERROR(VLOOKUP($C63,院校录取信息表!$C:$CN,5,FALSE)),"",VLOOKUP($C63,院校录取信息表!$C:$CN,5,FALSE))</f>
        <v/>
      </c>
      <c r="L63" s="43" t="str">
        <f>IF(ISERROR(VLOOKUP($C63,院校录取信息表!$C:$CN,8,FALSE)),"",VLOOKUP($C63,院校录取信息表!$C:$CN,8,FALSE))</f>
        <v/>
      </c>
      <c r="M63" s="43" t="str">
        <f>IF(ISERROR(VLOOKUP($C63,院校录取信息表!$C:$CN,9,FALSE)),"",VLOOKUP($C63,院校录取信息表!$C:$CN,9,FALSE))</f>
        <v/>
      </c>
      <c r="N63" s="43" t="str">
        <f>IF(ISERROR(VLOOKUP($C63,院校录取信息表!$C:$CN,10,FALSE)),"",VLOOKUP($C63,院校录取信息表!$C:$CN,10,FALSE))</f>
        <v/>
      </c>
      <c r="O63" s="54" t="str">
        <f>IF(ISERROR(VLOOKUP($C63,院校录取信息表!$C:$CN,11,FALSE)),"",VLOOKUP($C63,院校录取信息表!$C:$CN,11,FALSE))</f>
        <v/>
      </c>
      <c r="P63" s="54" t="str">
        <f>IF(ISERROR(VLOOKUP($C63,院校录取信息表!$C:$CN,12,FALSE)),"",VLOOKUP($C63,院校录取信息表!$C:$CN,12,FALSE))</f>
        <v/>
      </c>
      <c r="Q63" s="54" t="str">
        <f>IF(ISERROR(VLOOKUP($C63,院校录取信息表!$C:$CN,13,FALSE)),"",VLOOKUP($C63,院校录取信息表!$C:$CN,13,FALSE))</f>
        <v/>
      </c>
    </row>
    <row r="64" ht="20" customHeight="1" spans="1:17">
      <c r="A64" s="46"/>
      <c r="B64" s="44" t="s">
        <v>1054</v>
      </c>
      <c r="C64" s="45">
        <v>61</v>
      </c>
      <c r="D64" s="43" t="str">
        <f>IF(ISERROR(VLOOKUP($C64,院校录取信息表!$C:$CN,3,FALSE)),"",VLOOKUP($C64,院校录取信息表!$C:$CN,3,FALSE))</f>
        <v/>
      </c>
      <c r="E64" s="43" t="str">
        <f>IF(ISERROR(VLOOKUP($C64,院校录取信息表!$C:$CN,4,FALSE)),"",VLOOKUP($C64,院校录取信息表!$C:$CN,4,FALSE))</f>
        <v/>
      </c>
      <c r="F64" s="43" t="str">
        <f>IF(ISERROR(VLOOKUP($C64,院校录取信息表!$C:$CN,16,FALSE)),"",VLOOKUP($C64,院校录取信息表!$C:$CN,16,FALSE))</f>
        <v/>
      </c>
      <c r="G64" s="47" t="str">
        <f>IF(ISERROR(VLOOKUP($C64,院校录取信息表!$C:$CN,17,FALSE)),"",VLOOKUP($C64,院校录取信息表!$C:$CN,17,FALSE))</f>
        <v/>
      </c>
      <c r="H64" s="47" t="str">
        <f>IF(ISERROR(VLOOKUP($C64,院校录取信息表!$C:$CN,21,FALSE)),"",VLOOKUP($C64,院校录取信息表!$C:$CN,21,FALSE))</f>
        <v/>
      </c>
      <c r="I64" s="47" t="str">
        <f>IF(ISERROR(VLOOKUP($C64,院校录取信息表!$C:$CN,18,FALSE)),"",VLOOKUP($C64,院校录取信息表!$C:$CN,18,FALSE))</f>
        <v/>
      </c>
      <c r="J64" s="51" t="str">
        <f>IF(ISERROR(VLOOKUP($C64,院校录取信息表!$C:$CN,23,FALSE)),"",VLOOKUP($C64,院校录取信息表!$C:$CN,23,FALSE))</f>
        <v/>
      </c>
      <c r="K64" s="47" t="str">
        <f>IF(ISERROR(VLOOKUP($C64,院校录取信息表!$C:$CN,5,FALSE)),"",VLOOKUP($C64,院校录取信息表!$C:$CN,5,FALSE))</f>
        <v/>
      </c>
      <c r="L64" s="43" t="str">
        <f>IF(ISERROR(VLOOKUP($C64,院校录取信息表!$C:$CN,8,FALSE)),"",VLOOKUP($C64,院校录取信息表!$C:$CN,8,FALSE))</f>
        <v/>
      </c>
      <c r="M64" s="43" t="str">
        <f>IF(ISERROR(VLOOKUP($C64,院校录取信息表!$C:$CN,9,FALSE)),"",VLOOKUP($C64,院校录取信息表!$C:$CN,9,FALSE))</f>
        <v/>
      </c>
      <c r="N64" s="43" t="str">
        <f>IF(ISERROR(VLOOKUP($C64,院校录取信息表!$C:$CN,10,FALSE)),"",VLOOKUP($C64,院校录取信息表!$C:$CN,10,FALSE))</f>
        <v/>
      </c>
      <c r="O64" s="54" t="str">
        <f>IF(ISERROR(VLOOKUP($C64,院校录取信息表!$C:$CN,11,FALSE)),"",VLOOKUP($C64,院校录取信息表!$C:$CN,11,FALSE))</f>
        <v/>
      </c>
      <c r="P64" s="54" t="str">
        <f>IF(ISERROR(VLOOKUP($C64,院校录取信息表!$C:$CN,12,FALSE)),"",VLOOKUP($C64,院校录取信息表!$C:$CN,12,FALSE))</f>
        <v/>
      </c>
      <c r="Q64" s="54" t="str">
        <f>IF(ISERROR(VLOOKUP($C64,院校录取信息表!$C:$CN,13,FALSE)),"",VLOOKUP($C64,院校录取信息表!$C:$CN,13,FALSE))</f>
        <v/>
      </c>
    </row>
    <row r="65" ht="20" customHeight="1" spans="1:17">
      <c r="A65" s="46"/>
      <c r="B65" s="44"/>
      <c r="C65" s="45">
        <v>62</v>
      </c>
      <c r="D65" s="43" t="str">
        <f>IF(ISERROR(VLOOKUP($C65,院校录取信息表!$C:$CN,3,FALSE)),"",VLOOKUP($C65,院校录取信息表!$C:$CN,3,FALSE))</f>
        <v/>
      </c>
      <c r="E65" s="43" t="str">
        <f>IF(ISERROR(VLOOKUP($C65,院校录取信息表!$C:$CN,4,FALSE)),"",VLOOKUP($C65,院校录取信息表!$C:$CN,4,FALSE))</f>
        <v/>
      </c>
      <c r="F65" s="43" t="str">
        <f>IF(ISERROR(VLOOKUP($C65,院校录取信息表!$C:$CN,16,FALSE)),"",VLOOKUP($C65,院校录取信息表!$C:$CN,16,FALSE))</f>
        <v/>
      </c>
      <c r="G65" s="47" t="str">
        <f>IF(ISERROR(VLOOKUP($C65,院校录取信息表!$C:$CN,17,FALSE)),"",VLOOKUP($C65,院校录取信息表!$C:$CN,17,FALSE))</f>
        <v/>
      </c>
      <c r="H65" s="47" t="str">
        <f>IF(ISERROR(VLOOKUP($C65,院校录取信息表!$C:$CN,21,FALSE)),"",VLOOKUP($C65,院校录取信息表!$C:$CN,21,FALSE))</f>
        <v/>
      </c>
      <c r="I65" s="47" t="str">
        <f>IF(ISERROR(VLOOKUP($C65,院校录取信息表!$C:$CN,18,FALSE)),"",VLOOKUP($C65,院校录取信息表!$C:$CN,18,FALSE))</f>
        <v/>
      </c>
      <c r="J65" s="51" t="str">
        <f>IF(ISERROR(VLOOKUP($C65,院校录取信息表!$C:$CN,23,FALSE)),"",VLOOKUP($C65,院校录取信息表!$C:$CN,23,FALSE))</f>
        <v/>
      </c>
      <c r="K65" s="47" t="str">
        <f>IF(ISERROR(VLOOKUP($C65,院校录取信息表!$C:$CN,5,FALSE)),"",VLOOKUP($C65,院校录取信息表!$C:$CN,5,FALSE))</f>
        <v/>
      </c>
      <c r="L65" s="43" t="str">
        <f>IF(ISERROR(VLOOKUP($C65,院校录取信息表!$C:$CN,8,FALSE)),"",VLOOKUP($C65,院校录取信息表!$C:$CN,8,FALSE))</f>
        <v/>
      </c>
      <c r="M65" s="43" t="str">
        <f>IF(ISERROR(VLOOKUP($C65,院校录取信息表!$C:$CN,9,FALSE)),"",VLOOKUP($C65,院校录取信息表!$C:$CN,9,FALSE))</f>
        <v/>
      </c>
      <c r="N65" s="43" t="str">
        <f>IF(ISERROR(VLOOKUP($C65,院校录取信息表!$C:$CN,10,FALSE)),"",VLOOKUP($C65,院校录取信息表!$C:$CN,10,FALSE))</f>
        <v/>
      </c>
      <c r="O65" s="54" t="str">
        <f>IF(ISERROR(VLOOKUP($C65,院校录取信息表!$C:$CN,11,FALSE)),"",VLOOKUP($C65,院校录取信息表!$C:$CN,11,FALSE))</f>
        <v/>
      </c>
      <c r="P65" s="54" t="str">
        <f>IF(ISERROR(VLOOKUP($C65,院校录取信息表!$C:$CN,12,FALSE)),"",VLOOKUP($C65,院校录取信息表!$C:$CN,12,FALSE))</f>
        <v/>
      </c>
      <c r="Q65" s="54" t="str">
        <f>IF(ISERROR(VLOOKUP($C65,院校录取信息表!$C:$CN,13,FALSE)),"",VLOOKUP($C65,院校录取信息表!$C:$CN,13,FALSE))</f>
        <v/>
      </c>
    </row>
    <row r="66" ht="20" customHeight="1" spans="1:17">
      <c r="A66" s="46"/>
      <c r="B66" s="44"/>
      <c r="C66" s="45">
        <v>63</v>
      </c>
      <c r="D66" s="43" t="str">
        <f>IF(ISERROR(VLOOKUP($C66,院校录取信息表!$C:$CN,3,FALSE)),"",VLOOKUP($C66,院校录取信息表!$C:$CN,3,FALSE))</f>
        <v/>
      </c>
      <c r="E66" s="43" t="str">
        <f>IF(ISERROR(VLOOKUP($C66,院校录取信息表!$C:$CN,4,FALSE)),"",VLOOKUP($C66,院校录取信息表!$C:$CN,4,FALSE))</f>
        <v/>
      </c>
      <c r="F66" s="43" t="str">
        <f>IF(ISERROR(VLOOKUP($C66,院校录取信息表!$C:$CN,16,FALSE)),"",VLOOKUP($C66,院校录取信息表!$C:$CN,16,FALSE))</f>
        <v/>
      </c>
      <c r="G66" s="47" t="str">
        <f>IF(ISERROR(VLOOKUP($C66,院校录取信息表!$C:$CN,17,FALSE)),"",VLOOKUP($C66,院校录取信息表!$C:$CN,17,FALSE))</f>
        <v/>
      </c>
      <c r="H66" s="47" t="str">
        <f>IF(ISERROR(VLOOKUP($C66,院校录取信息表!$C:$CN,21,FALSE)),"",VLOOKUP($C66,院校录取信息表!$C:$CN,21,FALSE))</f>
        <v/>
      </c>
      <c r="I66" s="47" t="str">
        <f>IF(ISERROR(VLOOKUP($C66,院校录取信息表!$C:$CN,18,FALSE)),"",VLOOKUP($C66,院校录取信息表!$C:$CN,18,FALSE))</f>
        <v/>
      </c>
      <c r="J66" s="51" t="str">
        <f>IF(ISERROR(VLOOKUP($C66,院校录取信息表!$C:$CN,23,FALSE)),"",VLOOKUP($C66,院校录取信息表!$C:$CN,23,FALSE))</f>
        <v/>
      </c>
      <c r="K66" s="47" t="str">
        <f>IF(ISERROR(VLOOKUP($C66,院校录取信息表!$C:$CN,5,FALSE)),"",VLOOKUP($C66,院校录取信息表!$C:$CN,5,FALSE))</f>
        <v/>
      </c>
      <c r="L66" s="43" t="str">
        <f>IF(ISERROR(VLOOKUP($C66,院校录取信息表!$C:$CN,8,FALSE)),"",VLOOKUP($C66,院校录取信息表!$C:$CN,8,FALSE))</f>
        <v/>
      </c>
      <c r="M66" s="43" t="str">
        <f>IF(ISERROR(VLOOKUP($C66,院校录取信息表!$C:$CN,9,FALSE)),"",VLOOKUP($C66,院校录取信息表!$C:$CN,9,FALSE))</f>
        <v/>
      </c>
      <c r="N66" s="43" t="str">
        <f>IF(ISERROR(VLOOKUP($C66,院校录取信息表!$C:$CN,10,FALSE)),"",VLOOKUP($C66,院校录取信息表!$C:$CN,10,FALSE))</f>
        <v/>
      </c>
      <c r="O66" s="54" t="str">
        <f>IF(ISERROR(VLOOKUP($C66,院校录取信息表!$C:$CN,11,FALSE)),"",VLOOKUP($C66,院校录取信息表!$C:$CN,11,FALSE))</f>
        <v/>
      </c>
      <c r="P66" s="54" t="str">
        <f>IF(ISERROR(VLOOKUP($C66,院校录取信息表!$C:$CN,12,FALSE)),"",VLOOKUP($C66,院校录取信息表!$C:$CN,12,FALSE))</f>
        <v/>
      </c>
      <c r="Q66" s="54" t="str">
        <f>IF(ISERROR(VLOOKUP($C66,院校录取信息表!$C:$CN,13,FALSE)),"",VLOOKUP($C66,院校录取信息表!$C:$CN,13,FALSE))</f>
        <v/>
      </c>
    </row>
    <row r="67" ht="20" customHeight="1" spans="1:17">
      <c r="A67" s="46"/>
      <c r="B67" s="44"/>
      <c r="C67" s="45">
        <v>64</v>
      </c>
      <c r="D67" s="43" t="str">
        <f>IF(ISERROR(VLOOKUP($C67,院校录取信息表!$C:$CN,3,FALSE)),"",VLOOKUP($C67,院校录取信息表!$C:$CN,3,FALSE))</f>
        <v/>
      </c>
      <c r="E67" s="43" t="str">
        <f>IF(ISERROR(VLOOKUP($C67,院校录取信息表!$C:$CN,4,FALSE)),"",VLOOKUP($C67,院校录取信息表!$C:$CN,4,FALSE))</f>
        <v/>
      </c>
      <c r="F67" s="43" t="str">
        <f>IF(ISERROR(VLOOKUP($C67,院校录取信息表!$C:$CN,16,FALSE)),"",VLOOKUP($C67,院校录取信息表!$C:$CN,16,FALSE))</f>
        <v/>
      </c>
      <c r="G67" s="47" t="str">
        <f>IF(ISERROR(VLOOKUP($C67,院校录取信息表!$C:$CN,17,FALSE)),"",VLOOKUP($C67,院校录取信息表!$C:$CN,17,FALSE))</f>
        <v/>
      </c>
      <c r="H67" s="47" t="str">
        <f>IF(ISERROR(VLOOKUP($C67,院校录取信息表!$C:$CN,21,FALSE)),"",VLOOKUP($C67,院校录取信息表!$C:$CN,21,FALSE))</f>
        <v/>
      </c>
      <c r="I67" s="47" t="str">
        <f>IF(ISERROR(VLOOKUP($C67,院校录取信息表!$C:$CN,18,FALSE)),"",VLOOKUP($C67,院校录取信息表!$C:$CN,18,FALSE))</f>
        <v/>
      </c>
      <c r="J67" s="51" t="str">
        <f>IF(ISERROR(VLOOKUP($C67,院校录取信息表!$C:$CN,23,FALSE)),"",VLOOKUP($C67,院校录取信息表!$C:$CN,23,FALSE))</f>
        <v/>
      </c>
      <c r="K67" s="47" t="str">
        <f>IF(ISERROR(VLOOKUP($C67,院校录取信息表!$C:$CN,5,FALSE)),"",VLOOKUP($C67,院校录取信息表!$C:$CN,5,FALSE))</f>
        <v/>
      </c>
      <c r="L67" s="43" t="str">
        <f>IF(ISERROR(VLOOKUP($C67,院校录取信息表!$C:$CN,8,FALSE)),"",VLOOKUP($C67,院校录取信息表!$C:$CN,8,FALSE))</f>
        <v/>
      </c>
      <c r="M67" s="43" t="str">
        <f>IF(ISERROR(VLOOKUP($C67,院校录取信息表!$C:$CN,9,FALSE)),"",VLOOKUP($C67,院校录取信息表!$C:$CN,9,FALSE))</f>
        <v/>
      </c>
      <c r="N67" s="43" t="str">
        <f>IF(ISERROR(VLOOKUP($C67,院校录取信息表!$C:$CN,10,FALSE)),"",VLOOKUP($C67,院校录取信息表!$C:$CN,10,FALSE))</f>
        <v/>
      </c>
      <c r="O67" s="54" t="str">
        <f>IF(ISERROR(VLOOKUP($C67,院校录取信息表!$C:$CN,11,FALSE)),"",VLOOKUP($C67,院校录取信息表!$C:$CN,11,FALSE))</f>
        <v/>
      </c>
      <c r="P67" s="54" t="str">
        <f>IF(ISERROR(VLOOKUP($C67,院校录取信息表!$C:$CN,12,FALSE)),"",VLOOKUP($C67,院校录取信息表!$C:$CN,12,FALSE))</f>
        <v/>
      </c>
      <c r="Q67" s="54" t="str">
        <f>IF(ISERROR(VLOOKUP($C67,院校录取信息表!$C:$CN,13,FALSE)),"",VLOOKUP($C67,院校录取信息表!$C:$CN,13,FALSE))</f>
        <v/>
      </c>
    </row>
    <row r="68" ht="20" customHeight="1" spans="1:17">
      <c r="A68" s="46"/>
      <c r="B68" s="44"/>
      <c r="C68" s="45">
        <v>65</v>
      </c>
      <c r="D68" s="43" t="str">
        <f>IF(ISERROR(VLOOKUP($C68,院校录取信息表!$C:$CN,3,FALSE)),"",VLOOKUP($C68,院校录取信息表!$C:$CN,3,FALSE))</f>
        <v/>
      </c>
      <c r="E68" s="43" t="str">
        <f>IF(ISERROR(VLOOKUP($C68,院校录取信息表!$C:$CN,4,FALSE)),"",VLOOKUP($C68,院校录取信息表!$C:$CN,4,FALSE))</f>
        <v/>
      </c>
      <c r="F68" s="43" t="str">
        <f>IF(ISERROR(VLOOKUP($C68,院校录取信息表!$C:$CN,16,FALSE)),"",VLOOKUP($C68,院校录取信息表!$C:$CN,16,FALSE))</f>
        <v/>
      </c>
      <c r="G68" s="47" t="str">
        <f>IF(ISERROR(VLOOKUP($C68,院校录取信息表!$C:$CN,17,FALSE)),"",VLOOKUP($C68,院校录取信息表!$C:$CN,17,FALSE))</f>
        <v/>
      </c>
      <c r="H68" s="47" t="str">
        <f>IF(ISERROR(VLOOKUP($C68,院校录取信息表!$C:$CN,21,FALSE)),"",VLOOKUP($C68,院校录取信息表!$C:$CN,21,FALSE))</f>
        <v/>
      </c>
      <c r="I68" s="47" t="str">
        <f>IF(ISERROR(VLOOKUP($C68,院校录取信息表!$C:$CN,18,FALSE)),"",VLOOKUP($C68,院校录取信息表!$C:$CN,18,FALSE))</f>
        <v/>
      </c>
      <c r="J68" s="51" t="str">
        <f>IF(ISERROR(VLOOKUP($C68,院校录取信息表!$C:$CN,23,FALSE)),"",VLOOKUP($C68,院校录取信息表!$C:$CN,23,FALSE))</f>
        <v/>
      </c>
      <c r="K68" s="47" t="str">
        <f>IF(ISERROR(VLOOKUP($C68,院校录取信息表!$C:$CN,5,FALSE)),"",VLOOKUP($C68,院校录取信息表!$C:$CN,5,FALSE))</f>
        <v/>
      </c>
      <c r="L68" s="43" t="str">
        <f>IF(ISERROR(VLOOKUP($C68,院校录取信息表!$C:$CN,8,FALSE)),"",VLOOKUP($C68,院校录取信息表!$C:$CN,8,FALSE))</f>
        <v/>
      </c>
      <c r="M68" s="43" t="str">
        <f>IF(ISERROR(VLOOKUP($C68,院校录取信息表!$C:$CN,9,FALSE)),"",VLOOKUP($C68,院校录取信息表!$C:$CN,9,FALSE))</f>
        <v/>
      </c>
      <c r="N68" s="43" t="str">
        <f>IF(ISERROR(VLOOKUP($C68,院校录取信息表!$C:$CN,10,FALSE)),"",VLOOKUP($C68,院校录取信息表!$C:$CN,10,FALSE))</f>
        <v/>
      </c>
      <c r="O68" s="54" t="str">
        <f>IF(ISERROR(VLOOKUP($C68,院校录取信息表!$C:$CN,11,FALSE)),"",VLOOKUP($C68,院校录取信息表!$C:$CN,11,FALSE))</f>
        <v/>
      </c>
      <c r="P68" s="54" t="str">
        <f>IF(ISERROR(VLOOKUP($C68,院校录取信息表!$C:$CN,12,FALSE)),"",VLOOKUP($C68,院校录取信息表!$C:$CN,12,FALSE))</f>
        <v/>
      </c>
      <c r="Q68" s="54" t="str">
        <f>IF(ISERROR(VLOOKUP($C68,院校录取信息表!$C:$CN,13,FALSE)),"",VLOOKUP($C68,院校录取信息表!$C:$CN,13,FALSE))</f>
        <v/>
      </c>
    </row>
    <row r="69" ht="20" customHeight="1" spans="1:17">
      <c r="A69" s="46"/>
      <c r="B69" s="44"/>
      <c r="C69" s="45">
        <v>66</v>
      </c>
      <c r="D69" s="43" t="str">
        <f>IF(ISERROR(VLOOKUP($C69,院校录取信息表!$C:$CN,3,FALSE)),"",VLOOKUP($C69,院校录取信息表!$C:$CN,3,FALSE))</f>
        <v/>
      </c>
      <c r="E69" s="43" t="str">
        <f>IF(ISERROR(VLOOKUP($C69,院校录取信息表!$C:$CN,4,FALSE)),"",VLOOKUP($C69,院校录取信息表!$C:$CN,4,FALSE))</f>
        <v/>
      </c>
      <c r="F69" s="43" t="str">
        <f>IF(ISERROR(VLOOKUP($C69,院校录取信息表!$C:$CN,16,FALSE)),"",VLOOKUP($C69,院校录取信息表!$C:$CN,16,FALSE))</f>
        <v/>
      </c>
      <c r="G69" s="47" t="str">
        <f>IF(ISERROR(VLOOKUP($C69,院校录取信息表!$C:$CN,17,FALSE)),"",VLOOKUP($C69,院校录取信息表!$C:$CN,17,FALSE))</f>
        <v/>
      </c>
      <c r="H69" s="47" t="str">
        <f>IF(ISERROR(VLOOKUP($C69,院校录取信息表!$C:$CN,21,FALSE)),"",VLOOKUP($C69,院校录取信息表!$C:$CN,21,FALSE))</f>
        <v/>
      </c>
      <c r="I69" s="47" t="str">
        <f>IF(ISERROR(VLOOKUP($C69,院校录取信息表!$C:$CN,18,FALSE)),"",VLOOKUP($C69,院校录取信息表!$C:$CN,18,FALSE))</f>
        <v/>
      </c>
      <c r="J69" s="51" t="str">
        <f>IF(ISERROR(VLOOKUP($C69,院校录取信息表!$C:$CN,23,FALSE)),"",VLOOKUP($C69,院校录取信息表!$C:$CN,23,FALSE))</f>
        <v/>
      </c>
      <c r="K69" s="47" t="str">
        <f>IF(ISERROR(VLOOKUP($C69,院校录取信息表!$C:$CN,5,FALSE)),"",VLOOKUP($C69,院校录取信息表!$C:$CN,5,FALSE))</f>
        <v/>
      </c>
      <c r="L69" s="43" t="str">
        <f>IF(ISERROR(VLOOKUP($C69,院校录取信息表!$C:$CN,8,FALSE)),"",VLOOKUP($C69,院校录取信息表!$C:$CN,8,FALSE))</f>
        <v/>
      </c>
      <c r="M69" s="43" t="str">
        <f>IF(ISERROR(VLOOKUP($C69,院校录取信息表!$C:$CN,9,FALSE)),"",VLOOKUP($C69,院校录取信息表!$C:$CN,9,FALSE))</f>
        <v/>
      </c>
      <c r="N69" s="43" t="str">
        <f>IF(ISERROR(VLOOKUP($C69,院校录取信息表!$C:$CN,10,FALSE)),"",VLOOKUP($C69,院校录取信息表!$C:$CN,10,FALSE))</f>
        <v/>
      </c>
      <c r="O69" s="54" t="str">
        <f>IF(ISERROR(VLOOKUP($C69,院校录取信息表!$C:$CN,11,FALSE)),"",VLOOKUP($C69,院校录取信息表!$C:$CN,11,FALSE))</f>
        <v/>
      </c>
      <c r="P69" s="54" t="str">
        <f>IF(ISERROR(VLOOKUP($C69,院校录取信息表!$C:$CN,12,FALSE)),"",VLOOKUP($C69,院校录取信息表!$C:$CN,12,FALSE))</f>
        <v/>
      </c>
      <c r="Q69" s="54" t="str">
        <f>IF(ISERROR(VLOOKUP($C69,院校录取信息表!$C:$CN,13,FALSE)),"",VLOOKUP($C69,院校录取信息表!$C:$CN,13,FALSE))</f>
        <v/>
      </c>
    </row>
    <row r="70" ht="20" customHeight="1" spans="1:17">
      <c r="A70" s="46"/>
      <c r="B70" s="44" t="s">
        <v>1055</v>
      </c>
      <c r="C70" s="45">
        <v>67</v>
      </c>
      <c r="D70" s="43" t="str">
        <f>IF(ISERROR(VLOOKUP($C70,院校录取信息表!$C:$CN,3,FALSE)),"",VLOOKUP($C70,院校录取信息表!$C:$CN,3,FALSE))</f>
        <v/>
      </c>
      <c r="E70" s="43" t="str">
        <f>IF(ISERROR(VLOOKUP($C70,院校录取信息表!$C:$CN,4,FALSE)),"",VLOOKUP($C70,院校录取信息表!$C:$CN,4,FALSE))</f>
        <v/>
      </c>
      <c r="F70" s="43" t="str">
        <f>IF(ISERROR(VLOOKUP($C70,院校录取信息表!$C:$CN,16,FALSE)),"",VLOOKUP($C70,院校录取信息表!$C:$CN,16,FALSE))</f>
        <v/>
      </c>
      <c r="G70" s="47" t="str">
        <f>IF(ISERROR(VLOOKUP($C70,院校录取信息表!$C:$CN,17,FALSE)),"",VLOOKUP($C70,院校录取信息表!$C:$CN,17,FALSE))</f>
        <v/>
      </c>
      <c r="H70" s="47" t="str">
        <f>IF(ISERROR(VLOOKUP($C70,院校录取信息表!$C:$CN,21,FALSE)),"",VLOOKUP($C70,院校录取信息表!$C:$CN,21,FALSE))</f>
        <v/>
      </c>
      <c r="I70" s="47" t="str">
        <f>IF(ISERROR(VLOOKUP($C70,院校录取信息表!$C:$CN,18,FALSE)),"",VLOOKUP($C70,院校录取信息表!$C:$CN,18,FALSE))</f>
        <v/>
      </c>
      <c r="J70" s="51" t="str">
        <f>IF(ISERROR(VLOOKUP($C70,院校录取信息表!$C:$CN,23,FALSE)),"",VLOOKUP($C70,院校录取信息表!$C:$CN,23,FALSE))</f>
        <v/>
      </c>
      <c r="K70" s="47" t="str">
        <f>IF(ISERROR(VLOOKUP($C70,院校录取信息表!$C:$CN,5,FALSE)),"",VLOOKUP($C70,院校录取信息表!$C:$CN,5,FALSE))</f>
        <v/>
      </c>
      <c r="L70" s="43" t="str">
        <f>IF(ISERROR(VLOOKUP($C70,院校录取信息表!$C:$CN,8,FALSE)),"",VLOOKUP($C70,院校录取信息表!$C:$CN,8,FALSE))</f>
        <v/>
      </c>
      <c r="M70" s="43" t="str">
        <f>IF(ISERROR(VLOOKUP($C70,院校录取信息表!$C:$CN,9,FALSE)),"",VLOOKUP($C70,院校录取信息表!$C:$CN,9,FALSE))</f>
        <v/>
      </c>
      <c r="N70" s="43" t="str">
        <f>IF(ISERROR(VLOOKUP($C70,院校录取信息表!$C:$CN,10,FALSE)),"",VLOOKUP($C70,院校录取信息表!$C:$CN,10,FALSE))</f>
        <v/>
      </c>
      <c r="O70" s="54" t="str">
        <f>IF(ISERROR(VLOOKUP($C70,院校录取信息表!$C:$CN,11,FALSE)),"",VLOOKUP($C70,院校录取信息表!$C:$CN,11,FALSE))</f>
        <v/>
      </c>
      <c r="P70" s="54" t="str">
        <f>IF(ISERROR(VLOOKUP($C70,院校录取信息表!$C:$CN,12,FALSE)),"",VLOOKUP($C70,院校录取信息表!$C:$CN,12,FALSE))</f>
        <v/>
      </c>
      <c r="Q70" s="54" t="str">
        <f>IF(ISERROR(VLOOKUP($C70,院校录取信息表!$C:$CN,13,FALSE)),"",VLOOKUP($C70,院校录取信息表!$C:$CN,13,FALSE))</f>
        <v/>
      </c>
    </row>
    <row r="71" ht="20" customHeight="1" spans="1:17">
      <c r="A71" s="46"/>
      <c r="B71" s="44"/>
      <c r="C71" s="45">
        <v>68</v>
      </c>
      <c r="D71" s="43" t="str">
        <f>IF(ISERROR(VLOOKUP($C71,院校录取信息表!$C:$CN,3,FALSE)),"",VLOOKUP($C71,院校录取信息表!$C:$CN,3,FALSE))</f>
        <v/>
      </c>
      <c r="E71" s="43" t="str">
        <f>IF(ISERROR(VLOOKUP($C71,院校录取信息表!$C:$CN,4,FALSE)),"",VLOOKUP($C71,院校录取信息表!$C:$CN,4,FALSE))</f>
        <v/>
      </c>
      <c r="F71" s="43" t="str">
        <f>IF(ISERROR(VLOOKUP($C71,院校录取信息表!$C:$CN,16,FALSE)),"",VLOOKUP($C71,院校录取信息表!$C:$CN,16,FALSE))</f>
        <v/>
      </c>
      <c r="G71" s="47" t="str">
        <f>IF(ISERROR(VLOOKUP($C71,院校录取信息表!$C:$CN,17,FALSE)),"",VLOOKUP($C71,院校录取信息表!$C:$CN,17,FALSE))</f>
        <v/>
      </c>
      <c r="H71" s="47" t="str">
        <f>IF(ISERROR(VLOOKUP($C71,院校录取信息表!$C:$CN,21,FALSE)),"",VLOOKUP($C71,院校录取信息表!$C:$CN,21,FALSE))</f>
        <v/>
      </c>
      <c r="I71" s="47" t="str">
        <f>IF(ISERROR(VLOOKUP($C71,院校录取信息表!$C:$CN,18,FALSE)),"",VLOOKUP($C71,院校录取信息表!$C:$CN,18,FALSE))</f>
        <v/>
      </c>
      <c r="J71" s="51" t="str">
        <f>IF(ISERROR(VLOOKUP($C71,院校录取信息表!$C:$CN,23,FALSE)),"",VLOOKUP($C71,院校录取信息表!$C:$CN,23,FALSE))</f>
        <v/>
      </c>
      <c r="K71" s="47" t="str">
        <f>IF(ISERROR(VLOOKUP($C71,院校录取信息表!$C:$CN,5,FALSE)),"",VLOOKUP($C71,院校录取信息表!$C:$CN,5,FALSE))</f>
        <v/>
      </c>
      <c r="L71" s="43" t="str">
        <f>IF(ISERROR(VLOOKUP($C71,院校录取信息表!$C:$CN,8,FALSE)),"",VLOOKUP($C71,院校录取信息表!$C:$CN,8,FALSE))</f>
        <v/>
      </c>
      <c r="M71" s="43" t="str">
        <f>IF(ISERROR(VLOOKUP($C71,院校录取信息表!$C:$CN,9,FALSE)),"",VLOOKUP($C71,院校录取信息表!$C:$CN,9,FALSE))</f>
        <v/>
      </c>
      <c r="N71" s="43" t="str">
        <f>IF(ISERROR(VLOOKUP($C71,院校录取信息表!$C:$CN,10,FALSE)),"",VLOOKUP($C71,院校录取信息表!$C:$CN,10,FALSE))</f>
        <v/>
      </c>
      <c r="O71" s="54" t="str">
        <f>IF(ISERROR(VLOOKUP($C71,院校录取信息表!$C:$CN,11,FALSE)),"",VLOOKUP($C71,院校录取信息表!$C:$CN,11,FALSE))</f>
        <v/>
      </c>
      <c r="P71" s="54" t="str">
        <f>IF(ISERROR(VLOOKUP($C71,院校录取信息表!$C:$CN,12,FALSE)),"",VLOOKUP($C71,院校录取信息表!$C:$CN,12,FALSE))</f>
        <v/>
      </c>
      <c r="Q71" s="54" t="str">
        <f>IF(ISERROR(VLOOKUP($C71,院校录取信息表!$C:$CN,13,FALSE)),"",VLOOKUP($C71,院校录取信息表!$C:$CN,13,FALSE))</f>
        <v/>
      </c>
    </row>
    <row r="72" ht="20" customHeight="1" spans="1:17">
      <c r="A72" s="46"/>
      <c r="B72" s="44"/>
      <c r="C72" s="45">
        <v>69</v>
      </c>
      <c r="D72" s="43" t="str">
        <f>IF(ISERROR(VLOOKUP($C72,院校录取信息表!$C:$CN,3,FALSE)),"",VLOOKUP($C72,院校录取信息表!$C:$CN,3,FALSE))</f>
        <v/>
      </c>
      <c r="E72" s="43" t="str">
        <f>IF(ISERROR(VLOOKUP($C72,院校录取信息表!$C:$CN,4,FALSE)),"",VLOOKUP($C72,院校录取信息表!$C:$CN,4,FALSE))</f>
        <v/>
      </c>
      <c r="F72" s="43" t="str">
        <f>IF(ISERROR(VLOOKUP($C72,院校录取信息表!$C:$CN,16,FALSE)),"",VLOOKUP($C72,院校录取信息表!$C:$CN,16,FALSE))</f>
        <v/>
      </c>
      <c r="G72" s="47" t="str">
        <f>IF(ISERROR(VLOOKUP($C72,院校录取信息表!$C:$CN,17,FALSE)),"",VLOOKUP($C72,院校录取信息表!$C:$CN,17,FALSE))</f>
        <v/>
      </c>
      <c r="H72" s="47" t="str">
        <f>IF(ISERROR(VLOOKUP($C72,院校录取信息表!$C:$CN,21,FALSE)),"",VLOOKUP($C72,院校录取信息表!$C:$CN,21,FALSE))</f>
        <v/>
      </c>
      <c r="I72" s="47" t="str">
        <f>IF(ISERROR(VLOOKUP($C72,院校录取信息表!$C:$CN,18,FALSE)),"",VLOOKUP($C72,院校录取信息表!$C:$CN,18,FALSE))</f>
        <v/>
      </c>
      <c r="J72" s="51" t="str">
        <f>IF(ISERROR(VLOOKUP($C72,院校录取信息表!$C:$CN,23,FALSE)),"",VLOOKUP($C72,院校录取信息表!$C:$CN,23,FALSE))</f>
        <v/>
      </c>
      <c r="K72" s="47" t="str">
        <f>IF(ISERROR(VLOOKUP($C72,院校录取信息表!$C:$CN,5,FALSE)),"",VLOOKUP($C72,院校录取信息表!$C:$CN,5,FALSE))</f>
        <v/>
      </c>
      <c r="L72" s="43" t="str">
        <f>IF(ISERROR(VLOOKUP($C72,院校录取信息表!$C:$CN,8,FALSE)),"",VLOOKUP($C72,院校录取信息表!$C:$CN,8,FALSE))</f>
        <v/>
      </c>
      <c r="M72" s="43" t="str">
        <f>IF(ISERROR(VLOOKUP($C72,院校录取信息表!$C:$CN,9,FALSE)),"",VLOOKUP($C72,院校录取信息表!$C:$CN,9,FALSE))</f>
        <v/>
      </c>
      <c r="N72" s="43" t="str">
        <f>IF(ISERROR(VLOOKUP($C72,院校录取信息表!$C:$CN,10,FALSE)),"",VLOOKUP($C72,院校录取信息表!$C:$CN,10,FALSE))</f>
        <v/>
      </c>
      <c r="O72" s="54" t="str">
        <f>IF(ISERROR(VLOOKUP($C72,院校录取信息表!$C:$CN,11,FALSE)),"",VLOOKUP($C72,院校录取信息表!$C:$CN,11,FALSE))</f>
        <v/>
      </c>
      <c r="P72" s="54" t="str">
        <f>IF(ISERROR(VLOOKUP($C72,院校录取信息表!$C:$CN,12,FALSE)),"",VLOOKUP($C72,院校录取信息表!$C:$CN,12,FALSE))</f>
        <v/>
      </c>
      <c r="Q72" s="54" t="str">
        <f>IF(ISERROR(VLOOKUP($C72,院校录取信息表!$C:$CN,13,FALSE)),"",VLOOKUP($C72,院校录取信息表!$C:$CN,13,FALSE))</f>
        <v/>
      </c>
    </row>
    <row r="73" ht="20" customHeight="1" spans="1:17">
      <c r="A73" s="46"/>
      <c r="B73" s="44"/>
      <c r="C73" s="45">
        <v>70</v>
      </c>
      <c r="D73" s="43" t="str">
        <f>IF(ISERROR(VLOOKUP($C73,院校录取信息表!$C:$CN,3,FALSE)),"",VLOOKUP($C73,院校录取信息表!$C:$CN,3,FALSE))</f>
        <v/>
      </c>
      <c r="E73" s="43" t="str">
        <f>IF(ISERROR(VLOOKUP($C73,院校录取信息表!$C:$CN,4,FALSE)),"",VLOOKUP($C73,院校录取信息表!$C:$CN,4,FALSE))</f>
        <v/>
      </c>
      <c r="F73" s="43" t="str">
        <f>IF(ISERROR(VLOOKUP($C73,院校录取信息表!$C:$CN,16,FALSE)),"",VLOOKUP($C73,院校录取信息表!$C:$CN,16,FALSE))</f>
        <v/>
      </c>
      <c r="G73" s="47" t="str">
        <f>IF(ISERROR(VLOOKUP($C73,院校录取信息表!$C:$CN,17,FALSE)),"",VLOOKUP($C73,院校录取信息表!$C:$CN,17,FALSE))</f>
        <v/>
      </c>
      <c r="H73" s="47" t="str">
        <f>IF(ISERROR(VLOOKUP($C73,院校录取信息表!$C:$CN,21,FALSE)),"",VLOOKUP($C73,院校录取信息表!$C:$CN,21,FALSE))</f>
        <v/>
      </c>
      <c r="I73" s="47" t="str">
        <f>IF(ISERROR(VLOOKUP($C73,院校录取信息表!$C:$CN,18,FALSE)),"",VLOOKUP($C73,院校录取信息表!$C:$CN,18,FALSE))</f>
        <v/>
      </c>
      <c r="J73" s="51" t="str">
        <f>IF(ISERROR(VLOOKUP($C73,院校录取信息表!$C:$CN,23,FALSE)),"",VLOOKUP($C73,院校录取信息表!$C:$CN,23,FALSE))</f>
        <v/>
      </c>
      <c r="K73" s="47" t="str">
        <f>IF(ISERROR(VLOOKUP($C73,院校录取信息表!$C:$CN,5,FALSE)),"",VLOOKUP($C73,院校录取信息表!$C:$CN,5,FALSE))</f>
        <v/>
      </c>
      <c r="L73" s="43" t="str">
        <f>IF(ISERROR(VLOOKUP($C73,院校录取信息表!$C:$CN,8,FALSE)),"",VLOOKUP($C73,院校录取信息表!$C:$CN,8,FALSE))</f>
        <v/>
      </c>
      <c r="M73" s="43" t="str">
        <f>IF(ISERROR(VLOOKUP($C73,院校录取信息表!$C:$CN,9,FALSE)),"",VLOOKUP($C73,院校录取信息表!$C:$CN,9,FALSE))</f>
        <v/>
      </c>
      <c r="N73" s="43" t="str">
        <f>IF(ISERROR(VLOOKUP($C73,院校录取信息表!$C:$CN,10,FALSE)),"",VLOOKUP($C73,院校录取信息表!$C:$CN,10,FALSE))</f>
        <v/>
      </c>
      <c r="O73" s="54" t="str">
        <f>IF(ISERROR(VLOOKUP($C73,院校录取信息表!$C:$CN,11,FALSE)),"",VLOOKUP($C73,院校录取信息表!$C:$CN,11,FALSE))</f>
        <v/>
      </c>
      <c r="P73" s="54" t="str">
        <f>IF(ISERROR(VLOOKUP($C73,院校录取信息表!$C:$CN,12,FALSE)),"",VLOOKUP($C73,院校录取信息表!$C:$CN,12,FALSE))</f>
        <v/>
      </c>
      <c r="Q73" s="54" t="str">
        <f>IF(ISERROR(VLOOKUP($C73,院校录取信息表!$C:$CN,13,FALSE)),"",VLOOKUP($C73,院校录取信息表!$C:$CN,13,FALSE))</f>
        <v/>
      </c>
    </row>
    <row r="74" ht="20" customHeight="1" spans="1:17">
      <c r="A74" s="46"/>
      <c r="B74" s="44"/>
      <c r="C74" s="45">
        <v>71</v>
      </c>
      <c r="D74" s="43" t="str">
        <f>IF(ISERROR(VLOOKUP($C74,院校录取信息表!$C:$CN,3,FALSE)),"",VLOOKUP($C74,院校录取信息表!$C:$CN,3,FALSE))</f>
        <v/>
      </c>
      <c r="E74" s="43" t="str">
        <f>IF(ISERROR(VLOOKUP($C74,院校录取信息表!$C:$CN,4,FALSE)),"",VLOOKUP($C74,院校录取信息表!$C:$CN,4,FALSE))</f>
        <v/>
      </c>
      <c r="F74" s="43" t="str">
        <f>IF(ISERROR(VLOOKUP($C74,院校录取信息表!$C:$CN,16,FALSE)),"",VLOOKUP($C74,院校录取信息表!$C:$CN,16,FALSE))</f>
        <v/>
      </c>
      <c r="G74" s="47" t="str">
        <f>IF(ISERROR(VLOOKUP($C74,院校录取信息表!$C:$CN,17,FALSE)),"",VLOOKUP($C74,院校录取信息表!$C:$CN,17,FALSE))</f>
        <v/>
      </c>
      <c r="H74" s="47" t="str">
        <f>IF(ISERROR(VLOOKUP($C74,院校录取信息表!$C:$CN,21,FALSE)),"",VLOOKUP($C74,院校录取信息表!$C:$CN,21,FALSE))</f>
        <v/>
      </c>
      <c r="I74" s="47" t="str">
        <f>IF(ISERROR(VLOOKUP($C74,院校录取信息表!$C:$CN,18,FALSE)),"",VLOOKUP($C74,院校录取信息表!$C:$CN,18,FALSE))</f>
        <v/>
      </c>
      <c r="J74" s="51" t="str">
        <f>IF(ISERROR(VLOOKUP($C74,院校录取信息表!$C:$CN,23,FALSE)),"",VLOOKUP($C74,院校录取信息表!$C:$CN,23,FALSE))</f>
        <v/>
      </c>
      <c r="K74" s="47" t="str">
        <f>IF(ISERROR(VLOOKUP($C74,院校录取信息表!$C:$CN,5,FALSE)),"",VLOOKUP($C74,院校录取信息表!$C:$CN,5,FALSE))</f>
        <v/>
      </c>
      <c r="L74" s="43" t="str">
        <f>IF(ISERROR(VLOOKUP($C74,院校录取信息表!$C:$CN,8,FALSE)),"",VLOOKUP($C74,院校录取信息表!$C:$CN,8,FALSE))</f>
        <v/>
      </c>
      <c r="M74" s="43" t="str">
        <f>IF(ISERROR(VLOOKUP($C74,院校录取信息表!$C:$CN,9,FALSE)),"",VLOOKUP($C74,院校录取信息表!$C:$CN,9,FALSE))</f>
        <v/>
      </c>
      <c r="N74" s="43" t="str">
        <f>IF(ISERROR(VLOOKUP($C74,院校录取信息表!$C:$CN,10,FALSE)),"",VLOOKUP($C74,院校录取信息表!$C:$CN,10,FALSE))</f>
        <v/>
      </c>
      <c r="O74" s="54" t="str">
        <f>IF(ISERROR(VLOOKUP($C74,院校录取信息表!$C:$CN,11,FALSE)),"",VLOOKUP($C74,院校录取信息表!$C:$CN,11,FALSE))</f>
        <v/>
      </c>
      <c r="P74" s="54" t="str">
        <f>IF(ISERROR(VLOOKUP($C74,院校录取信息表!$C:$CN,12,FALSE)),"",VLOOKUP($C74,院校录取信息表!$C:$CN,12,FALSE))</f>
        <v/>
      </c>
      <c r="Q74" s="54" t="str">
        <f>IF(ISERROR(VLOOKUP($C74,院校录取信息表!$C:$CN,13,FALSE)),"",VLOOKUP($C74,院校录取信息表!$C:$CN,13,FALSE))</f>
        <v/>
      </c>
    </row>
    <row r="75" ht="20" customHeight="1" spans="1:17">
      <c r="A75" s="46"/>
      <c r="B75" s="44"/>
      <c r="C75" s="45">
        <v>72</v>
      </c>
      <c r="D75" s="43" t="str">
        <f>IF(ISERROR(VLOOKUP($C75,院校录取信息表!$C:$CN,3,FALSE)),"",VLOOKUP($C75,院校录取信息表!$C:$CN,3,FALSE))</f>
        <v/>
      </c>
      <c r="E75" s="43" t="str">
        <f>IF(ISERROR(VLOOKUP($C75,院校录取信息表!$C:$CN,4,FALSE)),"",VLOOKUP($C75,院校录取信息表!$C:$CN,4,FALSE))</f>
        <v/>
      </c>
      <c r="F75" s="43" t="str">
        <f>IF(ISERROR(VLOOKUP($C75,院校录取信息表!$C:$CN,16,FALSE)),"",VLOOKUP($C75,院校录取信息表!$C:$CN,16,FALSE))</f>
        <v/>
      </c>
      <c r="G75" s="47" t="str">
        <f>IF(ISERROR(VLOOKUP($C75,院校录取信息表!$C:$CN,17,FALSE)),"",VLOOKUP($C75,院校录取信息表!$C:$CN,17,FALSE))</f>
        <v/>
      </c>
      <c r="H75" s="47" t="str">
        <f>IF(ISERROR(VLOOKUP($C75,院校录取信息表!$C:$CN,21,FALSE)),"",VLOOKUP($C75,院校录取信息表!$C:$CN,21,FALSE))</f>
        <v/>
      </c>
      <c r="I75" s="47" t="str">
        <f>IF(ISERROR(VLOOKUP($C75,院校录取信息表!$C:$CN,18,FALSE)),"",VLOOKUP($C75,院校录取信息表!$C:$CN,18,FALSE))</f>
        <v/>
      </c>
      <c r="J75" s="51" t="str">
        <f>IF(ISERROR(VLOOKUP($C75,院校录取信息表!$C:$CN,23,FALSE)),"",VLOOKUP($C75,院校录取信息表!$C:$CN,23,FALSE))</f>
        <v/>
      </c>
      <c r="K75" s="47" t="str">
        <f>IF(ISERROR(VLOOKUP($C75,院校录取信息表!$C:$CN,5,FALSE)),"",VLOOKUP($C75,院校录取信息表!$C:$CN,5,FALSE))</f>
        <v/>
      </c>
      <c r="L75" s="43" t="str">
        <f>IF(ISERROR(VLOOKUP($C75,院校录取信息表!$C:$CN,8,FALSE)),"",VLOOKUP($C75,院校录取信息表!$C:$CN,8,FALSE))</f>
        <v/>
      </c>
      <c r="M75" s="43" t="str">
        <f>IF(ISERROR(VLOOKUP($C75,院校录取信息表!$C:$CN,9,FALSE)),"",VLOOKUP($C75,院校录取信息表!$C:$CN,9,FALSE))</f>
        <v/>
      </c>
      <c r="N75" s="43" t="str">
        <f>IF(ISERROR(VLOOKUP($C75,院校录取信息表!$C:$CN,10,FALSE)),"",VLOOKUP($C75,院校录取信息表!$C:$CN,10,FALSE))</f>
        <v/>
      </c>
      <c r="O75" s="54" t="str">
        <f>IF(ISERROR(VLOOKUP($C75,院校录取信息表!$C:$CN,11,FALSE)),"",VLOOKUP($C75,院校录取信息表!$C:$CN,11,FALSE))</f>
        <v/>
      </c>
      <c r="P75" s="54" t="str">
        <f>IF(ISERROR(VLOOKUP($C75,院校录取信息表!$C:$CN,12,FALSE)),"",VLOOKUP($C75,院校录取信息表!$C:$CN,12,FALSE))</f>
        <v/>
      </c>
      <c r="Q75" s="54" t="str">
        <f>IF(ISERROR(VLOOKUP($C75,院校录取信息表!$C:$CN,13,FALSE)),"",VLOOKUP($C75,院校录取信息表!$C:$CN,13,FALSE))</f>
        <v/>
      </c>
    </row>
    <row r="76" ht="20" customHeight="1" spans="1:17">
      <c r="A76" s="46"/>
      <c r="B76" s="44" t="s">
        <v>1056</v>
      </c>
      <c r="C76" s="45">
        <v>73</v>
      </c>
      <c r="D76" s="43" t="str">
        <f>IF(ISERROR(VLOOKUP($C76,院校录取信息表!$C:$CN,3,FALSE)),"",VLOOKUP($C76,院校录取信息表!$C:$CN,3,FALSE))</f>
        <v/>
      </c>
      <c r="E76" s="43" t="str">
        <f>IF(ISERROR(VLOOKUP($C76,院校录取信息表!$C:$CN,4,FALSE)),"",VLOOKUP($C76,院校录取信息表!$C:$CN,4,FALSE))</f>
        <v/>
      </c>
      <c r="F76" s="43" t="str">
        <f>IF(ISERROR(VLOOKUP($C76,院校录取信息表!$C:$CN,16,FALSE)),"",VLOOKUP($C76,院校录取信息表!$C:$CN,16,FALSE))</f>
        <v/>
      </c>
      <c r="G76" s="47" t="str">
        <f>IF(ISERROR(VLOOKUP($C76,院校录取信息表!$C:$CN,17,FALSE)),"",VLOOKUP($C76,院校录取信息表!$C:$CN,17,FALSE))</f>
        <v/>
      </c>
      <c r="H76" s="47" t="str">
        <f>IF(ISERROR(VLOOKUP($C76,院校录取信息表!$C:$CN,21,FALSE)),"",VLOOKUP($C76,院校录取信息表!$C:$CN,21,FALSE))</f>
        <v/>
      </c>
      <c r="I76" s="47" t="str">
        <f>IF(ISERROR(VLOOKUP($C76,院校录取信息表!$C:$CN,18,FALSE)),"",VLOOKUP($C76,院校录取信息表!$C:$CN,18,FALSE))</f>
        <v/>
      </c>
      <c r="J76" s="51" t="str">
        <f>IF(ISERROR(VLOOKUP($C76,院校录取信息表!$C:$CN,23,FALSE)),"",VLOOKUP($C76,院校录取信息表!$C:$CN,23,FALSE))</f>
        <v/>
      </c>
      <c r="K76" s="47" t="str">
        <f>IF(ISERROR(VLOOKUP($C76,院校录取信息表!$C:$CN,5,FALSE)),"",VLOOKUP($C76,院校录取信息表!$C:$CN,5,FALSE))</f>
        <v/>
      </c>
      <c r="L76" s="43" t="str">
        <f>IF(ISERROR(VLOOKUP($C76,院校录取信息表!$C:$CN,8,FALSE)),"",VLOOKUP($C76,院校录取信息表!$C:$CN,8,FALSE))</f>
        <v/>
      </c>
      <c r="M76" s="43" t="str">
        <f>IF(ISERROR(VLOOKUP($C76,院校录取信息表!$C:$CN,9,FALSE)),"",VLOOKUP($C76,院校录取信息表!$C:$CN,9,FALSE))</f>
        <v/>
      </c>
      <c r="N76" s="43" t="str">
        <f>IF(ISERROR(VLOOKUP($C76,院校录取信息表!$C:$CN,10,FALSE)),"",VLOOKUP($C76,院校录取信息表!$C:$CN,10,FALSE))</f>
        <v/>
      </c>
      <c r="O76" s="54" t="str">
        <f>IF(ISERROR(VLOOKUP($C76,院校录取信息表!$C:$CN,11,FALSE)),"",VLOOKUP($C76,院校录取信息表!$C:$CN,11,FALSE))</f>
        <v/>
      </c>
      <c r="P76" s="54" t="str">
        <f>IF(ISERROR(VLOOKUP($C76,院校录取信息表!$C:$CN,12,FALSE)),"",VLOOKUP($C76,院校录取信息表!$C:$CN,12,FALSE))</f>
        <v/>
      </c>
      <c r="Q76" s="54" t="str">
        <f>IF(ISERROR(VLOOKUP($C76,院校录取信息表!$C:$CN,13,FALSE)),"",VLOOKUP($C76,院校录取信息表!$C:$CN,13,FALSE))</f>
        <v/>
      </c>
    </row>
    <row r="77" ht="20" customHeight="1" spans="1:17">
      <c r="A77" s="46"/>
      <c r="B77" s="44"/>
      <c r="C77" s="45">
        <v>74</v>
      </c>
      <c r="D77" s="43" t="str">
        <f>IF(ISERROR(VLOOKUP($C77,院校录取信息表!$C:$CN,3,FALSE)),"",VLOOKUP($C77,院校录取信息表!$C:$CN,3,FALSE))</f>
        <v/>
      </c>
      <c r="E77" s="43" t="str">
        <f>IF(ISERROR(VLOOKUP($C77,院校录取信息表!$C:$CN,4,FALSE)),"",VLOOKUP($C77,院校录取信息表!$C:$CN,4,FALSE))</f>
        <v/>
      </c>
      <c r="F77" s="43" t="str">
        <f>IF(ISERROR(VLOOKUP($C77,院校录取信息表!$C:$CN,16,FALSE)),"",VLOOKUP($C77,院校录取信息表!$C:$CN,16,FALSE))</f>
        <v/>
      </c>
      <c r="G77" s="47" t="str">
        <f>IF(ISERROR(VLOOKUP($C77,院校录取信息表!$C:$CN,17,FALSE)),"",VLOOKUP($C77,院校录取信息表!$C:$CN,17,FALSE))</f>
        <v/>
      </c>
      <c r="H77" s="47" t="str">
        <f>IF(ISERROR(VLOOKUP($C77,院校录取信息表!$C:$CN,21,FALSE)),"",VLOOKUP($C77,院校录取信息表!$C:$CN,21,FALSE))</f>
        <v/>
      </c>
      <c r="I77" s="47" t="str">
        <f>IF(ISERROR(VLOOKUP($C77,院校录取信息表!$C:$CN,18,FALSE)),"",VLOOKUP($C77,院校录取信息表!$C:$CN,18,FALSE))</f>
        <v/>
      </c>
      <c r="J77" s="51" t="str">
        <f>IF(ISERROR(VLOOKUP($C77,院校录取信息表!$C:$CN,23,FALSE)),"",VLOOKUP($C77,院校录取信息表!$C:$CN,23,FALSE))</f>
        <v/>
      </c>
      <c r="K77" s="47" t="str">
        <f>IF(ISERROR(VLOOKUP($C77,院校录取信息表!$C:$CN,5,FALSE)),"",VLOOKUP($C77,院校录取信息表!$C:$CN,5,FALSE))</f>
        <v/>
      </c>
      <c r="L77" s="43" t="str">
        <f>IF(ISERROR(VLOOKUP($C77,院校录取信息表!$C:$CN,8,FALSE)),"",VLOOKUP($C77,院校录取信息表!$C:$CN,8,FALSE))</f>
        <v/>
      </c>
      <c r="M77" s="43" t="str">
        <f>IF(ISERROR(VLOOKUP($C77,院校录取信息表!$C:$CN,9,FALSE)),"",VLOOKUP($C77,院校录取信息表!$C:$CN,9,FALSE))</f>
        <v/>
      </c>
      <c r="N77" s="43" t="str">
        <f>IF(ISERROR(VLOOKUP($C77,院校录取信息表!$C:$CN,10,FALSE)),"",VLOOKUP($C77,院校录取信息表!$C:$CN,10,FALSE))</f>
        <v/>
      </c>
      <c r="O77" s="54" t="str">
        <f>IF(ISERROR(VLOOKUP($C77,院校录取信息表!$C:$CN,11,FALSE)),"",VLOOKUP($C77,院校录取信息表!$C:$CN,11,FALSE))</f>
        <v/>
      </c>
      <c r="P77" s="54" t="str">
        <f>IF(ISERROR(VLOOKUP($C77,院校录取信息表!$C:$CN,12,FALSE)),"",VLOOKUP($C77,院校录取信息表!$C:$CN,12,FALSE))</f>
        <v/>
      </c>
      <c r="Q77" s="54" t="str">
        <f>IF(ISERROR(VLOOKUP($C77,院校录取信息表!$C:$CN,13,FALSE)),"",VLOOKUP($C77,院校录取信息表!$C:$CN,13,FALSE))</f>
        <v/>
      </c>
    </row>
    <row r="78" ht="20" customHeight="1" spans="1:17">
      <c r="A78" s="46"/>
      <c r="B78" s="44"/>
      <c r="C78" s="45">
        <v>75</v>
      </c>
      <c r="D78" s="43" t="str">
        <f>IF(ISERROR(VLOOKUP($C78,院校录取信息表!$C:$CN,3,FALSE)),"",VLOOKUP($C78,院校录取信息表!$C:$CN,3,FALSE))</f>
        <v/>
      </c>
      <c r="E78" s="43" t="str">
        <f>IF(ISERROR(VLOOKUP($C78,院校录取信息表!$C:$CN,4,FALSE)),"",VLOOKUP($C78,院校录取信息表!$C:$CN,4,FALSE))</f>
        <v/>
      </c>
      <c r="F78" s="43" t="str">
        <f>IF(ISERROR(VLOOKUP($C78,院校录取信息表!$C:$CN,16,FALSE)),"",VLOOKUP($C78,院校录取信息表!$C:$CN,16,FALSE))</f>
        <v/>
      </c>
      <c r="G78" s="47" t="str">
        <f>IF(ISERROR(VLOOKUP($C78,院校录取信息表!$C:$CN,17,FALSE)),"",VLOOKUP($C78,院校录取信息表!$C:$CN,17,FALSE))</f>
        <v/>
      </c>
      <c r="H78" s="47" t="str">
        <f>IF(ISERROR(VLOOKUP($C78,院校录取信息表!$C:$CN,21,FALSE)),"",VLOOKUP($C78,院校录取信息表!$C:$CN,21,FALSE))</f>
        <v/>
      </c>
      <c r="I78" s="47" t="str">
        <f>IF(ISERROR(VLOOKUP($C78,院校录取信息表!$C:$CN,18,FALSE)),"",VLOOKUP($C78,院校录取信息表!$C:$CN,18,FALSE))</f>
        <v/>
      </c>
      <c r="J78" s="51" t="str">
        <f>IF(ISERROR(VLOOKUP($C78,院校录取信息表!$C:$CN,23,FALSE)),"",VLOOKUP($C78,院校录取信息表!$C:$CN,23,FALSE))</f>
        <v/>
      </c>
      <c r="K78" s="47" t="str">
        <f>IF(ISERROR(VLOOKUP($C78,院校录取信息表!$C:$CN,5,FALSE)),"",VLOOKUP($C78,院校录取信息表!$C:$CN,5,FALSE))</f>
        <v/>
      </c>
      <c r="L78" s="43" t="str">
        <f>IF(ISERROR(VLOOKUP($C78,院校录取信息表!$C:$CN,8,FALSE)),"",VLOOKUP($C78,院校录取信息表!$C:$CN,8,FALSE))</f>
        <v/>
      </c>
      <c r="M78" s="43" t="str">
        <f>IF(ISERROR(VLOOKUP($C78,院校录取信息表!$C:$CN,9,FALSE)),"",VLOOKUP($C78,院校录取信息表!$C:$CN,9,FALSE))</f>
        <v/>
      </c>
      <c r="N78" s="43" t="str">
        <f>IF(ISERROR(VLOOKUP($C78,院校录取信息表!$C:$CN,10,FALSE)),"",VLOOKUP($C78,院校录取信息表!$C:$CN,10,FALSE))</f>
        <v/>
      </c>
      <c r="O78" s="54" t="str">
        <f>IF(ISERROR(VLOOKUP($C78,院校录取信息表!$C:$CN,11,FALSE)),"",VLOOKUP($C78,院校录取信息表!$C:$CN,11,FALSE))</f>
        <v/>
      </c>
      <c r="P78" s="54" t="str">
        <f>IF(ISERROR(VLOOKUP($C78,院校录取信息表!$C:$CN,12,FALSE)),"",VLOOKUP($C78,院校录取信息表!$C:$CN,12,FALSE))</f>
        <v/>
      </c>
      <c r="Q78" s="54" t="str">
        <f>IF(ISERROR(VLOOKUP($C78,院校录取信息表!$C:$CN,13,FALSE)),"",VLOOKUP($C78,院校录取信息表!$C:$CN,13,FALSE))</f>
        <v/>
      </c>
    </row>
    <row r="79" ht="20" customHeight="1" spans="1:17">
      <c r="A79" s="46"/>
      <c r="B79" s="44"/>
      <c r="C79" s="45">
        <v>76</v>
      </c>
      <c r="D79" s="43" t="str">
        <f>IF(ISERROR(VLOOKUP($C79,院校录取信息表!$C:$CN,3,FALSE)),"",VLOOKUP($C79,院校录取信息表!$C:$CN,3,FALSE))</f>
        <v/>
      </c>
      <c r="E79" s="43" t="str">
        <f>IF(ISERROR(VLOOKUP($C79,院校录取信息表!$C:$CN,4,FALSE)),"",VLOOKUP($C79,院校录取信息表!$C:$CN,4,FALSE))</f>
        <v/>
      </c>
      <c r="F79" s="43" t="str">
        <f>IF(ISERROR(VLOOKUP($C79,院校录取信息表!$C:$CN,16,FALSE)),"",VLOOKUP($C79,院校录取信息表!$C:$CN,16,FALSE))</f>
        <v/>
      </c>
      <c r="G79" s="47" t="str">
        <f>IF(ISERROR(VLOOKUP($C79,院校录取信息表!$C:$CN,17,FALSE)),"",VLOOKUP($C79,院校录取信息表!$C:$CN,17,FALSE))</f>
        <v/>
      </c>
      <c r="H79" s="47" t="str">
        <f>IF(ISERROR(VLOOKUP($C79,院校录取信息表!$C:$CN,21,FALSE)),"",VLOOKUP($C79,院校录取信息表!$C:$CN,21,FALSE))</f>
        <v/>
      </c>
      <c r="I79" s="47" t="str">
        <f>IF(ISERROR(VLOOKUP($C79,院校录取信息表!$C:$CN,18,FALSE)),"",VLOOKUP($C79,院校录取信息表!$C:$CN,18,FALSE))</f>
        <v/>
      </c>
      <c r="J79" s="51" t="str">
        <f>IF(ISERROR(VLOOKUP($C79,院校录取信息表!$C:$CN,23,FALSE)),"",VLOOKUP($C79,院校录取信息表!$C:$CN,23,FALSE))</f>
        <v/>
      </c>
      <c r="K79" s="47" t="str">
        <f>IF(ISERROR(VLOOKUP($C79,院校录取信息表!$C:$CN,5,FALSE)),"",VLOOKUP($C79,院校录取信息表!$C:$CN,5,FALSE))</f>
        <v/>
      </c>
      <c r="L79" s="43" t="str">
        <f>IF(ISERROR(VLOOKUP($C79,院校录取信息表!$C:$CN,8,FALSE)),"",VLOOKUP($C79,院校录取信息表!$C:$CN,8,FALSE))</f>
        <v/>
      </c>
      <c r="M79" s="43" t="str">
        <f>IF(ISERROR(VLOOKUP($C79,院校录取信息表!$C:$CN,9,FALSE)),"",VLOOKUP($C79,院校录取信息表!$C:$CN,9,FALSE))</f>
        <v/>
      </c>
      <c r="N79" s="43" t="str">
        <f>IF(ISERROR(VLOOKUP($C79,院校录取信息表!$C:$CN,10,FALSE)),"",VLOOKUP($C79,院校录取信息表!$C:$CN,10,FALSE))</f>
        <v/>
      </c>
      <c r="O79" s="54" t="str">
        <f>IF(ISERROR(VLOOKUP($C79,院校录取信息表!$C:$CN,11,FALSE)),"",VLOOKUP($C79,院校录取信息表!$C:$CN,11,FALSE))</f>
        <v/>
      </c>
      <c r="P79" s="54" t="str">
        <f>IF(ISERROR(VLOOKUP($C79,院校录取信息表!$C:$CN,12,FALSE)),"",VLOOKUP($C79,院校录取信息表!$C:$CN,12,FALSE))</f>
        <v/>
      </c>
      <c r="Q79" s="54" t="str">
        <f>IF(ISERROR(VLOOKUP($C79,院校录取信息表!$C:$CN,13,FALSE)),"",VLOOKUP($C79,院校录取信息表!$C:$CN,13,FALSE))</f>
        <v/>
      </c>
    </row>
    <row r="80" ht="20" customHeight="1" spans="1:17">
      <c r="A80" s="46"/>
      <c r="B80" s="44"/>
      <c r="C80" s="45">
        <v>77</v>
      </c>
      <c r="D80" s="43" t="str">
        <f>IF(ISERROR(VLOOKUP($C80,院校录取信息表!$C:$CN,3,FALSE)),"",VLOOKUP($C80,院校录取信息表!$C:$CN,3,FALSE))</f>
        <v/>
      </c>
      <c r="E80" s="43" t="str">
        <f>IF(ISERROR(VLOOKUP($C80,院校录取信息表!$C:$CN,4,FALSE)),"",VLOOKUP($C80,院校录取信息表!$C:$CN,4,FALSE))</f>
        <v/>
      </c>
      <c r="F80" s="43" t="str">
        <f>IF(ISERROR(VLOOKUP($C80,院校录取信息表!$C:$CN,16,FALSE)),"",VLOOKUP($C80,院校录取信息表!$C:$CN,16,FALSE))</f>
        <v/>
      </c>
      <c r="G80" s="47" t="str">
        <f>IF(ISERROR(VLOOKUP($C80,院校录取信息表!$C:$CN,17,FALSE)),"",VLOOKUP($C80,院校录取信息表!$C:$CN,17,FALSE))</f>
        <v/>
      </c>
      <c r="H80" s="47" t="str">
        <f>IF(ISERROR(VLOOKUP($C80,院校录取信息表!$C:$CN,21,FALSE)),"",VLOOKUP($C80,院校录取信息表!$C:$CN,21,FALSE))</f>
        <v/>
      </c>
      <c r="I80" s="47" t="str">
        <f>IF(ISERROR(VLOOKUP($C80,院校录取信息表!$C:$CN,18,FALSE)),"",VLOOKUP($C80,院校录取信息表!$C:$CN,18,FALSE))</f>
        <v/>
      </c>
      <c r="J80" s="51" t="str">
        <f>IF(ISERROR(VLOOKUP($C80,院校录取信息表!$C:$CN,23,FALSE)),"",VLOOKUP($C80,院校录取信息表!$C:$CN,23,FALSE))</f>
        <v/>
      </c>
      <c r="K80" s="47" t="str">
        <f>IF(ISERROR(VLOOKUP($C80,院校录取信息表!$C:$CN,5,FALSE)),"",VLOOKUP($C80,院校录取信息表!$C:$CN,5,FALSE))</f>
        <v/>
      </c>
      <c r="L80" s="43" t="str">
        <f>IF(ISERROR(VLOOKUP($C80,院校录取信息表!$C:$CN,8,FALSE)),"",VLOOKUP($C80,院校录取信息表!$C:$CN,8,FALSE))</f>
        <v/>
      </c>
      <c r="M80" s="43" t="str">
        <f>IF(ISERROR(VLOOKUP($C80,院校录取信息表!$C:$CN,9,FALSE)),"",VLOOKUP($C80,院校录取信息表!$C:$CN,9,FALSE))</f>
        <v/>
      </c>
      <c r="N80" s="43" t="str">
        <f>IF(ISERROR(VLOOKUP($C80,院校录取信息表!$C:$CN,10,FALSE)),"",VLOOKUP($C80,院校录取信息表!$C:$CN,10,FALSE))</f>
        <v/>
      </c>
      <c r="O80" s="54" t="str">
        <f>IF(ISERROR(VLOOKUP($C80,院校录取信息表!$C:$CN,11,FALSE)),"",VLOOKUP($C80,院校录取信息表!$C:$CN,11,FALSE))</f>
        <v/>
      </c>
      <c r="P80" s="54" t="str">
        <f>IF(ISERROR(VLOOKUP($C80,院校录取信息表!$C:$CN,12,FALSE)),"",VLOOKUP($C80,院校录取信息表!$C:$CN,12,FALSE))</f>
        <v/>
      </c>
      <c r="Q80" s="54" t="str">
        <f>IF(ISERROR(VLOOKUP($C80,院校录取信息表!$C:$CN,13,FALSE)),"",VLOOKUP($C80,院校录取信息表!$C:$CN,13,FALSE))</f>
        <v/>
      </c>
    </row>
    <row r="81" ht="20" customHeight="1" spans="1:17">
      <c r="A81" s="46"/>
      <c r="B81" s="44"/>
      <c r="C81" s="45">
        <v>78</v>
      </c>
      <c r="D81" s="43" t="str">
        <f>IF(ISERROR(VLOOKUP($C81,院校录取信息表!$C:$CN,3,FALSE)),"",VLOOKUP($C81,院校录取信息表!$C:$CN,3,FALSE))</f>
        <v/>
      </c>
      <c r="E81" s="43" t="str">
        <f>IF(ISERROR(VLOOKUP($C81,院校录取信息表!$C:$CN,4,FALSE)),"",VLOOKUP($C81,院校录取信息表!$C:$CN,4,FALSE))</f>
        <v/>
      </c>
      <c r="F81" s="43" t="str">
        <f>IF(ISERROR(VLOOKUP($C81,院校录取信息表!$C:$CN,16,FALSE)),"",VLOOKUP($C81,院校录取信息表!$C:$CN,16,FALSE))</f>
        <v/>
      </c>
      <c r="G81" s="47" t="str">
        <f>IF(ISERROR(VLOOKUP($C81,院校录取信息表!$C:$CN,17,FALSE)),"",VLOOKUP($C81,院校录取信息表!$C:$CN,17,FALSE))</f>
        <v/>
      </c>
      <c r="H81" s="47" t="str">
        <f>IF(ISERROR(VLOOKUP($C81,院校录取信息表!$C:$CN,21,FALSE)),"",VLOOKUP($C81,院校录取信息表!$C:$CN,21,FALSE))</f>
        <v/>
      </c>
      <c r="I81" s="47" t="str">
        <f>IF(ISERROR(VLOOKUP($C81,院校录取信息表!$C:$CN,18,FALSE)),"",VLOOKUP($C81,院校录取信息表!$C:$CN,18,FALSE))</f>
        <v/>
      </c>
      <c r="J81" s="51" t="str">
        <f>IF(ISERROR(VLOOKUP($C81,院校录取信息表!$C:$CN,23,FALSE)),"",VLOOKUP($C81,院校录取信息表!$C:$CN,23,FALSE))</f>
        <v/>
      </c>
      <c r="K81" s="47" t="str">
        <f>IF(ISERROR(VLOOKUP($C81,院校录取信息表!$C:$CN,5,FALSE)),"",VLOOKUP($C81,院校录取信息表!$C:$CN,5,FALSE))</f>
        <v/>
      </c>
      <c r="L81" s="43" t="str">
        <f>IF(ISERROR(VLOOKUP($C81,院校录取信息表!$C:$CN,8,FALSE)),"",VLOOKUP($C81,院校录取信息表!$C:$CN,8,FALSE))</f>
        <v/>
      </c>
      <c r="M81" s="43" t="str">
        <f>IF(ISERROR(VLOOKUP($C81,院校录取信息表!$C:$CN,9,FALSE)),"",VLOOKUP($C81,院校录取信息表!$C:$CN,9,FALSE))</f>
        <v/>
      </c>
      <c r="N81" s="43" t="str">
        <f>IF(ISERROR(VLOOKUP($C81,院校录取信息表!$C:$CN,10,FALSE)),"",VLOOKUP($C81,院校录取信息表!$C:$CN,10,FALSE))</f>
        <v/>
      </c>
      <c r="O81" s="54" t="str">
        <f>IF(ISERROR(VLOOKUP($C81,院校录取信息表!$C:$CN,11,FALSE)),"",VLOOKUP($C81,院校录取信息表!$C:$CN,11,FALSE))</f>
        <v/>
      </c>
      <c r="P81" s="54" t="str">
        <f>IF(ISERROR(VLOOKUP($C81,院校录取信息表!$C:$CN,12,FALSE)),"",VLOOKUP($C81,院校录取信息表!$C:$CN,12,FALSE))</f>
        <v/>
      </c>
      <c r="Q81" s="54" t="str">
        <f>IF(ISERROR(VLOOKUP($C81,院校录取信息表!$C:$CN,13,FALSE)),"",VLOOKUP($C81,院校录取信息表!$C:$CN,13,FALSE))</f>
        <v/>
      </c>
    </row>
    <row r="82" ht="20" customHeight="1" spans="1:17">
      <c r="A82" s="46"/>
      <c r="B82" s="44" t="s">
        <v>1057</v>
      </c>
      <c r="C82" s="45">
        <v>79</v>
      </c>
      <c r="D82" s="43" t="str">
        <f>IF(ISERROR(VLOOKUP($C82,院校录取信息表!$C:$CN,3,FALSE)),"",VLOOKUP($C82,院校录取信息表!$C:$CN,3,FALSE))</f>
        <v/>
      </c>
      <c r="E82" s="43" t="str">
        <f>IF(ISERROR(VLOOKUP($C82,院校录取信息表!$C:$CN,4,FALSE)),"",VLOOKUP($C82,院校录取信息表!$C:$CN,4,FALSE))</f>
        <v/>
      </c>
      <c r="F82" s="43" t="str">
        <f>IF(ISERROR(VLOOKUP($C82,院校录取信息表!$C:$CN,16,FALSE)),"",VLOOKUP($C82,院校录取信息表!$C:$CN,16,FALSE))</f>
        <v/>
      </c>
      <c r="G82" s="47" t="str">
        <f>IF(ISERROR(VLOOKUP($C82,院校录取信息表!$C:$CN,17,FALSE)),"",VLOOKUP($C82,院校录取信息表!$C:$CN,17,FALSE))</f>
        <v/>
      </c>
      <c r="H82" s="47" t="str">
        <f>IF(ISERROR(VLOOKUP($C82,院校录取信息表!$C:$CN,21,FALSE)),"",VLOOKUP($C82,院校录取信息表!$C:$CN,21,FALSE))</f>
        <v/>
      </c>
      <c r="I82" s="47" t="str">
        <f>IF(ISERROR(VLOOKUP($C82,院校录取信息表!$C:$CN,18,FALSE)),"",VLOOKUP($C82,院校录取信息表!$C:$CN,18,FALSE))</f>
        <v/>
      </c>
      <c r="J82" s="51" t="str">
        <f>IF(ISERROR(VLOOKUP($C82,院校录取信息表!$C:$CN,23,FALSE)),"",VLOOKUP($C82,院校录取信息表!$C:$CN,23,FALSE))</f>
        <v/>
      </c>
      <c r="K82" s="47" t="str">
        <f>IF(ISERROR(VLOOKUP($C82,院校录取信息表!$C:$CN,5,FALSE)),"",VLOOKUP($C82,院校录取信息表!$C:$CN,5,FALSE))</f>
        <v/>
      </c>
      <c r="L82" s="43" t="str">
        <f>IF(ISERROR(VLOOKUP($C82,院校录取信息表!$C:$CN,8,FALSE)),"",VLOOKUP($C82,院校录取信息表!$C:$CN,8,FALSE))</f>
        <v/>
      </c>
      <c r="M82" s="43" t="str">
        <f>IF(ISERROR(VLOOKUP($C82,院校录取信息表!$C:$CN,9,FALSE)),"",VLOOKUP($C82,院校录取信息表!$C:$CN,9,FALSE))</f>
        <v/>
      </c>
      <c r="N82" s="43" t="str">
        <f>IF(ISERROR(VLOOKUP($C82,院校录取信息表!$C:$CN,10,FALSE)),"",VLOOKUP($C82,院校录取信息表!$C:$CN,10,FALSE))</f>
        <v/>
      </c>
      <c r="O82" s="54" t="str">
        <f>IF(ISERROR(VLOOKUP($C82,院校录取信息表!$C:$CN,11,FALSE)),"",VLOOKUP($C82,院校录取信息表!$C:$CN,11,FALSE))</f>
        <v/>
      </c>
      <c r="P82" s="54" t="str">
        <f>IF(ISERROR(VLOOKUP($C82,院校录取信息表!$C:$CN,12,FALSE)),"",VLOOKUP($C82,院校录取信息表!$C:$CN,12,FALSE))</f>
        <v/>
      </c>
      <c r="Q82" s="54" t="str">
        <f>IF(ISERROR(VLOOKUP($C82,院校录取信息表!$C:$CN,13,FALSE)),"",VLOOKUP($C82,院校录取信息表!$C:$CN,13,FALSE))</f>
        <v/>
      </c>
    </row>
    <row r="83" ht="20" customHeight="1" spans="1:17">
      <c r="A83" s="46"/>
      <c r="B83" s="44"/>
      <c r="C83" s="45">
        <v>80</v>
      </c>
      <c r="D83" s="43" t="str">
        <f>IF(ISERROR(VLOOKUP($C83,院校录取信息表!$C:$CN,3,FALSE)),"",VLOOKUP($C83,院校录取信息表!$C:$CN,3,FALSE))</f>
        <v/>
      </c>
      <c r="E83" s="43" t="str">
        <f>IF(ISERROR(VLOOKUP($C83,院校录取信息表!$C:$CN,4,FALSE)),"",VLOOKUP($C83,院校录取信息表!$C:$CN,4,FALSE))</f>
        <v/>
      </c>
      <c r="F83" s="43" t="str">
        <f>IF(ISERROR(VLOOKUP($C83,院校录取信息表!$C:$CN,16,FALSE)),"",VLOOKUP($C83,院校录取信息表!$C:$CN,16,FALSE))</f>
        <v/>
      </c>
      <c r="G83" s="47" t="str">
        <f>IF(ISERROR(VLOOKUP($C83,院校录取信息表!$C:$CN,17,FALSE)),"",VLOOKUP($C83,院校录取信息表!$C:$CN,17,FALSE))</f>
        <v/>
      </c>
      <c r="H83" s="47" t="str">
        <f>IF(ISERROR(VLOOKUP($C83,院校录取信息表!$C:$CN,21,FALSE)),"",VLOOKUP($C83,院校录取信息表!$C:$CN,21,FALSE))</f>
        <v/>
      </c>
      <c r="I83" s="47" t="str">
        <f>IF(ISERROR(VLOOKUP($C83,院校录取信息表!$C:$CN,18,FALSE)),"",VLOOKUP($C83,院校录取信息表!$C:$CN,18,FALSE))</f>
        <v/>
      </c>
      <c r="J83" s="51" t="str">
        <f>IF(ISERROR(VLOOKUP($C83,院校录取信息表!$C:$CN,23,FALSE)),"",VLOOKUP($C83,院校录取信息表!$C:$CN,23,FALSE))</f>
        <v/>
      </c>
      <c r="K83" s="47" t="str">
        <f>IF(ISERROR(VLOOKUP($C83,院校录取信息表!$C:$CN,5,FALSE)),"",VLOOKUP($C83,院校录取信息表!$C:$CN,5,FALSE))</f>
        <v/>
      </c>
      <c r="L83" s="43" t="str">
        <f>IF(ISERROR(VLOOKUP($C83,院校录取信息表!$C:$CN,8,FALSE)),"",VLOOKUP($C83,院校录取信息表!$C:$CN,8,FALSE))</f>
        <v/>
      </c>
      <c r="M83" s="43" t="str">
        <f>IF(ISERROR(VLOOKUP($C83,院校录取信息表!$C:$CN,9,FALSE)),"",VLOOKUP($C83,院校录取信息表!$C:$CN,9,FALSE))</f>
        <v/>
      </c>
      <c r="N83" s="43" t="str">
        <f>IF(ISERROR(VLOOKUP($C83,院校录取信息表!$C:$CN,10,FALSE)),"",VLOOKUP($C83,院校录取信息表!$C:$CN,10,FALSE))</f>
        <v/>
      </c>
      <c r="O83" s="54" t="str">
        <f>IF(ISERROR(VLOOKUP($C83,院校录取信息表!$C:$CN,11,FALSE)),"",VLOOKUP($C83,院校录取信息表!$C:$CN,11,FALSE))</f>
        <v/>
      </c>
      <c r="P83" s="54" t="str">
        <f>IF(ISERROR(VLOOKUP($C83,院校录取信息表!$C:$CN,12,FALSE)),"",VLOOKUP($C83,院校录取信息表!$C:$CN,12,FALSE))</f>
        <v/>
      </c>
      <c r="Q83" s="54" t="str">
        <f>IF(ISERROR(VLOOKUP($C83,院校录取信息表!$C:$CN,13,FALSE)),"",VLOOKUP($C83,院校录取信息表!$C:$CN,13,FALSE))</f>
        <v/>
      </c>
    </row>
    <row r="84" ht="20" customHeight="1" spans="1:17">
      <c r="A84" s="46"/>
      <c r="B84" s="44"/>
      <c r="C84" s="45">
        <v>81</v>
      </c>
      <c r="D84" s="43" t="str">
        <f>IF(ISERROR(VLOOKUP($C84,院校录取信息表!$C:$CN,3,FALSE)),"",VLOOKUP($C84,院校录取信息表!$C:$CN,3,FALSE))</f>
        <v/>
      </c>
      <c r="E84" s="43" t="str">
        <f>IF(ISERROR(VLOOKUP($C84,院校录取信息表!$C:$CN,4,FALSE)),"",VLOOKUP($C84,院校录取信息表!$C:$CN,4,FALSE))</f>
        <v/>
      </c>
      <c r="F84" s="43" t="str">
        <f>IF(ISERROR(VLOOKUP($C84,院校录取信息表!$C:$CN,16,FALSE)),"",VLOOKUP($C84,院校录取信息表!$C:$CN,16,FALSE))</f>
        <v/>
      </c>
      <c r="G84" s="47" t="str">
        <f>IF(ISERROR(VLOOKUP($C84,院校录取信息表!$C:$CN,17,FALSE)),"",VLOOKUP($C84,院校录取信息表!$C:$CN,17,FALSE))</f>
        <v/>
      </c>
      <c r="H84" s="47" t="str">
        <f>IF(ISERROR(VLOOKUP($C84,院校录取信息表!$C:$CN,21,FALSE)),"",VLOOKUP($C84,院校录取信息表!$C:$CN,21,FALSE))</f>
        <v/>
      </c>
      <c r="I84" s="47" t="str">
        <f>IF(ISERROR(VLOOKUP($C84,院校录取信息表!$C:$CN,18,FALSE)),"",VLOOKUP($C84,院校录取信息表!$C:$CN,18,FALSE))</f>
        <v/>
      </c>
      <c r="J84" s="51" t="str">
        <f>IF(ISERROR(VLOOKUP($C84,院校录取信息表!$C:$CN,23,FALSE)),"",VLOOKUP($C84,院校录取信息表!$C:$CN,23,FALSE))</f>
        <v/>
      </c>
      <c r="K84" s="47" t="str">
        <f>IF(ISERROR(VLOOKUP($C84,院校录取信息表!$C:$CN,5,FALSE)),"",VLOOKUP($C84,院校录取信息表!$C:$CN,5,FALSE))</f>
        <v/>
      </c>
      <c r="L84" s="43" t="str">
        <f>IF(ISERROR(VLOOKUP($C84,院校录取信息表!$C:$CN,8,FALSE)),"",VLOOKUP($C84,院校录取信息表!$C:$CN,8,FALSE))</f>
        <v/>
      </c>
      <c r="M84" s="43" t="str">
        <f>IF(ISERROR(VLOOKUP($C84,院校录取信息表!$C:$CN,9,FALSE)),"",VLOOKUP($C84,院校录取信息表!$C:$CN,9,FALSE))</f>
        <v/>
      </c>
      <c r="N84" s="43" t="str">
        <f>IF(ISERROR(VLOOKUP($C84,院校录取信息表!$C:$CN,10,FALSE)),"",VLOOKUP($C84,院校录取信息表!$C:$CN,10,FALSE))</f>
        <v/>
      </c>
      <c r="O84" s="54" t="str">
        <f>IF(ISERROR(VLOOKUP($C84,院校录取信息表!$C:$CN,11,FALSE)),"",VLOOKUP($C84,院校录取信息表!$C:$CN,11,FALSE))</f>
        <v/>
      </c>
      <c r="P84" s="54" t="str">
        <f>IF(ISERROR(VLOOKUP($C84,院校录取信息表!$C:$CN,12,FALSE)),"",VLOOKUP($C84,院校录取信息表!$C:$CN,12,FALSE))</f>
        <v/>
      </c>
      <c r="Q84" s="54" t="str">
        <f>IF(ISERROR(VLOOKUP($C84,院校录取信息表!$C:$CN,13,FALSE)),"",VLOOKUP($C84,院校录取信息表!$C:$CN,13,FALSE))</f>
        <v/>
      </c>
    </row>
    <row r="85" ht="20" customHeight="1" spans="1:17">
      <c r="A85" s="46"/>
      <c r="B85" s="44"/>
      <c r="C85" s="45">
        <v>82</v>
      </c>
      <c r="D85" s="43" t="str">
        <f>IF(ISERROR(VLOOKUP($C85,院校录取信息表!$C:$CN,3,FALSE)),"",VLOOKUP($C85,院校录取信息表!$C:$CN,3,FALSE))</f>
        <v/>
      </c>
      <c r="E85" s="43" t="str">
        <f>IF(ISERROR(VLOOKUP($C85,院校录取信息表!$C:$CN,4,FALSE)),"",VLOOKUP($C85,院校录取信息表!$C:$CN,4,FALSE))</f>
        <v/>
      </c>
      <c r="F85" s="43" t="str">
        <f>IF(ISERROR(VLOOKUP($C85,院校录取信息表!$C:$CN,16,FALSE)),"",VLOOKUP($C85,院校录取信息表!$C:$CN,16,FALSE))</f>
        <v/>
      </c>
      <c r="G85" s="47" t="str">
        <f>IF(ISERROR(VLOOKUP($C85,院校录取信息表!$C:$CN,17,FALSE)),"",VLOOKUP($C85,院校录取信息表!$C:$CN,17,FALSE))</f>
        <v/>
      </c>
      <c r="H85" s="47" t="str">
        <f>IF(ISERROR(VLOOKUP($C85,院校录取信息表!$C:$CN,21,FALSE)),"",VLOOKUP($C85,院校录取信息表!$C:$CN,21,FALSE))</f>
        <v/>
      </c>
      <c r="I85" s="47" t="str">
        <f>IF(ISERROR(VLOOKUP($C85,院校录取信息表!$C:$CN,18,FALSE)),"",VLOOKUP($C85,院校录取信息表!$C:$CN,18,FALSE))</f>
        <v/>
      </c>
      <c r="J85" s="51" t="str">
        <f>IF(ISERROR(VLOOKUP($C85,院校录取信息表!$C:$CN,23,FALSE)),"",VLOOKUP($C85,院校录取信息表!$C:$CN,23,FALSE))</f>
        <v/>
      </c>
      <c r="K85" s="47" t="str">
        <f>IF(ISERROR(VLOOKUP($C85,院校录取信息表!$C:$CN,5,FALSE)),"",VLOOKUP($C85,院校录取信息表!$C:$CN,5,FALSE))</f>
        <v/>
      </c>
      <c r="L85" s="43" t="str">
        <f>IF(ISERROR(VLOOKUP($C85,院校录取信息表!$C:$CN,8,FALSE)),"",VLOOKUP($C85,院校录取信息表!$C:$CN,8,FALSE))</f>
        <v/>
      </c>
      <c r="M85" s="43" t="str">
        <f>IF(ISERROR(VLOOKUP($C85,院校录取信息表!$C:$CN,9,FALSE)),"",VLOOKUP($C85,院校录取信息表!$C:$CN,9,FALSE))</f>
        <v/>
      </c>
      <c r="N85" s="43" t="str">
        <f>IF(ISERROR(VLOOKUP($C85,院校录取信息表!$C:$CN,10,FALSE)),"",VLOOKUP($C85,院校录取信息表!$C:$CN,10,FALSE))</f>
        <v/>
      </c>
      <c r="O85" s="54" t="str">
        <f>IF(ISERROR(VLOOKUP($C85,院校录取信息表!$C:$CN,11,FALSE)),"",VLOOKUP($C85,院校录取信息表!$C:$CN,11,FALSE))</f>
        <v/>
      </c>
      <c r="P85" s="54" t="str">
        <f>IF(ISERROR(VLOOKUP($C85,院校录取信息表!$C:$CN,12,FALSE)),"",VLOOKUP($C85,院校录取信息表!$C:$CN,12,FALSE))</f>
        <v/>
      </c>
      <c r="Q85" s="54" t="str">
        <f>IF(ISERROR(VLOOKUP($C85,院校录取信息表!$C:$CN,13,FALSE)),"",VLOOKUP($C85,院校录取信息表!$C:$CN,13,FALSE))</f>
        <v/>
      </c>
    </row>
    <row r="86" ht="20" customHeight="1" spans="1:17">
      <c r="A86" s="46"/>
      <c r="B86" s="44"/>
      <c r="C86" s="45">
        <v>83</v>
      </c>
      <c r="D86" s="43" t="str">
        <f>IF(ISERROR(VLOOKUP($C86,院校录取信息表!$C:$CN,3,FALSE)),"",VLOOKUP($C86,院校录取信息表!$C:$CN,3,FALSE))</f>
        <v/>
      </c>
      <c r="E86" s="43" t="str">
        <f>IF(ISERROR(VLOOKUP($C86,院校录取信息表!$C:$CN,4,FALSE)),"",VLOOKUP($C86,院校录取信息表!$C:$CN,4,FALSE))</f>
        <v/>
      </c>
      <c r="F86" s="43" t="str">
        <f>IF(ISERROR(VLOOKUP($C86,院校录取信息表!$C:$CN,16,FALSE)),"",VLOOKUP($C86,院校录取信息表!$C:$CN,16,FALSE))</f>
        <v/>
      </c>
      <c r="G86" s="47" t="str">
        <f>IF(ISERROR(VLOOKUP($C86,院校录取信息表!$C:$CN,17,FALSE)),"",VLOOKUP($C86,院校录取信息表!$C:$CN,17,FALSE))</f>
        <v/>
      </c>
      <c r="H86" s="47" t="str">
        <f>IF(ISERROR(VLOOKUP($C86,院校录取信息表!$C:$CN,21,FALSE)),"",VLOOKUP($C86,院校录取信息表!$C:$CN,21,FALSE))</f>
        <v/>
      </c>
      <c r="I86" s="47" t="str">
        <f>IF(ISERROR(VLOOKUP($C86,院校录取信息表!$C:$CN,18,FALSE)),"",VLOOKUP($C86,院校录取信息表!$C:$CN,18,FALSE))</f>
        <v/>
      </c>
      <c r="J86" s="51" t="str">
        <f>IF(ISERROR(VLOOKUP($C86,院校录取信息表!$C:$CN,23,FALSE)),"",VLOOKUP($C86,院校录取信息表!$C:$CN,23,FALSE))</f>
        <v/>
      </c>
      <c r="K86" s="47" t="str">
        <f>IF(ISERROR(VLOOKUP($C86,院校录取信息表!$C:$CN,5,FALSE)),"",VLOOKUP($C86,院校录取信息表!$C:$CN,5,FALSE))</f>
        <v/>
      </c>
      <c r="L86" s="43" t="str">
        <f>IF(ISERROR(VLOOKUP($C86,院校录取信息表!$C:$CN,8,FALSE)),"",VLOOKUP($C86,院校录取信息表!$C:$CN,8,FALSE))</f>
        <v/>
      </c>
      <c r="M86" s="43" t="str">
        <f>IF(ISERROR(VLOOKUP($C86,院校录取信息表!$C:$CN,9,FALSE)),"",VLOOKUP($C86,院校录取信息表!$C:$CN,9,FALSE))</f>
        <v/>
      </c>
      <c r="N86" s="43" t="str">
        <f>IF(ISERROR(VLOOKUP($C86,院校录取信息表!$C:$CN,10,FALSE)),"",VLOOKUP($C86,院校录取信息表!$C:$CN,10,FALSE))</f>
        <v/>
      </c>
      <c r="O86" s="54" t="str">
        <f>IF(ISERROR(VLOOKUP($C86,院校录取信息表!$C:$CN,11,FALSE)),"",VLOOKUP($C86,院校录取信息表!$C:$CN,11,FALSE))</f>
        <v/>
      </c>
      <c r="P86" s="54" t="str">
        <f>IF(ISERROR(VLOOKUP($C86,院校录取信息表!$C:$CN,12,FALSE)),"",VLOOKUP($C86,院校录取信息表!$C:$CN,12,FALSE))</f>
        <v/>
      </c>
      <c r="Q86" s="54" t="str">
        <f>IF(ISERROR(VLOOKUP($C86,院校录取信息表!$C:$CN,13,FALSE)),"",VLOOKUP($C86,院校录取信息表!$C:$CN,13,FALSE))</f>
        <v/>
      </c>
    </row>
    <row r="87" ht="20" customHeight="1" spans="1:17">
      <c r="A87" s="46"/>
      <c r="B87" s="44"/>
      <c r="C87" s="45">
        <v>84</v>
      </c>
      <c r="D87" s="43" t="str">
        <f>IF(ISERROR(VLOOKUP($C87,院校录取信息表!$C:$CN,3,FALSE)),"",VLOOKUP($C87,院校录取信息表!$C:$CN,3,FALSE))</f>
        <v/>
      </c>
      <c r="E87" s="43" t="str">
        <f>IF(ISERROR(VLOOKUP($C87,院校录取信息表!$C:$CN,4,FALSE)),"",VLOOKUP($C87,院校录取信息表!$C:$CN,4,FALSE))</f>
        <v/>
      </c>
      <c r="F87" s="43" t="str">
        <f>IF(ISERROR(VLOOKUP($C87,院校录取信息表!$C:$CN,16,FALSE)),"",VLOOKUP($C87,院校录取信息表!$C:$CN,16,FALSE))</f>
        <v/>
      </c>
      <c r="G87" s="47" t="str">
        <f>IF(ISERROR(VLOOKUP($C87,院校录取信息表!$C:$CN,17,FALSE)),"",VLOOKUP($C87,院校录取信息表!$C:$CN,17,FALSE))</f>
        <v/>
      </c>
      <c r="H87" s="47" t="str">
        <f>IF(ISERROR(VLOOKUP($C87,院校录取信息表!$C:$CN,21,FALSE)),"",VLOOKUP($C87,院校录取信息表!$C:$CN,21,FALSE))</f>
        <v/>
      </c>
      <c r="I87" s="47" t="str">
        <f>IF(ISERROR(VLOOKUP($C87,院校录取信息表!$C:$CN,18,FALSE)),"",VLOOKUP($C87,院校录取信息表!$C:$CN,18,FALSE))</f>
        <v/>
      </c>
      <c r="J87" s="51" t="str">
        <f>IF(ISERROR(VLOOKUP($C87,院校录取信息表!$C:$CN,23,FALSE)),"",VLOOKUP($C87,院校录取信息表!$C:$CN,23,FALSE))</f>
        <v/>
      </c>
      <c r="K87" s="47" t="str">
        <f>IF(ISERROR(VLOOKUP($C87,院校录取信息表!$C:$CN,5,FALSE)),"",VLOOKUP($C87,院校录取信息表!$C:$CN,5,FALSE))</f>
        <v/>
      </c>
      <c r="L87" s="43" t="str">
        <f>IF(ISERROR(VLOOKUP($C87,院校录取信息表!$C:$CN,8,FALSE)),"",VLOOKUP($C87,院校录取信息表!$C:$CN,8,FALSE))</f>
        <v/>
      </c>
      <c r="M87" s="43" t="str">
        <f>IF(ISERROR(VLOOKUP($C87,院校录取信息表!$C:$CN,9,FALSE)),"",VLOOKUP($C87,院校录取信息表!$C:$CN,9,FALSE))</f>
        <v/>
      </c>
      <c r="N87" s="43" t="str">
        <f>IF(ISERROR(VLOOKUP($C87,院校录取信息表!$C:$CN,10,FALSE)),"",VLOOKUP($C87,院校录取信息表!$C:$CN,10,FALSE))</f>
        <v/>
      </c>
      <c r="O87" s="54" t="str">
        <f>IF(ISERROR(VLOOKUP($C87,院校录取信息表!$C:$CN,11,FALSE)),"",VLOOKUP($C87,院校录取信息表!$C:$CN,11,FALSE))</f>
        <v/>
      </c>
      <c r="P87" s="54" t="str">
        <f>IF(ISERROR(VLOOKUP($C87,院校录取信息表!$C:$CN,12,FALSE)),"",VLOOKUP($C87,院校录取信息表!$C:$CN,12,FALSE))</f>
        <v/>
      </c>
      <c r="Q87" s="54" t="str">
        <f>IF(ISERROR(VLOOKUP($C87,院校录取信息表!$C:$CN,13,FALSE)),"",VLOOKUP($C87,院校录取信息表!$C:$CN,13,FALSE))</f>
        <v/>
      </c>
    </row>
    <row r="88" ht="20" customHeight="1" spans="1:17">
      <c r="A88" s="46"/>
      <c r="B88" s="44" t="s">
        <v>1058</v>
      </c>
      <c r="C88" s="45">
        <v>85</v>
      </c>
      <c r="D88" s="43" t="str">
        <f>IF(ISERROR(VLOOKUP($C88,院校录取信息表!$C:$CN,3,FALSE)),"",VLOOKUP($C88,院校录取信息表!$C:$CN,3,FALSE))</f>
        <v/>
      </c>
      <c r="E88" s="43" t="str">
        <f>IF(ISERROR(VLOOKUP($C88,院校录取信息表!$C:$CN,4,FALSE)),"",VLOOKUP($C88,院校录取信息表!$C:$CN,4,FALSE))</f>
        <v/>
      </c>
      <c r="F88" s="43" t="str">
        <f>IF(ISERROR(VLOOKUP($C88,院校录取信息表!$C:$CN,16,FALSE)),"",VLOOKUP($C88,院校录取信息表!$C:$CN,16,FALSE))</f>
        <v/>
      </c>
      <c r="G88" s="47" t="str">
        <f>IF(ISERROR(VLOOKUP($C88,院校录取信息表!$C:$CN,17,FALSE)),"",VLOOKUP($C88,院校录取信息表!$C:$CN,17,FALSE))</f>
        <v/>
      </c>
      <c r="H88" s="47" t="str">
        <f>IF(ISERROR(VLOOKUP($C88,院校录取信息表!$C:$CN,21,FALSE)),"",VLOOKUP($C88,院校录取信息表!$C:$CN,21,FALSE))</f>
        <v/>
      </c>
      <c r="I88" s="47" t="str">
        <f>IF(ISERROR(VLOOKUP($C88,院校录取信息表!$C:$CN,18,FALSE)),"",VLOOKUP($C88,院校录取信息表!$C:$CN,18,FALSE))</f>
        <v/>
      </c>
      <c r="J88" s="51" t="str">
        <f>IF(ISERROR(VLOOKUP($C88,院校录取信息表!$C:$CN,23,FALSE)),"",VLOOKUP($C88,院校录取信息表!$C:$CN,23,FALSE))</f>
        <v/>
      </c>
      <c r="K88" s="47" t="str">
        <f>IF(ISERROR(VLOOKUP($C88,院校录取信息表!$C:$CN,5,FALSE)),"",VLOOKUP($C88,院校录取信息表!$C:$CN,5,FALSE))</f>
        <v/>
      </c>
      <c r="L88" s="43" t="str">
        <f>IF(ISERROR(VLOOKUP($C88,院校录取信息表!$C:$CN,8,FALSE)),"",VLOOKUP($C88,院校录取信息表!$C:$CN,8,FALSE))</f>
        <v/>
      </c>
      <c r="M88" s="43" t="str">
        <f>IF(ISERROR(VLOOKUP($C88,院校录取信息表!$C:$CN,9,FALSE)),"",VLOOKUP($C88,院校录取信息表!$C:$CN,9,FALSE))</f>
        <v/>
      </c>
      <c r="N88" s="43" t="str">
        <f>IF(ISERROR(VLOOKUP($C88,院校录取信息表!$C:$CN,10,FALSE)),"",VLOOKUP($C88,院校录取信息表!$C:$CN,10,FALSE))</f>
        <v/>
      </c>
      <c r="O88" s="54" t="str">
        <f>IF(ISERROR(VLOOKUP($C88,院校录取信息表!$C:$CN,11,FALSE)),"",VLOOKUP($C88,院校录取信息表!$C:$CN,11,FALSE))</f>
        <v/>
      </c>
      <c r="P88" s="54" t="str">
        <f>IF(ISERROR(VLOOKUP($C88,院校录取信息表!$C:$CN,12,FALSE)),"",VLOOKUP($C88,院校录取信息表!$C:$CN,12,FALSE))</f>
        <v/>
      </c>
      <c r="Q88" s="54" t="str">
        <f>IF(ISERROR(VLOOKUP($C88,院校录取信息表!$C:$CN,13,FALSE)),"",VLOOKUP($C88,院校录取信息表!$C:$CN,13,FALSE))</f>
        <v/>
      </c>
    </row>
    <row r="89" ht="20" customHeight="1" spans="1:17">
      <c r="A89" s="46"/>
      <c r="B89" s="44"/>
      <c r="C89" s="45">
        <v>86</v>
      </c>
      <c r="D89" s="43" t="str">
        <f>IF(ISERROR(VLOOKUP($C89,院校录取信息表!$C:$CN,3,FALSE)),"",VLOOKUP($C89,院校录取信息表!$C:$CN,3,FALSE))</f>
        <v/>
      </c>
      <c r="E89" s="43" t="str">
        <f>IF(ISERROR(VLOOKUP($C89,院校录取信息表!$C:$CN,4,FALSE)),"",VLOOKUP($C89,院校录取信息表!$C:$CN,4,FALSE))</f>
        <v/>
      </c>
      <c r="F89" s="43" t="str">
        <f>IF(ISERROR(VLOOKUP($C89,院校录取信息表!$C:$CN,16,FALSE)),"",VLOOKUP($C89,院校录取信息表!$C:$CN,16,FALSE))</f>
        <v/>
      </c>
      <c r="G89" s="47" t="str">
        <f>IF(ISERROR(VLOOKUP($C89,院校录取信息表!$C:$CN,17,FALSE)),"",VLOOKUP($C89,院校录取信息表!$C:$CN,17,FALSE))</f>
        <v/>
      </c>
      <c r="H89" s="47" t="str">
        <f>IF(ISERROR(VLOOKUP($C89,院校录取信息表!$C:$CN,21,FALSE)),"",VLOOKUP($C89,院校录取信息表!$C:$CN,21,FALSE))</f>
        <v/>
      </c>
      <c r="I89" s="47" t="str">
        <f>IF(ISERROR(VLOOKUP($C89,院校录取信息表!$C:$CN,18,FALSE)),"",VLOOKUP($C89,院校录取信息表!$C:$CN,18,FALSE))</f>
        <v/>
      </c>
      <c r="J89" s="51" t="str">
        <f>IF(ISERROR(VLOOKUP($C89,院校录取信息表!$C:$CN,23,FALSE)),"",VLOOKUP($C89,院校录取信息表!$C:$CN,23,FALSE))</f>
        <v/>
      </c>
      <c r="K89" s="47" t="str">
        <f>IF(ISERROR(VLOOKUP($C89,院校录取信息表!$C:$CN,5,FALSE)),"",VLOOKUP($C89,院校录取信息表!$C:$CN,5,FALSE))</f>
        <v/>
      </c>
      <c r="L89" s="43" t="str">
        <f>IF(ISERROR(VLOOKUP($C89,院校录取信息表!$C:$CN,8,FALSE)),"",VLOOKUP($C89,院校录取信息表!$C:$CN,8,FALSE))</f>
        <v/>
      </c>
      <c r="M89" s="43" t="str">
        <f>IF(ISERROR(VLOOKUP($C89,院校录取信息表!$C:$CN,9,FALSE)),"",VLOOKUP($C89,院校录取信息表!$C:$CN,9,FALSE))</f>
        <v/>
      </c>
      <c r="N89" s="43" t="str">
        <f>IF(ISERROR(VLOOKUP($C89,院校录取信息表!$C:$CN,10,FALSE)),"",VLOOKUP($C89,院校录取信息表!$C:$CN,10,FALSE))</f>
        <v/>
      </c>
      <c r="O89" s="54" t="str">
        <f>IF(ISERROR(VLOOKUP($C89,院校录取信息表!$C:$CN,11,FALSE)),"",VLOOKUP($C89,院校录取信息表!$C:$CN,11,FALSE))</f>
        <v/>
      </c>
      <c r="P89" s="54" t="str">
        <f>IF(ISERROR(VLOOKUP($C89,院校录取信息表!$C:$CN,12,FALSE)),"",VLOOKUP($C89,院校录取信息表!$C:$CN,12,FALSE))</f>
        <v/>
      </c>
      <c r="Q89" s="54" t="str">
        <f>IF(ISERROR(VLOOKUP($C89,院校录取信息表!$C:$CN,13,FALSE)),"",VLOOKUP($C89,院校录取信息表!$C:$CN,13,FALSE))</f>
        <v/>
      </c>
    </row>
    <row r="90" ht="20" customHeight="1" spans="1:17">
      <c r="A90" s="46"/>
      <c r="B90" s="44"/>
      <c r="C90" s="45">
        <v>87</v>
      </c>
      <c r="D90" s="43" t="str">
        <f>IF(ISERROR(VLOOKUP($C90,院校录取信息表!$C:$CN,3,FALSE)),"",VLOOKUP($C90,院校录取信息表!$C:$CN,3,FALSE))</f>
        <v/>
      </c>
      <c r="E90" s="43" t="str">
        <f>IF(ISERROR(VLOOKUP($C90,院校录取信息表!$C:$CN,4,FALSE)),"",VLOOKUP($C90,院校录取信息表!$C:$CN,4,FALSE))</f>
        <v/>
      </c>
      <c r="F90" s="43" t="str">
        <f>IF(ISERROR(VLOOKUP($C90,院校录取信息表!$C:$CN,16,FALSE)),"",VLOOKUP($C90,院校录取信息表!$C:$CN,16,FALSE))</f>
        <v/>
      </c>
      <c r="G90" s="47" t="str">
        <f>IF(ISERROR(VLOOKUP($C90,院校录取信息表!$C:$CN,17,FALSE)),"",VLOOKUP($C90,院校录取信息表!$C:$CN,17,FALSE))</f>
        <v/>
      </c>
      <c r="H90" s="47" t="str">
        <f>IF(ISERROR(VLOOKUP($C90,院校录取信息表!$C:$CN,21,FALSE)),"",VLOOKUP($C90,院校录取信息表!$C:$CN,21,FALSE))</f>
        <v/>
      </c>
      <c r="I90" s="47" t="str">
        <f>IF(ISERROR(VLOOKUP($C90,院校录取信息表!$C:$CN,18,FALSE)),"",VLOOKUP($C90,院校录取信息表!$C:$CN,18,FALSE))</f>
        <v/>
      </c>
      <c r="J90" s="51" t="str">
        <f>IF(ISERROR(VLOOKUP($C90,院校录取信息表!$C:$CN,23,FALSE)),"",VLOOKUP($C90,院校录取信息表!$C:$CN,23,FALSE))</f>
        <v/>
      </c>
      <c r="K90" s="47" t="str">
        <f>IF(ISERROR(VLOOKUP($C90,院校录取信息表!$C:$CN,5,FALSE)),"",VLOOKUP($C90,院校录取信息表!$C:$CN,5,FALSE))</f>
        <v/>
      </c>
      <c r="L90" s="43" t="str">
        <f>IF(ISERROR(VLOOKUP($C90,院校录取信息表!$C:$CN,8,FALSE)),"",VLOOKUP($C90,院校录取信息表!$C:$CN,8,FALSE))</f>
        <v/>
      </c>
      <c r="M90" s="43" t="str">
        <f>IF(ISERROR(VLOOKUP($C90,院校录取信息表!$C:$CN,9,FALSE)),"",VLOOKUP($C90,院校录取信息表!$C:$CN,9,FALSE))</f>
        <v/>
      </c>
      <c r="N90" s="43" t="str">
        <f>IF(ISERROR(VLOOKUP($C90,院校录取信息表!$C:$CN,10,FALSE)),"",VLOOKUP($C90,院校录取信息表!$C:$CN,10,FALSE))</f>
        <v/>
      </c>
      <c r="O90" s="54" t="str">
        <f>IF(ISERROR(VLOOKUP($C90,院校录取信息表!$C:$CN,11,FALSE)),"",VLOOKUP($C90,院校录取信息表!$C:$CN,11,FALSE))</f>
        <v/>
      </c>
      <c r="P90" s="54" t="str">
        <f>IF(ISERROR(VLOOKUP($C90,院校录取信息表!$C:$CN,12,FALSE)),"",VLOOKUP($C90,院校录取信息表!$C:$CN,12,FALSE))</f>
        <v/>
      </c>
      <c r="Q90" s="54" t="str">
        <f>IF(ISERROR(VLOOKUP($C90,院校录取信息表!$C:$CN,13,FALSE)),"",VLOOKUP($C90,院校录取信息表!$C:$CN,13,FALSE))</f>
        <v/>
      </c>
    </row>
    <row r="91" ht="20" customHeight="1" spans="1:17">
      <c r="A91" s="46"/>
      <c r="B91" s="44"/>
      <c r="C91" s="45">
        <v>88</v>
      </c>
      <c r="D91" s="43" t="str">
        <f>IF(ISERROR(VLOOKUP($C91,院校录取信息表!$C:$CN,3,FALSE)),"",VLOOKUP($C91,院校录取信息表!$C:$CN,3,FALSE))</f>
        <v/>
      </c>
      <c r="E91" s="43" t="str">
        <f>IF(ISERROR(VLOOKUP($C91,院校录取信息表!$C:$CN,4,FALSE)),"",VLOOKUP($C91,院校录取信息表!$C:$CN,4,FALSE))</f>
        <v/>
      </c>
      <c r="F91" s="43" t="str">
        <f>IF(ISERROR(VLOOKUP($C91,院校录取信息表!$C:$CN,16,FALSE)),"",VLOOKUP($C91,院校录取信息表!$C:$CN,16,FALSE))</f>
        <v/>
      </c>
      <c r="G91" s="47" t="str">
        <f>IF(ISERROR(VLOOKUP($C91,院校录取信息表!$C:$CN,17,FALSE)),"",VLOOKUP($C91,院校录取信息表!$C:$CN,17,FALSE))</f>
        <v/>
      </c>
      <c r="H91" s="47" t="str">
        <f>IF(ISERROR(VLOOKUP($C91,院校录取信息表!$C:$CN,21,FALSE)),"",VLOOKUP($C91,院校录取信息表!$C:$CN,21,FALSE))</f>
        <v/>
      </c>
      <c r="I91" s="47" t="str">
        <f>IF(ISERROR(VLOOKUP($C91,院校录取信息表!$C:$CN,18,FALSE)),"",VLOOKUP($C91,院校录取信息表!$C:$CN,18,FALSE))</f>
        <v/>
      </c>
      <c r="J91" s="51" t="str">
        <f>IF(ISERROR(VLOOKUP($C91,院校录取信息表!$C:$CN,23,FALSE)),"",VLOOKUP($C91,院校录取信息表!$C:$CN,23,FALSE))</f>
        <v/>
      </c>
      <c r="K91" s="47" t="str">
        <f>IF(ISERROR(VLOOKUP($C91,院校录取信息表!$C:$CN,5,FALSE)),"",VLOOKUP($C91,院校录取信息表!$C:$CN,5,FALSE))</f>
        <v/>
      </c>
      <c r="L91" s="43" t="str">
        <f>IF(ISERROR(VLOOKUP($C91,院校录取信息表!$C:$CN,8,FALSE)),"",VLOOKUP($C91,院校录取信息表!$C:$CN,8,FALSE))</f>
        <v/>
      </c>
      <c r="M91" s="43" t="str">
        <f>IF(ISERROR(VLOOKUP($C91,院校录取信息表!$C:$CN,9,FALSE)),"",VLOOKUP($C91,院校录取信息表!$C:$CN,9,FALSE))</f>
        <v/>
      </c>
      <c r="N91" s="43" t="str">
        <f>IF(ISERROR(VLOOKUP($C91,院校录取信息表!$C:$CN,10,FALSE)),"",VLOOKUP($C91,院校录取信息表!$C:$CN,10,FALSE))</f>
        <v/>
      </c>
      <c r="O91" s="54" t="str">
        <f>IF(ISERROR(VLOOKUP($C91,院校录取信息表!$C:$CN,11,FALSE)),"",VLOOKUP($C91,院校录取信息表!$C:$CN,11,FALSE))</f>
        <v/>
      </c>
      <c r="P91" s="54" t="str">
        <f>IF(ISERROR(VLOOKUP($C91,院校录取信息表!$C:$CN,12,FALSE)),"",VLOOKUP($C91,院校录取信息表!$C:$CN,12,FALSE))</f>
        <v/>
      </c>
      <c r="Q91" s="54" t="str">
        <f>IF(ISERROR(VLOOKUP($C91,院校录取信息表!$C:$CN,13,FALSE)),"",VLOOKUP($C91,院校录取信息表!$C:$CN,13,FALSE))</f>
        <v/>
      </c>
    </row>
    <row r="92" ht="20" customHeight="1" spans="1:17">
      <c r="A92" s="46"/>
      <c r="B92" s="44"/>
      <c r="C92" s="45">
        <v>89</v>
      </c>
      <c r="D92" s="43" t="str">
        <f>IF(ISERROR(VLOOKUP($C92,院校录取信息表!$C:$CN,3,FALSE)),"",VLOOKUP($C92,院校录取信息表!$C:$CN,3,FALSE))</f>
        <v/>
      </c>
      <c r="E92" s="43" t="str">
        <f>IF(ISERROR(VLOOKUP($C92,院校录取信息表!$C:$CN,4,FALSE)),"",VLOOKUP($C92,院校录取信息表!$C:$CN,4,FALSE))</f>
        <v/>
      </c>
      <c r="F92" s="43" t="str">
        <f>IF(ISERROR(VLOOKUP($C92,院校录取信息表!$C:$CN,16,FALSE)),"",VLOOKUP($C92,院校录取信息表!$C:$CN,16,FALSE))</f>
        <v/>
      </c>
      <c r="G92" s="47" t="str">
        <f>IF(ISERROR(VLOOKUP($C92,院校录取信息表!$C:$CN,17,FALSE)),"",VLOOKUP($C92,院校录取信息表!$C:$CN,17,FALSE))</f>
        <v/>
      </c>
      <c r="H92" s="47" t="str">
        <f>IF(ISERROR(VLOOKUP($C92,院校录取信息表!$C:$CN,21,FALSE)),"",VLOOKUP($C92,院校录取信息表!$C:$CN,21,FALSE))</f>
        <v/>
      </c>
      <c r="I92" s="47" t="str">
        <f>IF(ISERROR(VLOOKUP($C92,院校录取信息表!$C:$CN,18,FALSE)),"",VLOOKUP($C92,院校录取信息表!$C:$CN,18,FALSE))</f>
        <v/>
      </c>
      <c r="J92" s="51" t="str">
        <f>IF(ISERROR(VLOOKUP($C92,院校录取信息表!$C:$CN,23,FALSE)),"",VLOOKUP($C92,院校录取信息表!$C:$CN,23,FALSE))</f>
        <v/>
      </c>
      <c r="K92" s="47" t="str">
        <f>IF(ISERROR(VLOOKUP($C92,院校录取信息表!$C:$CN,5,FALSE)),"",VLOOKUP($C92,院校录取信息表!$C:$CN,5,FALSE))</f>
        <v/>
      </c>
      <c r="L92" s="43" t="str">
        <f>IF(ISERROR(VLOOKUP($C92,院校录取信息表!$C:$CN,8,FALSE)),"",VLOOKUP($C92,院校录取信息表!$C:$CN,8,FALSE))</f>
        <v/>
      </c>
      <c r="M92" s="43" t="str">
        <f>IF(ISERROR(VLOOKUP($C92,院校录取信息表!$C:$CN,9,FALSE)),"",VLOOKUP($C92,院校录取信息表!$C:$CN,9,FALSE))</f>
        <v/>
      </c>
      <c r="N92" s="43" t="str">
        <f>IF(ISERROR(VLOOKUP($C92,院校录取信息表!$C:$CN,10,FALSE)),"",VLOOKUP($C92,院校录取信息表!$C:$CN,10,FALSE))</f>
        <v/>
      </c>
      <c r="O92" s="54" t="str">
        <f>IF(ISERROR(VLOOKUP($C92,院校录取信息表!$C:$CN,11,FALSE)),"",VLOOKUP($C92,院校录取信息表!$C:$CN,11,FALSE))</f>
        <v/>
      </c>
      <c r="P92" s="54" t="str">
        <f>IF(ISERROR(VLOOKUP($C92,院校录取信息表!$C:$CN,12,FALSE)),"",VLOOKUP($C92,院校录取信息表!$C:$CN,12,FALSE))</f>
        <v/>
      </c>
      <c r="Q92" s="54" t="str">
        <f>IF(ISERROR(VLOOKUP($C92,院校录取信息表!$C:$CN,13,FALSE)),"",VLOOKUP($C92,院校录取信息表!$C:$CN,13,FALSE))</f>
        <v/>
      </c>
    </row>
    <row r="93" ht="20" customHeight="1" spans="1:17">
      <c r="A93" s="46"/>
      <c r="B93" s="44"/>
      <c r="C93" s="45">
        <v>90</v>
      </c>
      <c r="D93" s="43" t="str">
        <f>IF(ISERROR(VLOOKUP($C93,院校录取信息表!$C:$CN,3,FALSE)),"",VLOOKUP($C93,院校录取信息表!$C:$CN,3,FALSE))</f>
        <v/>
      </c>
      <c r="E93" s="43" t="str">
        <f>IF(ISERROR(VLOOKUP($C93,院校录取信息表!$C:$CN,4,FALSE)),"",VLOOKUP($C93,院校录取信息表!$C:$CN,4,FALSE))</f>
        <v/>
      </c>
      <c r="F93" s="43" t="str">
        <f>IF(ISERROR(VLOOKUP($C93,院校录取信息表!$C:$CN,16,FALSE)),"",VLOOKUP($C93,院校录取信息表!$C:$CN,16,FALSE))</f>
        <v/>
      </c>
      <c r="G93" s="47" t="str">
        <f>IF(ISERROR(VLOOKUP($C93,院校录取信息表!$C:$CN,17,FALSE)),"",VLOOKUP($C93,院校录取信息表!$C:$CN,17,FALSE))</f>
        <v/>
      </c>
      <c r="H93" s="47" t="str">
        <f>IF(ISERROR(VLOOKUP($C93,院校录取信息表!$C:$CN,21,FALSE)),"",VLOOKUP($C93,院校录取信息表!$C:$CN,21,FALSE))</f>
        <v/>
      </c>
      <c r="I93" s="47" t="str">
        <f>IF(ISERROR(VLOOKUP($C93,院校录取信息表!$C:$CN,18,FALSE)),"",VLOOKUP($C93,院校录取信息表!$C:$CN,18,FALSE))</f>
        <v/>
      </c>
      <c r="J93" s="51" t="str">
        <f>IF(ISERROR(VLOOKUP($C93,院校录取信息表!$C:$CN,23,FALSE)),"",VLOOKUP($C93,院校录取信息表!$C:$CN,23,FALSE))</f>
        <v/>
      </c>
      <c r="K93" s="47" t="str">
        <f>IF(ISERROR(VLOOKUP($C93,院校录取信息表!$C:$CN,5,FALSE)),"",VLOOKUP($C93,院校录取信息表!$C:$CN,5,FALSE))</f>
        <v/>
      </c>
      <c r="L93" s="43" t="str">
        <f>IF(ISERROR(VLOOKUP($C93,院校录取信息表!$C:$CN,8,FALSE)),"",VLOOKUP($C93,院校录取信息表!$C:$CN,8,FALSE))</f>
        <v/>
      </c>
      <c r="M93" s="43" t="str">
        <f>IF(ISERROR(VLOOKUP($C93,院校录取信息表!$C:$CN,9,FALSE)),"",VLOOKUP($C93,院校录取信息表!$C:$CN,9,FALSE))</f>
        <v/>
      </c>
      <c r="N93" s="43" t="str">
        <f>IF(ISERROR(VLOOKUP($C93,院校录取信息表!$C:$CN,10,FALSE)),"",VLOOKUP($C93,院校录取信息表!$C:$CN,10,FALSE))</f>
        <v/>
      </c>
      <c r="O93" s="54" t="str">
        <f>IF(ISERROR(VLOOKUP($C93,院校录取信息表!$C:$CN,11,FALSE)),"",VLOOKUP($C93,院校录取信息表!$C:$CN,11,FALSE))</f>
        <v/>
      </c>
      <c r="P93" s="54" t="str">
        <f>IF(ISERROR(VLOOKUP($C93,院校录取信息表!$C:$CN,12,FALSE)),"",VLOOKUP($C93,院校录取信息表!$C:$CN,12,FALSE))</f>
        <v/>
      </c>
      <c r="Q93" s="54" t="str">
        <f>IF(ISERROR(VLOOKUP($C93,院校录取信息表!$C:$CN,13,FALSE)),"",VLOOKUP($C93,院校录取信息表!$C:$CN,13,FALSE))</f>
        <v/>
      </c>
    </row>
    <row r="94" ht="20" customHeight="1" spans="1:17">
      <c r="A94" s="46"/>
      <c r="B94" s="44" t="s">
        <v>1059</v>
      </c>
      <c r="C94" s="45">
        <v>91</v>
      </c>
      <c r="D94" s="43" t="str">
        <f>IF(ISERROR(VLOOKUP($C94,院校录取信息表!$C:$CN,3,FALSE)),"",VLOOKUP($C94,院校录取信息表!$C:$CN,3,FALSE))</f>
        <v/>
      </c>
      <c r="E94" s="43" t="str">
        <f>IF(ISERROR(VLOOKUP($C94,院校录取信息表!$C:$CN,4,FALSE)),"",VLOOKUP($C94,院校录取信息表!$C:$CN,4,FALSE))</f>
        <v/>
      </c>
      <c r="F94" s="43" t="str">
        <f>IF(ISERROR(VLOOKUP($C94,院校录取信息表!$C:$CN,16,FALSE)),"",VLOOKUP($C94,院校录取信息表!$C:$CN,16,FALSE))</f>
        <v/>
      </c>
      <c r="G94" s="47" t="str">
        <f>IF(ISERROR(VLOOKUP($C94,院校录取信息表!$C:$CN,17,FALSE)),"",VLOOKUP($C94,院校录取信息表!$C:$CN,17,FALSE))</f>
        <v/>
      </c>
      <c r="H94" s="47" t="str">
        <f>IF(ISERROR(VLOOKUP($C94,院校录取信息表!$C:$CN,21,FALSE)),"",VLOOKUP($C94,院校录取信息表!$C:$CN,21,FALSE))</f>
        <v/>
      </c>
      <c r="I94" s="47" t="str">
        <f>IF(ISERROR(VLOOKUP($C94,院校录取信息表!$C:$CN,18,FALSE)),"",VLOOKUP($C94,院校录取信息表!$C:$CN,18,FALSE))</f>
        <v/>
      </c>
      <c r="J94" s="51" t="str">
        <f>IF(ISERROR(VLOOKUP($C94,院校录取信息表!$C:$CN,23,FALSE)),"",VLOOKUP($C94,院校录取信息表!$C:$CN,23,FALSE))</f>
        <v/>
      </c>
      <c r="K94" s="47" t="str">
        <f>IF(ISERROR(VLOOKUP($C94,院校录取信息表!$C:$CN,5,FALSE)),"",VLOOKUP($C94,院校录取信息表!$C:$CN,5,FALSE))</f>
        <v/>
      </c>
      <c r="L94" s="43" t="str">
        <f>IF(ISERROR(VLOOKUP($C94,院校录取信息表!$C:$CN,8,FALSE)),"",VLOOKUP($C94,院校录取信息表!$C:$CN,8,FALSE))</f>
        <v/>
      </c>
      <c r="M94" s="43" t="str">
        <f>IF(ISERROR(VLOOKUP($C94,院校录取信息表!$C:$CN,9,FALSE)),"",VLOOKUP($C94,院校录取信息表!$C:$CN,9,FALSE))</f>
        <v/>
      </c>
      <c r="N94" s="43" t="str">
        <f>IF(ISERROR(VLOOKUP($C94,院校录取信息表!$C:$CN,10,FALSE)),"",VLOOKUP($C94,院校录取信息表!$C:$CN,10,FALSE))</f>
        <v/>
      </c>
      <c r="O94" s="54" t="str">
        <f>IF(ISERROR(VLOOKUP($C94,院校录取信息表!$C:$CN,11,FALSE)),"",VLOOKUP($C94,院校录取信息表!$C:$CN,11,FALSE))</f>
        <v/>
      </c>
      <c r="P94" s="54" t="str">
        <f>IF(ISERROR(VLOOKUP($C94,院校录取信息表!$C:$CN,12,FALSE)),"",VLOOKUP($C94,院校录取信息表!$C:$CN,12,FALSE))</f>
        <v/>
      </c>
      <c r="Q94" s="54" t="str">
        <f>IF(ISERROR(VLOOKUP($C94,院校录取信息表!$C:$CN,13,FALSE)),"",VLOOKUP($C94,院校录取信息表!$C:$CN,13,FALSE))</f>
        <v/>
      </c>
    </row>
    <row r="95" ht="20" customHeight="1" spans="1:17">
      <c r="A95" s="46"/>
      <c r="B95" s="44"/>
      <c r="C95" s="45">
        <v>92</v>
      </c>
      <c r="D95" s="43" t="str">
        <f>IF(ISERROR(VLOOKUP($C95,院校录取信息表!$C:$CN,3,FALSE)),"",VLOOKUP($C95,院校录取信息表!$C:$CN,3,FALSE))</f>
        <v/>
      </c>
      <c r="E95" s="43" t="str">
        <f>IF(ISERROR(VLOOKUP($C95,院校录取信息表!$C:$CN,4,FALSE)),"",VLOOKUP($C95,院校录取信息表!$C:$CN,4,FALSE))</f>
        <v/>
      </c>
      <c r="F95" s="43" t="str">
        <f>IF(ISERROR(VLOOKUP($C95,院校录取信息表!$C:$CN,16,FALSE)),"",VLOOKUP($C95,院校录取信息表!$C:$CN,16,FALSE))</f>
        <v/>
      </c>
      <c r="G95" s="47" t="str">
        <f>IF(ISERROR(VLOOKUP($C95,院校录取信息表!$C:$CN,17,FALSE)),"",VLOOKUP($C95,院校录取信息表!$C:$CN,17,FALSE))</f>
        <v/>
      </c>
      <c r="H95" s="47" t="str">
        <f>IF(ISERROR(VLOOKUP($C95,院校录取信息表!$C:$CN,21,FALSE)),"",VLOOKUP($C95,院校录取信息表!$C:$CN,21,FALSE))</f>
        <v/>
      </c>
      <c r="I95" s="47" t="str">
        <f>IF(ISERROR(VLOOKUP($C95,院校录取信息表!$C:$CN,18,FALSE)),"",VLOOKUP($C95,院校录取信息表!$C:$CN,18,FALSE))</f>
        <v/>
      </c>
      <c r="J95" s="51" t="str">
        <f>IF(ISERROR(VLOOKUP($C95,院校录取信息表!$C:$CN,23,FALSE)),"",VLOOKUP($C95,院校录取信息表!$C:$CN,23,FALSE))</f>
        <v/>
      </c>
      <c r="K95" s="47" t="str">
        <f>IF(ISERROR(VLOOKUP($C95,院校录取信息表!$C:$CN,5,FALSE)),"",VLOOKUP($C95,院校录取信息表!$C:$CN,5,FALSE))</f>
        <v/>
      </c>
      <c r="L95" s="43" t="str">
        <f>IF(ISERROR(VLOOKUP($C95,院校录取信息表!$C:$CN,8,FALSE)),"",VLOOKUP($C95,院校录取信息表!$C:$CN,8,FALSE))</f>
        <v/>
      </c>
      <c r="M95" s="43" t="str">
        <f>IF(ISERROR(VLOOKUP($C95,院校录取信息表!$C:$CN,9,FALSE)),"",VLOOKUP($C95,院校录取信息表!$C:$CN,9,FALSE))</f>
        <v/>
      </c>
      <c r="N95" s="43" t="str">
        <f>IF(ISERROR(VLOOKUP($C95,院校录取信息表!$C:$CN,10,FALSE)),"",VLOOKUP($C95,院校录取信息表!$C:$CN,10,FALSE))</f>
        <v/>
      </c>
      <c r="O95" s="54" t="str">
        <f>IF(ISERROR(VLOOKUP($C95,院校录取信息表!$C:$CN,11,FALSE)),"",VLOOKUP($C95,院校录取信息表!$C:$CN,11,FALSE))</f>
        <v/>
      </c>
      <c r="P95" s="54" t="str">
        <f>IF(ISERROR(VLOOKUP($C95,院校录取信息表!$C:$CN,12,FALSE)),"",VLOOKUP($C95,院校录取信息表!$C:$CN,12,FALSE))</f>
        <v/>
      </c>
      <c r="Q95" s="54" t="str">
        <f>IF(ISERROR(VLOOKUP($C95,院校录取信息表!$C:$CN,13,FALSE)),"",VLOOKUP($C95,院校录取信息表!$C:$CN,13,FALSE))</f>
        <v/>
      </c>
    </row>
    <row r="96" ht="20" customHeight="1" spans="1:17">
      <c r="A96" s="46"/>
      <c r="B96" s="44"/>
      <c r="C96" s="45">
        <v>93</v>
      </c>
      <c r="D96" s="43" t="str">
        <f>IF(ISERROR(VLOOKUP($C96,院校录取信息表!$C:$CN,3,FALSE)),"",VLOOKUP($C96,院校录取信息表!$C:$CN,3,FALSE))</f>
        <v/>
      </c>
      <c r="E96" s="43" t="str">
        <f>IF(ISERROR(VLOOKUP($C96,院校录取信息表!$C:$CN,4,FALSE)),"",VLOOKUP($C96,院校录取信息表!$C:$CN,4,FALSE))</f>
        <v/>
      </c>
      <c r="F96" s="43" t="str">
        <f>IF(ISERROR(VLOOKUP($C96,院校录取信息表!$C:$CN,16,FALSE)),"",VLOOKUP($C96,院校录取信息表!$C:$CN,16,FALSE))</f>
        <v/>
      </c>
      <c r="G96" s="47" t="str">
        <f>IF(ISERROR(VLOOKUP($C96,院校录取信息表!$C:$CN,17,FALSE)),"",VLOOKUP($C96,院校录取信息表!$C:$CN,17,FALSE))</f>
        <v/>
      </c>
      <c r="H96" s="47" t="str">
        <f>IF(ISERROR(VLOOKUP($C96,院校录取信息表!$C:$CN,21,FALSE)),"",VLOOKUP($C96,院校录取信息表!$C:$CN,21,FALSE))</f>
        <v/>
      </c>
      <c r="I96" s="47" t="str">
        <f>IF(ISERROR(VLOOKUP($C96,院校录取信息表!$C:$CN,18,FALSE)),"",VLOOKUP($C96,院校录取信息表!$C:$CN,18,FALSE))</f>
        <v/>
      </c>
      <c r="J96" s="51" t="str">
        <f>IF(ISERROR(VLOOKUP($C96,院校录取信息表!$C:$CN,23,FALSE)),"",VLOOKUP($C96,院校录取信息表!$C:$CN,23,FALSE))</f>
        <v/>
      </c>
      <c r="K96" s="47" t="str">
        <f>IF(ISERROR(VLOOKUP($C96,院校录取信息表!$C:$CN,5,FALSE)),"",VLOOKUP($C96,院校录取信息表!$C:$CN,5,FALSE))</f>
        <v/>
      </c>
      <c r="L96" s="43" t="str">
        <f>IF(ISERROR(VLOOKUP($C96,院校录取信息表!$C:$CN,8,FALSE)),"",VLOOKUP($C96,院校录取信息表!$C:$CN,8,FALSE))</f>
        <v/>
      </c>
      <c r="M96" s="43" t="str">
        <f>IF(ISERROR(VLOOKUP($C96,院校录取信息表!$C:$CN,9,FALSE)),"",VLOOKUP($C96,院校录取信息表!$C:$CN,9,FALSE))</f>
        <v/>
      </c>
      <c r="N96" s="43" t="str">
        <f>IF(ISERROR(VLOOKUP($C96,院校录取信息表!$C:$CN,10,FALSE)),"",VLOOKUP($C96,院校录取信息表!$C:$CN,10,FALSE))</f>
        <v/>
      </c>
      <c r="O96" s="54" t="str">
        <f>IF(ISERROR(VLOOKUP($C96,院校录取信息表!$C:$CN,11,FALSE)),"",VLOOKUP($C96,院校录取信息表!$C:$CN,11,FALSE))</f>
        <v/>
      </c>
      <c r="P96" s="54" t="str">
        <f>IF(ISERROR(VLOOKUP($C96,院校录取信息表!$C:$CN,12,FALSE)),"",VLOOKUP($C96,院校录取信息表!$C:$CN,12,FALSE))</f>
        <v/>
      </c>
      <c r="Q96" s="54" t="str">
        <f>IF(ISERROR(VLOOKUP($C96,院校录取信息表!$C:$CN,13,FALSE)),"",VLOOKUP($C96,院校录取信息表!$C:$CN,13,FALSE))</f>
        <v/>
      </c>
    </row>
    <row r="97" ht="20" customHeight="1" spans="1:17">
      <c r="A97" s="46"/>
      <c r="B97" s="44"/>
      <c r="C97" s="45">
        <v>94</v>
      </c>
      <c r="D97" s="43" t="str">
        <f>IF(ISERROR(VLOOKUP($C97,院校录取信息表!$C:$CN,3,FALSE)),"",VLOOKUP($C97,院校录取信息表!$C:$CN,3,FALSE))</f>
        <v/>
      </c>
      <c r="E97" s="43" t="str">
        <f>IF(ISERROR(VLOOKUP($C97,院校录取信息表!$C:$CN,4,FALSE)),"",VLOOKUP($C97,院校录取信息表!$C:$CN,4,FALSE))</f>
        <v/>
      </c>
      <c r="F97" s="43" t="str">
        <f>IF(ISERROR(VLOOKUP($C97,院校录取信息表!$C:$CN,16,FALSE)),"",VLOOKUP($C97,院校录取信息表!$C:$CN,16,FALSE))</f>
        <v/>
      </c>
      <c r="G97" s="47" t="str">
        <f>IF(ISERROR(VLOOKUP($C97,院校录取信息表!$C:$CN,17,FALSE)),"",VLOOKUP($C97,院校录取信息表!$C:$CN,17,FALSE))</f>
        <v/>
      </c>
      <c r="H97" s="47" t="str">
        <f>IF(ISERROR(VLOOKUP($C97,院校录取信息表!$C:$CN,21,FALSE)),"",VLOOKUP($C97,院校录取信息表!$C:$CN,21,FALSE))</f>
        <v/>
      </c>
      <c r="I97" s="47" t="str">
        <f>IF(ISERROR(VLOOKUP($C97,院校录取信息表!$C:$CN,18,FALSE)),"",VLOOKUP($C97,院校录取信息表!$C:$CN,18,FALSE))</f>
        <v/>
      </c>
      <c r="J97" s="51" t="str">
        <f>IF(ISERROR(VLOOKUP($C97,院校录取信息表!$C:$CN,23,FALSE)),"",VLOOKUP($C97,院校录取信息表!$C:$CN,23,FALSE))</f>
        <v/>
      </c>
      <c r="K97" s="47" t="str">
        <f>IF(ISERROR(VLOOKUP($C97,院校录取信息表!$C:$CN,5,FALSE)),"",VLOOKUP($C97,院校录取信息表!$C:$CN,5,FALSE))</f>
        <v/>
      </c>
      <c r="L97" s="43" t="str">
        <f>IF(ISERROR(VLOOKUP($C97,院校录取信息表!$C:$CN,8,FALSE)),"",VLOOKUP($C97,院校录取信息表!$C:$CN,8,FALSE))</f>
        <v/>
      </c>
      <c r="M97" s="43" t="str">
        <f>IF(ISERROR(VLOOKUP($C97,院校录取信息表!$C:$CN,9,FALSE)),"",VLOOKUP($C97,院校录取信息表!$C:$CN,9,FALSE))</f>
        <v/>
      </c>
      <c r="N97" s="43" t="str">
        <f>IF(ISERROR(VLOOKUP($C97,院校录取信息表!$C:$CN,10,FALSE)),"",VLOOKUP($C97,院校录取信息表!$C:$CN,10,FALSE))</f>
        <v/>
      </c>
      <c r="O97" s="54" t="str">
        <f>IF(ISERROR(VLOOKUP($C97,院校录取信息表!$C:$CN,11,FALSE)),"",VLOOKUP($C97,院校录取信息表!$C:$CN,11,FALSE))</f>
        <v/>
      </c>
      <c r="P97" s="54" t="str">
        <f>IF(ISERROR(VLOOKUP($C97,院校录取信息表!$C:$CN,12,FALSE)),"",VLOOKUP($C97,院校录取信息表!$C:$CN,12,FALSE))</f>
        <v/>
      </c>
      <c r="Q97" s="54" t="str">
        <f>IF(ISERROR(VLOOKUP($C97,院校录取信息表!$C:$CN,13,FALSE)),"",VLOOKUP($C97,院校录取信息表!$C:$CN,13,FALSE))</f>
        <v/>
      </c>
    </row>
    <row r="98" ht="20" customHeight="1" spans="1:17">
      <c r="A98" s="46"/>
      <c r="B98" s="44"/>
      <c r="C98" s="45">
        <v>95</v>
      </c>
      <c r="D98" s="43" t="str">
        <f>IF(ISERROR(VLOOKUP($C98,院校录取信息表!$C:$CN,3,FALSE)),"",VLOOKUP($C98,院校录取信息表!$C:$CN,3,FALSE))</f>
        <v/>
      </c>
      <c r="E98" s="43" t="str">
        <f>IF(ISERROR(VLOOKUP($C98,院校录取信息表!$C:$CN,4,FALSE)),"",VLOOKUP($C98,院校录取信息表!$C:$CN,4,FALSE))</f>
        <v/>
      </c>
      <c r="F98" s="43" t="str">
        <f>IF(ISERROR(VLOOKUP($C98,院校录取信息表!$C:$CN,16,FALSE)),"",VLOOKUP($C98,院校录取信息表!$C:$CN,16,FALSE))</f>
        <v/>
      </c>
      <c r="G98" s="47" t="str">
        <f>IF(ISERROR(VLOOKUP($C98,院校录取信息表!$C:$CN,17,FALSE)),"",VLOOKUP($C98,院校录取信息表!$C:$CN,17,FALSE))</f>
        <v/>
      </c>
      <c r="H98" s="47" t="str">
        <f>IF(ISERROR(VLOOKUP($C98,院校录取信息表!$C:$CN,21,FALSE)),"",VLOOKUP($C98,院校录取信息表!$C:$CN,21,FALSE))</f>
        <v/>
      </c>
      <c r="I98" s="47" t="str">
        <f>IF(ISERROR(VLOOKUP($C98,院校录取信息表!$C:$CN,18,FALSE)),"",VLOOKUP($C98,院校录取信息表!$C:$CN,18,FALSE))</f>
        <v/>
      </c>
      <c r="J98" s="51" t="str">
        <f>IF(ISERROR(VLOOKUP($C98,院校录取信息表!$C:$CN,23,FALSE)),"",VLOOKUP($C98,院校录取信息表!$C:$CN,23,FALSE))</f>
        <v/>
      </c>
      <c r="K98" s="47" t="str">
        <f>IF(ISERROR(VLOOKUP($C98,院校录取信息表!$C:$CN,5,FALSE)),"",VLOOKUP($C98,院校录取信息表!$C:$CN,5,FALSE))</f>
        <v/>
      </c>
      <c r="L98" s="43" t="str">
        <f>IF(ISERROR(VLOOKUP($C98,院校录取信息表!$C:$CN,8,FALSE)),"",VLOOKUP($C98,院校录取信息表!$C:$CN,8,FALSE))</f>
        <v/>
      </c>
      <c r="M98" s="43" t="str">
        <f>IF(ISERROR(VLOOKUP($C98,院校录取信息表!$C:$CN,9,FALSE)),"",VLOOKUP($C98,院校录取信息表!$C:$CN,9,FALSE))</f>
        <v/>
      </c>
      <c r="N98" s="43" t="str">
        <f>IF(ISERROR(VLOOKUP($C98,院校录取信息表!$C:$CN,10,FALSE)),"",VLOOKUP($C98,院校录取信息表!$C:$CN,10,FALSE))</f>
        <v/>
      </c>
      <c r="O98" s="54" t="str">
        <f>IF(ISERROR(VLOOKUP($C98,院校录取信息表!$C:$CN,11,FALSE)),"",VLOOKUP($C98,院校录取信息表!$C:$CN,11,FALSE))</f>
        <v/>
      </c>
      <c r="P98" s="54" t="str">
        <f>IF(ISERROR(VLOOKUP($C98,院校录取信息表!$C:$CN,12,FALSE)),"",VLOOKUP($C98,院校录取信息表!$C:$CN,12,FALSE))</f>
        <v/>
      </c>
      <c r="Q98" s="54" t="str">
        <f>IF(ISERROR(VLOOKUP($C98,院校录取信息表!$C:$CN,13,FALSE)),"",VLOOKUP($C98,院校录取信息表!$C:$CN,13,FALSE))</f>
        <v/>
      </c>
    </row>
    <row r="99" ht="20" customHeight="1" spans="1:17">
      <c r="A99" s="46"/>
      <c r="B99" s="44"/>
      <c r="C99" s="45">
        <v>96</v>
      </c>
      <c r="D99" s="43" t="str">
        <f>IF(ISERROR(VLOOKUP($C99,院校录取信息表!$C:$CN,3,FALSE)),"",VLOOKUP($C99,院校录取信息表!$C:$CN,3,FALSE))</f>
        <v/>
      </c>
      <c r="E99" s="43" t="str">
        <f>IF(ISERROR(VLOOKUP($C99,院校录取信息表!$C:$CN,4,FALSE)),"",VLOOKUP($C99,院校录取信息表!$C:$CN,4,FALSE))</f>
        <v/>
      </c>
      <c r="F99" s="43" t="str">
        <f>IF(ISERROR(VLOOKUP($C99,院校录取信息表!$C:$CN,16,FALSE)),"",VLOOKUP($C99,院校录取信息表!$C:$CN,16,FALSE))</f>
        <v/>
      </c>
      <c r="G99" s="47" t="str">
        <f>IF(ISERROR(VLOOKUP($C99,院校录取信息表!$C:$CN,17,FALSE)),"",VLOOKUP($C99,院校录取信息表!$C:$CN,17,FALSE))</f>
        <v/>
      </c>
      <c r="H99" s="47" t="str">
        <f>IF(ISERROR(VLOOKUP($C99,院校录取信息表!$C:$CN,21,FALSE)),"",VLOOKUP($C99,院校录取信息表!$C:$CN,21,FALSE))</f>
        <v/>
      </c>
      <c r="I99" s="47" t="str">
        <f>IF(ISERROR(VLOOKUP($C99,院校录取信息表!$C:$CN,18,FALSE)),"",VLOOKUP($C99,院校录取信息表!$C:$CN,18,FALSE))</f>
        <v/>
      </c>
      <c r="J99" s="51" t="str">
        <f>IF(ISERROR(VLOOKUP($C99,院校录取信息表!$C:$CN,23,FALSE)),"",VLOOKUP($C99,院校录取信息表!$C:$CN,23,FALSE))</f>
        <v/>
      </c>
      <c r="K99" s="47" t="str">
        <f>IF(ISERROR(VLOOKUP($C99,院校录取信息表!$C:$CN,5,FALSE)),"",VLOOKUP($C99,院校录取信息表!$C:$CN,5,FALSE))</f>
        <v/>
      </c>
      <c r="L99" s="43" t="str">
        <f>IF(ISERROR(VLOOKUP($C99,院校录取信息表!$C:$CN,8,FALSE)),"",VLOOKUP($C99,院校录取信息表!$C:$CN,8,FALSE))</f>
        <v/>
      </c>
      <c r="M99" s="43" t="str">
        <f>IF(ISERROR(VLOOKUP($C99,院校录取信息表!$C:$CN,9,FALSE)),"",VLOOKUP($C99,院校录取信息表!$C:$CN,9,FALSE))</f>
        <v/>
      </c>
      <c r="N99" s="43" t="str">
        <f>IF(ISERROR(VLOOKUP($C99,院校录取信息表!$C:$CN,10,FALSE)),"",VLOOKUP($C99,院校录取信息表!$C:$CN,10,FALSE))</f>
        <v/>
      </c>
      <c r="O99" s="54" t="str">
        <f>IF(ISERROR(VLOOKUP($C99,院校录取信息表!$C:$CN,11,FALSE)),"",VLOOKUP($C99,院校录取信息表!$C:$CN,11,FALSE))</f>
        <v/>
      </c>
      <c r="P99" s="54" t="str">
        <f>IF(ISERROR(VLOOKUP($C99,院校录取信息表!$C:$CN,12,FALSE)),"",VLOOKUP($C99,院校录取信息表!$C:$CN,12,FALSE))</f>
        <v/>
      </c>
      <c r="Q99" s="54" t="str">
        <f>IF(ISERROR(VLOOKUP($C99,院校录取信息表!$C:$CN,13,FALSE)),"",VLOOKUP($C99,院校录取信息表!$C:$CN,13,FALSE))</f>
        <v/>
      </c>
    </row>
    <row r="100" ht="20" customHeight="1" spans="1:17">
      <c r="A100" s="46"/>
      <c r="B100" s="44" t="s">
        <v>1060</v>
      </c>
      <c r="C100" s="45">
        <v>97</v>
      </c>
      <c r="D100" s="43" t="str">
        <f>IF(ISERROR(VLOOKUP($C100,院校录取信息表!$C:$CN,3,FALSE)),"",VLOOKUP($C100,院校录取信息表!$C:$CN,3,FALSE))</f>
        <v/>
      </c>
      <c r="E100" s="43" t="str">
        <f>IF(ISERROR(VLOOKUP($C100,院校录取信息表!$C:$CN,4,FALSE)),"",VLOOKUP($C100,院校录取信息表!$C:$CN,4,FALSE))</f>
        <v/>
      </c>
      <c r="F100" s="43" t="str">
        <f>IF(ISERROR(VLOOKUP($C100,院校录取信息表!$C:$CN,16,FALSE)),"",VLOOKUP($C100,院校录取信息表!$C:$CN,16,FALSE))</f>
        <v/>
      </c>
      <c r="G100" s="47" t="str">
        <f>IF(ISERROR(VLOOKUP($C100,院校录取信息表!$C:$CN,17,FALSE)),"",VLOOKUP($C100,院校录取信息表!$C:$CN,17,FALSE))</f>
        <v/>
      </c>
      <c r="H100" s="47" t="str">
        <f>IF(ISERROR(VLOOKUP($C100,院校录取信息表!$C:$CN,21,FALSE)),"",VLOOKUP($C100,院校录取信息表!$C:$CN,21,FALSE))</f>
        <v/>
      </c>
      <c r="I100" s="47" t="str">
        <f>IF(ISERROR(VLOOKUP($C100,院校录取信息表!$C:$CN,18,FALSE)),"",VLOOKUP($C100,院校录取信息表!$C:$CN,18,FALSE))</f>
        <v/>
      </c>
      <c r="J100" s="51" t="str">
        <f>IF(ISERROR(VLOOKUP($C100,院校录取信息表!$C:$CN,23,FALSE)),"",VLOOKUP($C100,院校录取信息表!$C:$CN,23,FALSE))</f>
        <v/>
      </c>
      <c r="K100" s="47" t="str">
        <f>IF(ISERROR(VLOOKUP($C100,院校录取信息表!$C:$CN,5,FALSE)),"",VLOOKUP($C100,院校录取信息表!$C:$CN,5,FALSE))</f>
        <v/>
      </c>
      <c r="L100" s="43" t="str">
        <f>IF(ISERROR(VLOOKUP($C100,院校录取信息表!$C:$CN,8,FALSE)),"",VLOOKUP($C100,院校录取信息表!$C:$CN,8,FALSE))</f>
        <v/>
      </c>
      <c r="M100" s="43" t="str">
        <f>IF(ISERROR(VLOOKUP($C100,院校录取信息表!$C:$CN,9,FALSE)),"",VLOOKUP($C100,院校录取信息表!$C:$CN,9,FALSE))</f>
        <v/>
      </c>
      <c r="N100" s="43" t="str">
        <f>IF(ISERROR(VLOOKUP($C100,院校录取信息表!$C:$CN,10,FALSE)),"",VLOOKUP($C100,院校录取信息表!$C:$CN,10,FALSE))</f>
        <v/>
      </c>
      <c r="O100" s="54" t="str">
        <f>IF(ISERROR(VLOOKUP($C100,院校录取信息表!$C:$CN,11,FALSE)),"",VLOOKUP($C100,院校录取信息表!$C:$CN,11,FALSE))</f>
        <v/>
      </c>
      <c r="P100" s="54" t="str">
        <f>IF(ISERROR(VLOOKUP($C100,院校录取信息表!$C:$CN,12,FALSE)),"",VLOOKUP($C100,院校录取信息表!$C:$CN,12,FALSE))</f>
        <v/>
      </c>
      <c r="Q100" s="54" t="str">
        <f>IF(ISERROR(VLOOKUP($C100,院校录取信息表!$C:$CN,13,FALSE)),"",VLOOKUP($C100,院校录取信息表!$C:$CN,13,FALSE))</f>
        <v/>
      </c>
    </row>
    <row r="101" ht="20" customHeight="1" spans="1:17">
      <c r="A101" s="46"/>
      <c r="B101" s="44"/>
      <c r="C101" s="45">
        <v>98</v>
      </c>
      <c r="D101" s="43" t="str">
        <f>IF(ISERROR(VLOOKUP($C101,院校录取信息表!$C:$CN,3,FALSE)),"",VLOOKUP($C101,院校录取信息表!$C:$CN,3,FALSE))</f>
        <v/>
      </c>
      <c r="E101" s="43" t="str">
        <f>IF(ISERROR(VLOOKUP($C101,院校录取信息表!$C:$CN,4,FALSE)),"",VLOOKUP($C101,院校录取信息表!$C:$CN,4,FALSE))</f>
        <v/>
      </c>
      <c r="F101" s="43" t="str">
        <f>IF(ISERROR(VLOOKUP($C101,院校录取信息表!$C:$CN,16,FALSE)),"",VLOOKUP($C101,院校录取信息表!$C:$CN,16,FALSE))</f>
        <v/>
      </c>
      <c r="G101" s="47" t="str">
        <f>IF(ISERROR(VLOOKUP($C101,院校录取信息表!$C:$CN,17,FALSE)),"",VLOOKUP($C101,院校录取信息表!$C:$CN,17,FALSE))</f>
        <v/>
      </c>
      <c r="H101" s="47" t="str">
        <f>IF(ISERROR(VLOOKUP($C101,院校录取信息表!$C:$CN,21,FALSE)),"",VLOOKUP($C101,院校录取信息表!$C:$CN,21,FALSE))</f>
        <v/>
      </c>
      <c r="I101" s="47" t="str">
        <f>IF(ISERROR(VLOOKUP($C101,院校录取信息表!$C:$CN,18,FALSE)),"",VLOOKUP($C101,院校录取信息表!$C:$CN,18,FALSE))</f>
        <v/>
      </c>
      <c r="J101" s="51" t="str">
        <f>IF(ISERROR(VLOOKUP($C101,院校录取信息表!$C:$CN,23,FALSE)),"",VLOOKUP($C101,院校录取信息表!$C:$CN,23,FALSE))</f>
        <v/>
      </c>
      <c r="K101" s="47" t="str">
        <f>IF(ISERROR(VLOOKUP($C101,院校录取信息表!$C:$CN,5,FALSE)),"",VLOOKUP($C101,院校录取信息表!$C:$CN,5,FALSE))</f>
        <v/>
      </c>
      <c r="L101" s="43" t="str">
        <f>IF(ISERROR(VLOOKUP($C101,院校录取信息表!$C:$CN,8,FALSE)),"",VLOOKUP($C101,院校录取信息表!$C:$CN,8,FALSE))</f>
        <v/>
      </c>
      <c r="M101" s="43" t="str">
        <f>IF(ISERROR(VLOOKUP($C101,院校录取信息表!$C:$CN,9,FALSE)),"",VLOOKUP($C101,院校录取信息表!$C:$CN,9,FALSE))</f>
        <v/>
      </c>
      <c r="N101" s="43" t="str">
        <f>IF(ISERROR(VLOOKUP($C101,院校录取信息表!$C:$CN,10,FALSE)),"",VLOOKUP($C101,院校录取信息表!$C:$CN,10,FALSE))</f>
        <v/>
      </c>
      <c r="O101" s="54" t="str">
        <f>IF(ISERROR(VLOOKUP($C101,院校录取信息表!$C:$CN,11,FALSE)),"",VLOOKUP($C101,院校录取信息表!$C:$CN,11,FALSE))</f>
        <v/>
      </c>
      <c r="P101" s="54" t="str">
        <f>IF(ISERROR(VLOOKUP($C101,院校录取信息表!$C:$CN,12,FALSE)),"",VLOOKUP($C101,院校录取信息表!$C:$CN,12,FALSE))</f>
        <v/>
      </c>
      <c r="Q101" s="54" t="str">
        <f>IF(ISERROR(VLOOKUP($C101,院校录取信息表!$C:$CN,13,FALSE)),"",VLOOKUP($C101,院校录取信息表!$C:$CN,13,FALSE))</f>
        <v/>
      </c>
    </row>
    <row r="102" ht="20" customHeight="1" spans="1:17">
      <c r="A102" s="46"/>
      <c r="B102" s="44"/>
      <c r="C102" s="45">
        <v>99</v>
      </c>
      <c r="D102" s="43" t="str">
        <f>IF(ISERROR(VLOOKUP($C102,院校录取信息表!$C:$CN,3,FALSE)),"",VLOOKUP($C102,院校录取信息表!$C:$CN,3,FALSE))</f>
        <v/>
      </c>
      <c r="E102" s="43" t="str">
        <f>IF(ISERROR(VLOOKUP($C102,院校录取信息表!$C:$CN,4,FALSE)),"",VLOOKUP($C102,院校录取信息表!$C:$CN,4,FALSE))</f>
        <v/>
      </c>
      <c r="F102" s="43" t="str">
        <f>IF(ISERROR(VLOOKUP($C102,院校录取信息表!$C:$CN,16,FALSE)),"",VLOOKUP($C102,院校录取信息表!$C:$CN,16,FALSE))</f>
        <v/>
      </c>
      <c r="G102" s="47" t="str">
        <f>IF(ISERROR(VLOOKUP($C102,院校录取信息表!$C:$CN,17,FALSE)),"",VLOOKUP($C102,院校录取信息表!$C:$CN,17,FALSE))</f>
        <v/>
      </c>
      <c r="H102" s="47" t="str">
        <f>IF(ISERROR(VLOOKUP($C102,院校录取信息表!$C:$CN,21,FALSE)),"",VLOOKUP($C102,院校录取信息表!$C:$CN,21,FALSE))</f>
        <v/>
      </c>
      <c r="I102" s="47" t="str">
        <f>IF(ISERROR(VLOOKUP($C102,院校录取信息表!$C:$CN,18,FALSE)),"",VLOOKUP($C102,院校录取信息表!$C:$CN,18,FALSE))</f>
        <v/>
      </c>
      <c r="J102" s="51" t="str">
        <f>IF(ISERROR(VLOOKUP($C102,院校录取信息表!$C:$CN,23,FALSE)),"",VLOOKUP($C102,院校录取信息表!$C:$CN,23,FALSE))</f>
        <v/>
      </c>
      <c r="K102" s="47" t="str">
        <f>IF(ISERROR(VLOOKUP($C102,院校录取信息表!$C:$CN,5,FALSE)),"",VLOOKUP($C102,院校录取信息表!$C:$CN,5,FALSE))</f>
        <v/>
      </c>
      <c r="L102" s="43" t="str">
        <f>IF(ISERROR(VLOOKUP($C102,院校录取信息表!$C:$CN,8,FALSE)),"",VLOOKUP($C102,院校录取信息表!$C:$CN,8,FALSE))</f>
        <v/>
      </c>
      <c r="M102" s="43" t="str">
        <f>IF(ISERROR(VLOOKUP($C102,院校录取信息表!$C:$CN,9,FALSE)),"",VLOOKUP($C102,院校录取信息表!$C:$CN,9,FALSE))</f>
        <v/>
      </c>
      <c r="N102" s="43" t="str">
        <f>IF(ISERROR(VLOOKUP($C102,院校录取信息表!$C:$CN,10,FALSE)),"",VLOOKUP($C102,院校录取信息表!$C:$CN,10,FALSE))</f>
        <v/>
      </c>
      <c r="O102" s="54" t="str">
        <f>IF(ISERROR(VLOOKUP($C102,院校录取信息表!$C:$CN,11,FALSE)),"",VLOOKUP($C102,院校录取信息表!$C:$CN,11,FALSE))</f>
        <v/>
      </c>
      <c r="P102" s="54" t="str">
        <f>IF(ISERROR(VLOOKUP($C102,院校录取信息表!$C:$CN,12,FALSE)),"",VLOOKUP($C102,院校录取信息表!$C:$CN,12,FALSE))</f>
        <v/>
      </c>
      <c r="Q102" s="54" t="str">
        <f>IF(ISERROR(VLOOKUP($C102,院校录取信息表!$C:$CN,13,FALSE)),"",VLOOKUP($C102,院校录取信息表!$C:$CN,13,FALSE))</f>
        <v/>
      </c>
    </row>
    <row r="103" ht="20" customHeight="1" spans="1:17">
      <c r="A103" s="46"/>
      <c r="B103" s="44"/>
      <c r="C103" s="45">
        <v>100</v>
      </c>
      <c r="D103" s="43" t="str">
        <f>IF(ISERROR(VLOOKUP($C103,院校录取信息表!$C:$CN,3,FALSE)),"",VLOOKUP($C103,院校录取信息表!$C:$CN,3,FALSE))</f>
        <v/>
      </c>
      <c r="E103" s="43" t="str">
        <f>IF(ISERROR(VLOOKUP($C103,院校录取信息表!$C:$CN,4,FALSE)),"",VLOOKUP($C103,院校录取信息表!$C:$CN,4,FALSE))</f>
        <v/>
      </c>
      <c r="F103" s="43" t="str">
        <f>IF(ISERROR(VLOOKUP($C103,院校录取信息表!$C:$CN,16,FALSE)),"",VLOOKUP($C103,院校录取信息表!$C:$CN,16,FALSE))</f>
        <v/>
      </c>
      <c r="G103" s="47" t="str">
        <f>IF(ISERROR(VLOOKUP($C103,院校录取信息表!$C:$CN,17,FALSE)),"",VLOOKUP($C103,院校录取信息表!$C:$CN,17,FALSE))</f>
        <v/>
      </c>
      <c r="H103" s="47" t="str">
        <f>IF(ISERROR(VLOOKUP($C103,院校录取信息表!$C:$CN,21,FALSE)),"",VLOOKUP($C103,院校录取信息表!$C:$CN,21,FALSE))</f>
        <v/>
      </c>
      <c r="I103" s="47" t="str">
        <f>IF(ISERROR(VLOOKUP($C103,院校录取信息表!$C:$CN,18,FALSE)),"",VLOOKUP($C103,院校录取信息表!$C:$CN,18,FALSE))</f>
        <v/>
      </c>
      <c r="J103" s="51" t="str">
        <f>IF(ISERROR(VLOOKUP($C103,院校录取信息表!$C:$CN,23,FALSE)),"",VLOOKUP($C103,院校录取信息表!$C:$CN,23,FALSE))</f>
        <v/>
      </c>
      <c r="K103" s="47" t="str">
        <f>IF(ISERROR(VLOOKUP($C103,院校录取信息表!$C:$CN,5,FALSE)),"",VLOOKUP($C103,院校录取信息表!$C:$CN,5,FALSE))</f>
        <v/>
      </c>
      <c r="L103" s="43" t="str">
        <f>IF(ISERROR(VLOOKUP($C103,院校录取信息表!$C:$CN,8,FALSE)),"",VLOOKUP($C103,院校录取信息表!$C:$CN,8,FALSE))</f>
        <v/>
      </c>
      <c r="M103" s="43" t="str">
        <f>IF(ISERROR(VLOOKUP($C103,院校录取信息表!$C:$CN,9,FALSE)),"",VLOOKUP($C103,院校录取信息表!$C:$CN,9,FALSE))</f>
        <v/>
      </c>
      <c r="N103" s="43" t="str">
        <f>IF(ISERROR(VLOOKUP($C103,院校录取信息表!$C:$CN,10,FALSE)),"",VLOOKUP($C103,院校录取信息表!$C:$CN,10,FALSE))</f>
        <v/>
      </c>
      <c r="O103" s="54" t="str">
        <f>IF(ISERROR(VLOOKUP($C103,院校录取信息表!$C:$CN,11,FALSE)),"",VLOOKUP($C103,院校录取信息表!$C:$CN,11,FALSE))</f>
        <v/>
      </c>
      <c r="P103" s="54" t="str">
        <f>IF(ISERROR(VLOOKUP($C103,院校录取信息表!$C:$CN,12,FALSE)),"",VLOOKUP($C103,院校录取信息表!$C:$CN,12,FALSE))</f>
        <v/>
      </c>
      <c r="Q103" s="54" t="str">
        <f>IF(ISERROR(VLOOKUP($C103,院校录取信息表!$C:$CN,13,FALSE)),"",VLOOKUP($C103,院校录取信息表!$C:$CN,13,FALSE))</f>
        <v/>
      </c>
    </row>
    <row r="104" ht="20" customHeight="1" spans="1:17">
      <c r="A104" s="46"/>
      <c r="B104" s="44"/>
      <c r="C104" s="45">
        <v>101</v>
      </c>
      <c r="D104" s="43" t="str">
        <f>IF(ISERROR(VLOOKUP($C104,院校录取信息表!$C:$CN,3,FALSE)),"",VLOOKUP($C104,院校录取信息表!$C:$CN,3,FALSE))</f>
        <v/>
      </c>
      <c r="E104" s="43" t="str">
        <f>IF(ISERROR(VLOOKUP($C104,院校录取信息表!$C:$CN,4,FALSE)),"",VLOOKUP($C104,院校录取信息表!$C:$CN,4,FALSE))</f>
        <v/>
      </c>
      <c r="F104" s="43" t="str">
        <f>IF(ISERROR(VLOOKUP($C104,院校录取信息表!$C:$CN,16,FALSE)),"",VLOOKUP($C104,院校录取信息表!$C:$CN,16,FALSE))</f>
        <v/>
      </c>
      <c r="G104" s="47" t="str">
        <f>IF(ISERROR(VLOOKUP($C104,院校录取信息表!$C:$CN,17,FALSE)),"",VLOOKUP($C104,院校录取信息表!$C:$CN,17,FALSE))</f>
        <v/>
      </c>
      <c r="H104" s="47" t="str">
        <f>IF(ISERROR(VLOOKUP($C104,院校录取信息表!$C:$CN,21,FALSE)),"",VLOOKUP($C104,院校录取信息表!$C:$CN,21,FALSE))</f>
        <v/>
      </c>
      <c r="I104" s="47" t="str">
        <f>IF(ISERROR(VLOOKUP($C104,院校录取信息表!$C:$CN,18,FALSE)),"",VLOOKUP($C104,院校录取信息表!$C:$CN,18,FALSE))</f>
        <v/>
      </c>
      <c r="J104" s="51" t="str">
        <f>IF(ISERROR(VLOOKUP($C104,院校录取信息表!$C:$CN,23,FALSE)),"",VLOOKUP($C104,院校录取信息表!$C:$CN,23,FALSE))</f>
        <v/>
      </c>
      <c r="K104" s="47" t="str">
        <f>IF(ISERROR(VLOOKUP($C104,院校录取信息表!$C:$CN,5,FALSE)),"",VLOOKUP($C104,院校录取信息表!$C:$CN,5,FALSE))</f>
        <v/>
      </c>
      <c r="L104" s="43" t="str">
        <f>IF(ISERROR(VLOOKUP($C104,院校录取信息表!$C:$CN,8,FALSE)),"",VLOOKUP($C104,院校录取信息表!$C:$CN,8,FALSE))</f>
        <v/>
      </c>
      <c r="M104" s="43" t="str">
        <f>IF(ISERROR(VLOOKUP($C104,院校录取信息表!$C:$CN,9,FALSE)),"",VLOOKUP($C104,院校录取信息表!$C:$CN,9,FALSE))</f>
        <v/>
      </c>
      <c r="N104" s="43" t="str">
        <f>IF(ISERROR(VLOOKUP($C104,院校录取信息表!$C:$CN,10,FALSE)),"",VLOOKUP($C104,院校录取信息表!$C:$CN,10,FALSE))</f>
        <v/>
      </c>
      <c r="O104" s="54" t="str">
        <f>IF(ISERROR(VLOOKUP($C104,院校录取信息表!$C:$CN,11,FALSE)),"",VLOOKUP($C104,院校录取信息表!$C:$CN,11,FALSE))</f>
        <v/>
      </c>
      <c r="P104" s="54" t="str">
        <f>IF(ISERROR(VLOOKUP($C104,院校录取信息表!$C:$CN,12,FALSE)),"",VLOOKUP($C104,院校录取信息表!$C:$CN,12,FALSE))</f>
        <v/>
      </c>
      <c r="Q104" s="54" t="str">
        <f>IF(ISERROR(VLOOKUP($C104,院校录取信息表!$C:$CN,13,FALSE)),"",VLOOKUP($C104,院校录取信息表!$C:$CN,13,FALSE))</f>
        <v/>
      </c>
    </row>
    <row r="105" ht="20" customHeight="1" spans="1:17">
      <c r="A105" s="46"/>
      <c r="B105" s="44"/>
      <c r="C105" s="45">
        <v>102</v>
      </c>
      <c r="D105" s="43" t="str">
        <f>IF(ISERROR(VLOOKUP($C105,院校录取信息表!$C:$CN,3,FALSE)),"",VLOOKUP($C105,院校录取信息表!$C:$CN,3,FALSE))</f>
        <v/>
      </c>
      <c r="E105" s="43" t="str">
        <f>IF(ISERROR(VLOOKUP($C105,院校录取信息表!$C:$CN,4,FALSE)),"",VLOOKUP($C105,院校录取信息表!$C:$CN,4,FALSE))</f>
        <v/>
      </c>
      <c r="F105" s="43" t="str">
        <f>IF(ISERROR(VLOOKUP($C105,院校录取信息表!$C:$CN,16,FALSE)),"",VLOOKUP($C105,院校录取信息表!$C:$CN,16,FALSE))</f>
        <v/>
      </c>
      <c r="G105" s="47" t="str">
        <f>IF(ISERROR(VLOOKUP($C105,院校录取信息表!$C:$CN,17,FALSE)),"",VLOOKUP($C105,院校录取信息表!$C:$CN,17,FALSE))</f>
        <v/>
      </c>
      <c r="H105" s="47" t="str">
        <f>IF(ISERROR(VLOOKUP($C105,院校录取信息表!$C:$CN,21,FALSE)),"",VLOOKUP($C105,院校录取信息表!$C:$CN,21,FALSE))</f>
        <v/>
      </c>
      <c r="I105" s="47" t="str">
        <f>IF(ISERROR(VLOOKUP($C105,院校录取信息表!$C:$CN,18,FALSE)),"",VLOOKUP($C105,院校录取信息表!$C:$CN,18,FALSE))</f>
        <v/>
      </c>
      <c r="J105" s="51" t="str">
        <f>IF(ISERROR(VLOOKUP($C105,院校录取信息表!$C:$CN,23,FALSE)),"",VLOOKUP($C105,院校录取信息表!$C:$CN,23,FALSE))</f>
        <v/>
      </c>
      <c r="K105" s="47" t="str">
        <f>IF(ISERROR(VLOOKUP($C105,院校录取信息表!$C:$CN,5,FALSE)),"",VLOOKUP($C105,院校录取信息表!$C:$CN,5,FALSE))</f>
        <v/>
      </c>
      <c r="L105" s="43" t="str">
        <f>IF(ISERROR(VLOOKUP($C105,院校录取信息表!$C:$CN,8,FALSE)),"",VLOOKUP($C105,院校录取信息表!$C:$CN,8,FALSE))</f>
        <v/>
      </c>
      <c r="M105" s="43" t="str">
        <f>IF(ISERROR(VLOOKUP($C105,院校录取信息表!$C:$CN,9,FALSE)),"",VLOOKUP($C105,院校录取信息表!$C:$CN,9,FALSE))</f>
        <v/>
      </c>
      <c r="N105" s="43" t="str">
        <f>IF(ISERROR(VLOOKUP($C105,院校录取信息表!$C:$CN,10,FALSE)),"",VLOOKUP($C105,院校录取信息表!$C:$CN,10,FALSE))</f>
        <v/>
      </c>
      <c r="O105" s="54" t="str">
        <f>IF(ISERROR(VLOOKUP($C105,院校录取信息表!$C:$CN,11,FALSE)),"",VLOOKUP($C105,院校录取信息表!$C:$CN,11,FALSE))</f>
        <v/>
      </c>
      <c r="P105" s="54" t="str">
        <f>IF(ISERROR(VLOOKUP($C105,院校录取信息表!$C:$CN,12,FALSE)),"",VLOOKUP($C105,院校录取信息表!$C:$CN,12,FALSE))</f>
        <v/>
      </c>
      <c r="Q105" s="54" t="str">
        <f>IF(ISERROR(VLOOKUP($C105,院校录取信息表!$C:$CN,13,FALSE)),"",VLOOKUP($C105,院校录取信息表!$C:$CN,13,FALSE))</f>
        <v/>
      </c>
    </row>
    <row r="106" ht="20" customHeight="1" spans="1:17">
      <c r="A106" s="46"/>
      <c r="B106" s="44" t="s">
        <v>1061</v>
      </c>
      <c r="C106" s="45">
        <v>103</v>
      </c>
      <c r="D106" s="43" t="str">
        <f>IF(ISERROR(VLOOKUP($C106,院校录取信息表!$C:$CN,3,FALSE)),"",VLOOKUP($C106,院校录取信息表!$C:$CN,3,FALSE))</f>
        <v/>
      </c>
      <c r="E106" s="43" t="str">
        <f>IF(ISERROR(VLOOKUP($C106,院校录取信息表!$C:$CN,4,FALSE)),"",VLOOKUP($C106,院校录取信息表!$C:$CN,4,FALSE))</f>
        <v/>
      </c>
      <c r="F106" s="43" t="str">
        <f>IF(ISERROR(VLOOKUP($C106,院校录取信息表!$C:$CN,16,FALSE)),"",VLOOKUP($C106,院校录取信息表!$C:$CN,16,FALSE))</f>
        <v/>
      </c>
      <c r="G106" s="47" t="str">
        <f>IF(ISERROR(VLOOKUP($C106,院校录取信息表!$C:$CN,17,FALSE)),"",VLOOKUP($C106,院校录取信息表!$C:$CN,17,FALSE))</f>
        <v/>
      </c>
      <c r="H106" s="47" t="str">
        <f>IF(ISERROR(VLOOKUP($C106,院校录取信息表!$C:$CN,21,FALSE)),"",VLOOKUP($C106,院校录取信息表!$C:$CN,21,FALSE))</f>
        <v/>
      </c>
      <c r="I106" s="47" t="str">
        <f>IF(ISERROR(VLOOKUP($C106,院校录取信息表!$C:$CN,18,FALSE)),"",VLOOKUP($C106,院校录取信息表!$C:$CN,18,FALSE))</f>
        <v/>
      </c>
      <c r="J106" s="51" t="str">
        <f>IF(ISERROR(VLOOKUP($C106,院校录取信息表!$C:$CN,23,FALSE)),"",VLOOKUP($C106,院校录取信息表!$C:$CN,23,FALSE))</f>
        <v/>
      </c>
      <c r="K106" s="47" t="str">
        <f>IF(ISERROR(VLOOKUP($C106,院校录取信息表!$C:$CN,5,FALSE)),"",VLOOKUP($C106,院校录取信息表!$C:$CN,5,FALSE))</f>
        <v/>
      </c>
      <c r="L106" s="43" t="str">
        <f>IF(ISERROR(VLOOKUP($C106,院校录取信息表!$C:$CN,8,FALSE)),"",VLOOKUP($C106,院校录取信息表!$C:$CN,8,FALSE))</f>
        <v/>
      </c>
      <c r="M106" s="43" t="str">
        <f>IF(ISERROR(VLOOKUP($C106,院校录取信息表!$C:$CN,9,FALSE)),"",VLOOKUP($C106,院校录取信息表!$C:$CN,9,FALSE))</f>
        <v/>
      </c>
      <c r="N106" s="43" t="str">
        <f>IF(ISERROR(VLOOKUP($C106,院校录取信息表!$C:$CN,10,FALSE)),"",VLOOKUP($C106,院校录取信息表!$C:$CN,10,FALSE))</f>
        <v/>
      </c>
      <c r="O106" s="54" t="str">
        <f>IF(ISERROR(VLOOKUP($C106,院校录取信息表!$C:$CN,11,FALSE)),"",VLOOKUP($C106,院校录取信息表!$C:$CN,11,FALSE))</f>
        <v/>
      </c>
      <c r="P106" s="54" t="str">
        <f>IF(ISERROR(VLOOKUP($C106,院校录取信息表!$C:$CN,12,FALSE)),"",VLOOKUP($C106,院校录取信息表!$C:$CN,12,FALSE))</f>
        <v/>
      </c>
      <c r="Q106" s="54" t="str">
        <f>IF(ISERROR(VLOOKUP($C106,院校录取信息表!$C:$CN,13,FALSE)),"",VLOOKUP($C106,院校录取信息表!$C:$CN,13,FALSE))</f>
        <v/>
      </c>
    </row>
    <row r="107" ht="20" customHeight="1" spans="1:17">
      <c r="A107" s="46"/>
      <c r="B107" s="44"/>
      <c r="C107" s="45">
        <v>104</v>
      </c>
      <c r="D107" s="43" t="str">
        <f>IF(ISERROR(VLOOKUP($C107,院校录取信息表!$C:$CN,3,FALSE)),"",VLOOKUP($C107,院校录取信息表!$C:$CN,3,FALSE))</f>
        <v/>
      </c>
      <c r="E107" s="43" t="str">
        <f>IF(ISERROR(VLOOKUP($C107,院校录取信息表!$C:$CN,4,FALSE)),"",VLOOKUP($C107,院校录取信息表!$C:$CN,4,FALSE))</f>
        <v/>
      </c>
      <c r="F107" s="43" t="str">
        <f>IF(ISERROR(VLOOKUP($C107,院校录取信息表!$C:$CN,16,FALSE)),"",VLOOKUP($C107,院校录取信息表!$C:$CN,16,FALSE))</f>
        <v/>
      </c>
      <c r="G107" s="47" t="str">
        <f>IF(ISERROR(VLOOKUP($C107,院校录取信息表!$C:$CN,17,FALSE)),"",VLOOKUP($C107,院校录取信息表!$C:$CN,17,FALSE))</f>
        <v/>
      </c>
      <c r="H107" s="47" t="str">
        <f>IF(ISERROR(VLOOKUP($C107,院校录取信息表!$C:$CN,21,FALSE)),"",VLOOKUP($C107,院校录取信息表!$C:$CN,21,FALSE))</f>
        <v/>
      </c>
      <c r="I107" s="47" t="str">
        <f>IF(ISERROR(VLOOKUP($C107,院校录取信息表!$C:$CN,18,FALSE)),"",VLOOKUP($C107,院校录取信息表!$C:$CN,18,FALSE))</f>
        <v/>
      </c>
      <c r="J107" s="51" t="str">
        <f>IF(ISERROR(VLOOKUP($C107,院校录取信息表!$C:$CN,23,FALSE)),"",VLOOKUP($C107,院校录取信息表!$C:$CN,23,FALSE))</f>
        <v/>
      </c>
      <c r="K107" s="47" t="str">
        <f>IF(ISERROR(VLOOKUP($C107,院校录取信息表!$C:$CN,5,FALSE)),"",VLOOKUP($C107,院校录取信息表!$C:$CN,5,FALSE))</f>
        <v/>
      </c>
      <c r="L107" s="43" t="str">
        <f>IF(ISERROR(VLOOKUP($C107,院校录取信息表!$C:$CN,8,FALSE)),"",VLOOKUP($C107,院校录取信息表!$C:$CN,8,FALSE))</f>
        <v/>
      </c>
      <c r="M107" s="43" t="str">
        <f>IF(ISERROR(VLOOKUP($C107,院校录取信息表!$C:$CN,9,FALSE)),"",VLOOKUP($C107,院校录取信息表!$C:$CN,9,FALSE))</f>
        <v/>
      </c>
      <c r="N107" s="43" t="str">
        <f>IF(ISERROR(VLOOKUP($C107,院校录取信息表!$C:$CN,10,FALSE)),"",VLOOKUP($C107,院校录取信息表!$C:$CN,10,FALSE))</f>
        <v/>
      </c>
      <c r="O107" s="54" t="str">
        <f>IF(ISERROR(VLOOKUP($C107,院校录取信息表!$C:$CN,11,FALSE)),"",VLOOKUP($C107,院校录取信息表!$C:$CN,11,FALSE))</f>
        <v/>
      </c>
      <c r="P107" s="54" t="str">
        <f>IF(ISERROR(VLOOKUP($C107,院校录取信息表!$C:$CN,12,FALSE)),"",VLOOKUP($C107,院校录取信息表!$C:$CN,12,FALSE))</f>
        <v/>
      </c>
      <c r="Q107" s="54" t="str">
        <f>IF(ISERROR(VLOOKUP($C107,院校录取信息表!$C:$CN,13,FALSE)),"",VLOOKUP($C107,院校录取信息表!$C:$CN,13,FALSE))</f>
        <v/>
      </c>
    </row>
    <row r="108" ht="20" customHeight="1" spans="1:17">
      <c r="A108" s="46"/>
      <c r="B108" s="44"/>
      <c r="C108" s="45">
        <v>105</v>
      </c>
      <c r="D108" s="43" t="str">
        <f>IF(ISERROR(VLOOKUP($C108,院校录取信息表!$C:$CN,3,FALSE)),"",VLOOKUP($C108,院校录取信息表!$C:$CN,3,FALSE))</f>
        <v/>
      </c>
      <c r="E108" s="43" t="str">
        <f>IF(ISERROR(VLOOKUP($C108,院校录取信息表!$C:$CN,4,FALSE)),"",VLOOKUP($C108,院校录取信息表!$C:$CN,4,FALSE))</f>
        <v/>
      </c>
      <c r="F108" s="43" t="str">
        <f>IF(ISERROR(VLOOKUP($C108,院校录取信息表!$C:$CN,16,FALSE)),"",VLOOKUP($C108,院校录取信息表!$C:$CN,16,FALSE))</f>
        <v/>
      </c>
      <c r="G108" s="47" t="str">
        <f>IF(ISERROR(VLOOKUP($C108,院校录取信息表!$C:$CN,17,FALSE)),"",VLOOKUP($C108,院校录取信息表!$C:$CN,17,FALSE))</f>
        <v/>
      </c>
      <c r="H108" s="47" t="str">
        <f>IF(ISERROR(VLOOKUP($C108,院校录取信息表!$C:$CN,21,FALSE)),"",VLOOKUP($C108,院校录取信息表!$C:$CN,21,FALSE))</f>
        <v/>
      </c>
      <c r="I108" s="47" t="str">
        <f>IF(ISERROR(VLOOKUP($C108,院校录取信息表!$C:$CN,18,FALSE)),"",VLOOKUP($C108,院校录取信息表!$C:$CN,18,FALSE))</f>
        <v/>
      </c>
      <c r="J108" s="51" t="str">
        <f>IF(ISERROR(VLOOKUP($C108,院校录取信息表!$C:$CN,23,FALSE)),"",VLOOKUP($C108,院校录取信息表!$C:$CN,23,FALSE))</f>
        <v/>
      </c>
      <c r="K108" s="47" t="str">
        <f>IF(ISERROR(VLOOKUP($C108,院校录取信息表!$C:$CN,5,FALSE)),"",VLOOKUP($C108,院校录取信息表!$C:$CN,5,FALSE))</f>
        <v/>
      </c>
      <c r="L108" s="43" t="str">
        <f>IF(ISERROR(VLOOKUP($C108,院校录取信息表!$C:$CN,8,FALSE)),"",VLOOKUP($C108,院校录取信息表!$C:$CN,8,FALSE))</f>
        <v/>
      </c>
      <c r="M108" s="43" t="str">
        <f>IF(ISERROR(VLOOKUP($C108,院校录取信息表!$C:$CN,9,FALSE)),"",VLOOKUP($C108,院校录取信息表!$C:$CN,9,FALSE))</f>
        <v/>
      </c>
      <c r="N108" s="43" t="str">
        <f>IF(ISERROR(VLOOKUP($C108,院校录取信息表!$C:$CN,10,FALSE)),"",VLOOKUP($C108,院校录取信息表!$C:$CN,10,FALSE))</f>
        <v/>
      </c>
      <c r="O108" s="54" t="str">
        <f>IF(ISERROR(VLOOKUP($C108,院校录取信息表!$C:$CN,11,FALSE)),"",VLOOKUP($C108,院校录取信息表!$C:$CN,11,FALSE))</f>
        <v/>
      </c>
      <c r="P108" s="54" t="str">
        <f>IF(ISERROR(VLOOKUP($C108,院校录取信息表!$C:$CN,12,FALSE)),"",VLOOKUP($C108,院校录取信息表!$C:$CN,12,FALSE))</f>
        <v/>
      </c>
      <c r="Q108" s="54" t="str">
        <f>IF(ISERROR(VLOOKUP($C108,院校录取信息表!$C:$CN,13,FALSE)),"",VLOOKUP($C108,院校录取信息表!$C:$CN,13,FALSE))</f>
        <v/>
      </c>
    </row>
    <row r="109" ht="20" customHeight="1" spans="1:17">
      <c r="A109" s="46"/>
      <c r="B109" s="44"/>
      <c r="C109" s="45">
        <v>106</v>
      </c>
      <c r="D109" s="43" t="str">
        <f>IF(ISERROR(VLOOKUP($C109,院校录取信息表!$C:$CN,3,FALSE)),"",VLOOKUP($C109,院校录取信息表!$C:$CN,3,FALSE))</f>
        <v/>
      </c>
      <c r="E109" s="43" t="str">
        <f>IF(ISERROR(VLOOKUP($C109,院校录取信息表!$C:$CN,4,FALSE)),"",VLOOKUP($C109,院校录取信息表!$C:$CN,4,FALSE))</f>
        <v/>
      </c>
      <c r="F109" s="43" t="str">
        <f>IF(ISERROR(VLOOKUP($C109,院校录取信息表!$C:$CN,16,FALSE)),"",VLOOKUP($C109,院校录取信息表!$C:$CN,16,FALSE))</f>
        <v/>
      </c>
      <c r="G109" s="47" t="str">
        <f>IF(ISERROR(VLOOKUP($C109,院校录取信息表!$C:$CN,17,FALSE)),"",VLOOKUP($C109,院校录取信息表!$C:$CN,17,FALSE))</f>
        <v/>
      </c>
      <c r="H109" s="47" t="str">
        <f>IF(ISERROR(VLOOKUP($C109,院校录取信息表!$C:$CN,21,FALSE)),"",VLOOKUP($C109,院校录取信息表!$C:$CN,21,FALSE))</f>
        <v/>
      </c>
      <c r="I109" s="47" t="str">
        <f>IF(ISERROR(VLOOKUP($C109,院校录取信息表!$C:$CN,18,FALSE)),"",VLOOKUP($C109,院校录取信息表!$C:$CN,18,FALSE))</f>
        <v/>
      </c>
      <c r="J109" s="51" t="str">
        <f>IF(ISERROR(VLOOKUP($C109,院校录取信息表!$C:$CN,23,FALSE)),"",VLOOKUP($C109,院校录取信息表!$C:$CN,23,FALSE))</f>
        <v/>
      </c>
      <c r="K109" s="47" t="str">
        <f>IF(ISERROR(VLOOKUP($C109,院校录取信息表!$C:$CN,5,FALSE)),"",VLOOKUP($C109,院校录取信息表!$C:$CN,5,FALSE))</f>
        <v/>
      </c>
      <c r="L109" s="43" t="str">
        <f>IF(ISERROR(VLOOKUP($C109,院校录取信息表!$C:$CN,8,FALSE)),"",VLOOKUP($C109,院校录取信息表!$C:$CN,8,FALSE))</f>
        <v/>
      </c>
      <c r="M109" s="43" t="str">
        <f>IF(ISERROR(VLOOKUP($C109,院校录取信息表!$C:$CN,9,FALSE)),"",VLOOKUP($C109,院校录取信息表!$C:$CN,9,FALSE))</f>
        <v/>
      </c>
      <c r="N109" s="43" t="str">
        <f>IF(ISERROR(VLOOKUP($C109,院校录取信息表!$C:$CN,10,FALSE)),"",VLOOKUP($C109,院校录取信息表!$C:$CN,10,FALSE))</f>
        <v/>
      </c>
      <c r="O109" s="54" t="str">
        <f>IF(ISERROR(VLOOKUP($C109,院校录取信息表!$C:$CN,11,FALSE)),"",VLOOKUP($C109,院校录取信息表!$C:$CN,11,FALSE))</f>
        <v/>
      </c>
      <c r="P109" s="54" t="str">
        <f>IF(ISERROR(VLOOKUP($C109,院校录取信息表!$C:$CN,12,FALSE)),"",VLOOKUP($C109,院校录取信息表!$C:$CN,12,FALSE))</f>
        <v/>
      </c>
      <c r="Q109" s="54" t="str">
        <f>IF(ISERROR(VLOOKUP($C109,院校录取信息表!$C:$CN,13,FALSE)),"",VLOOKUP($C109,院校录取信息表!$C:$CN,13,FALSE))</f>
        <v/>
      </c>
    </row>
    <row r="110" ht="20" customHeight="1" spans="1:17">
      <c r="A110" s="46"/>
      <c r="B110" s="44"/>
      <c r="C110" s="45">
        <v>107</v>
      </c>
      <c r="D110" s="43" t="str">
        <f>IF(ISERROR(VLOOKUP($C110,院校录取信息表!$C:$CN,3,FALSE)),"",VLOOKUP($C110,院校录取信息表!$C:$CN,3,FALSE))</f>
        <v/>
      </c>
      <c r="E110" s="43" t="str">
        <f>IF(ISERROR(VLOOKUP($C110,院校录取信息表!$C:$CN,4,FALSE)),"",VLOOKUP($C110,院校录取信息表!$C:$CN,4,FALSE))</f>
        <v/>
      </c>
      <c r="F110" s="43" t="str">
        <f>IF(ISERROR(VLOOKUP($C110,院校录取信息表!$C:$CN,16,FALSE)),"",VLOOKUP($C110,院校录取信息表!$C:$CN,16,FALSE))</f>
        <v/>
      </c>
      <c r="G110" s="47" t="str">
        <f>IF(ISERROR(VLOOKUP($C110,院校录取信息表!$C:$CN,17,FALSE)),"",VLOOKUP($C110,院校录取信息表!$C:$CN,17,FALSE))</f>
        <v/>
      </c>
      <c r="H110" s="47" t="str">
        <f>IF(ISERROR(VLOOKUP($C110,院校录取信息表!$C:$CN,21,FALSE)),"",VLOOKUP($C110,院校录取信息表!$C:$CN,21,FALSE))</f>
        <v/>
      </c>
      <c r="I110" s="47" t="str">
        <f>IF(ISERROR(VLOOKUP($C110,院校录取信息表!$C:$CN,18,FALSE)),"",VLOOKUP($C110,院校录取信息表!$C:$CN,18,FALSE))</f>
        <v/>
      </c>
      <c r="J110" s="51" t="str">
        <f>IF(ISERROR(VLOOKUP($C110,院校录取信息表!$C:$CN,23,FALSE)),"",VLOOKUP($C110,院校录取信息表!$C:$CN,23,FALSE))</f>
        <v/>
      </c>
      <c r="K110" s="47" t="str">
        <f>IF(ISERROR(VLOOKUP($C110,院校录取信息表!$C:$CN,5,FALSE)),"",VLOOKUP($C110,院校录取信息表!$C:$CN,5,FALSE))</f>
        <v/>
      </c>
      <c r="L110" s="43" t="str">
        <f>IF(ISERROR(VLOOKUP($C110,院校录取信息表!$C:$CN,8,FALSE)),"",VLOOKUP($C110,院校录取信息表!$C:$CN,8,FALSE))</f>
        <v/>
      </c>
      <c r="M110" s="43" t="str">
        <f>IF(ISERROR(VLOOKUP($C110,院校录取信息表!$C:$CN,9,FALSE)),"",VLOOKUP($C110,院校录取信息表!$C:$CN,9,FALSE))</f>
        <v/>
      </c>
      <c r="N110" s="43" t="str">
        <f>IF(ISERROR(VLOOKUP($C110,院校录取信息表!$C:$CN,10,FALSE)),"",VLOOKUP($C110,院校录取信息表!$C:$CN,10,FALSE))</f>
        <v/>
      </c>
      <c r="O110" s="54" t="str">
        <f>IF(ISERROR(VLOOKUP($C110,院校录取信息表!$C:$CN,11,FALSE)),"",VLOOKUP($C110,院校录取信息表!$C:$CN,11,FALSE))</f>
        <v/>
      </c>
      <c r="P110" s="54" t="str">
        <f>IF(ISERROR(VLOOKUP($C110,院校录取信息表!$C:$CN,12,FALSE)),"",VLOOKUP($C110,院校录取信息表!$C:$CN,12,FALSE))</f>
        <v/>
      </c>
      <c r="Q110" s="54" t="str">
        <f>IF(ISERROR(VLOOKUP($C110,院校录取信息表!$C:$CN,13,FALSE)),"",VLOOKUP($C110,院校录取信息表!$C:$CN,13,FALSE))</f>
        <v/>
      </c>
    </row>
    <row r="111" ht="20" customHeight="1" spans="1:17">
      <c r="A111" s="46"/>
      <c r="B111" s="44"/>
      <c r="C111" s="45">
        <v>108</v>
      </c>
      <c r="D111" s="43" t="str">
        <f>IF(ISERROR(VLOOKUP($C111,院校录取信息表!$C:$CN,3,FALSE)),"",VLOOKUP($C111,院校录取信息表!$C:$CN,3,FALSE))</f>
        <v/>
      </c>
      <c r="E111" s="43" t="str">
        <f>IF(ISERROR(VLOOKUP($C111,院校录取信息表!$C:$CN,4,FALSE)),"",VLOOKUP($C111,院校录取信息表!$C:$CN,4,FALSE))</f>
        <v/>
      </c>
      <c r="F111" s="43" t="str">
        <f>IF(ISERROR(VLOOKUP($C111,院校录取信息表!$C:$CN,16,FALSE)),"",VLOOKUP($C111,院校录取信息表!$C:$CN,16,FALSE))</f>
        <v/>
      </c>
      <c r="G111" s="47" t="str">
        <f>IF(ISERROR(VLOOKUP($C111,院校录取信息表!$C:$CN,17,FALSE)),"",VLOOKUP($C111,院校录取信息表!$C:$CN,17,FALSE))</f>
        <v/>
      </c>
      <c r="H111" s="47" t="str">
        <f>IF(ISERROR(VLOOKUP($C111,院校录取信息表!$C:$CN,21,FALSE)),"",VLOOKUP($C111,院校录取信息表!$C:$CN,21,FALSE))</f>
        <v/>
      </c>
      <c r="I111" s="47" t="str">
        <f>IF(ISERROR(VLOOKUP($C111,院校录取信息表!$C:$CN,18,FALSE)),"",VLOOKUP($C111,院校录取信息表!$C:$CN,18,FALSE))</f>
        <v/>
      </c>
      <c r="J111" s="51" t="str">
        <f>IF(ISERROR(VLOOKUP($C111,院校录取信息表!$C:$CN,23,FALSE)),"",VLOOKUP($C111,院校录取信息表!$C:$CN,23,FALSE))</f>
        <v/>
      </c>
      <c r="K111" s="47" t="str">
        <f>IF(ISERROR(VLOOKUP($C111,院校录取信息表!$C:$CN,5,FALSE)),"",VLOOKUP($C111,院校录取信息表!$C:$CN,5,FALSE))</f>
        <v/>
      </c>
      <c r="L111" s="43" t="str">
        <f>IF(ISERROR(VLOOKUP($C111,院校录取信息表!$C:$CN,8,FALSE)),"",VLOOKUP($C111,院校录取信息表!$C:$CN,8,FALSE))</f>
        <v/>
      </c>
      <c r="M111" s="43" t="str">
        <f>IF(ISERROR(VLOOKUP($C111,院校录取信息表!$C:$CN,9,FALSE)),"",VLOOKUP($C111,院校录取信息表!$C:$CN,9,FALSE))</f>
        <v/>
      </c>
      <c r="N111" s="43" t="str">
        <f>IF(ISERROR(VLOOKUP($C111,院校录取信息表!$C:$CN,10,FALSE)),"",VLOOKUP($C111,院校录取信息表!$C:$CN,10,FALSE))</f>
        <v/>
      </c>
      <c r="O111" s="54" t="str">
        <f>IF(ISERROR(VLOOKUP($C111,院校录取信息表!$C:$CN,11,FALSE)),"",VLOOKUP($C111,院校录取信息表!$C:$CN,11,FALSE))</f>
        <v/>
      </c>
      <c r="P111" s="54" t="str">
        <f>IF(ISERROR(VLOOKUP($C111,院校录取信息表!$C:$CN,12,FALSE)),"",VLOOKUP($C111,院校录取信息表!$C:$CN,12,FALSE))</f>
        <v/>
      </c>
      <c r="Q111" s="54" t="str">
        <f>IF(ISERROR(VLOOKUP($C111,院校录取信息表!$C:$CN,13,FALSE)),"",VLOOKUP($C111,院校录取信息表!$C:$CN,13,FALSE))</f>
        <v/>
      </c>
    </row>
    <row r="112" ht="20" customHeight="1" spans="1:17">
      <c r="A112" s="46"/>
      <c r="B112" s="44" t="s">
        <v>1062</v>
      </c>
      <c r="C112" s="45">
        <v>109</v>
      </c>
      <c r="D112" s="43" t="str">
        <f>IF(ISERROR(VLOOKUP($C112,院校录取信息表!$C:$CN,3,FALSE)),"",VLOOKUP($C112,院校录取信息表!$C:$CN,3,FALSE))</f>
        <v/>
      </c>
      <c r="E112" s="43" t="str">
        <f>IF(ISERROR(VLOOKUP($C112,院校录取信息表!$C:$CN,4,FALSE)),"",VLOOKUP($C112,院校录取信息表!$C:$CN,4,FALSE))</f>
        <v/>
      </c>
      <c r="F112" s="43" t="str">
        <f>IF(ISERROR(VLOOKUP($C112,院校录取信息表!$C:$CN,16,FALSE)),"",VLOOKUP($C112,院校录取信息表!$C:$CN,16,FALSE))</f>
        <v/>
      </c>
      <c r="G112" s="47" t="str">
        <f>IF(ISERROR(VLOOKUP($C112,院校录取信息表!$C:$CN,17,FALSE)),"",VLOOKUP($C112,院校录取信息表!$C:$CN,17,FALSE))</f>
        <v/>
      </c>
      <c r="H112" s="47" t="str">
        <f>IF(ISERROR(VLOOKUP($C112,院校录取信息表!$C:$CN,21,FALSE)),"",VLOOKUP($C112,院校录取信息表!$C:$CN,21,FALSE))</f>
        <v/>
      </c>
      <c r="I112" s="47" t="str">
        <f>IF(ISERROR(VLOOKUP($C112,院校录取信息表!$C:$CN,18,FALSE)),"",VLOOKUP($C112,院校录取信息表!$C:$CN,18,FALSE))</f>
        <v/>
      </c>
      <c r="J112" s="51" t="str">
        <f>IF(ISERROR(VLOOKUP($C112,院校录取信息表!$C:$CN,23,FALSE)),"",VLOOKUP($C112,院校录取信息表!$C:$CN,23,FALSE))</f>
        <v/>
      </c>
      <c r="K112" s="47" t="str">
        <f>IF(ISERROR(VLOOKUP($C112,院校录取信息表!$C:$CN,5,FALSE)),"",VLOOKUP($C112,院校录取信息表!$C:$CN,5,FALSE))</f>
        <v/>
      </c>
      <c r="L112" s="43" t="str">
        <f>IF(ISERROR(VLOOKUP($C112,院校录取信息表!$C:$CN,8,FALSE)),"",VLOOKUP($C112,院校录取信息表!$C:$CN,8,FALSE))</f>
        <v/>
      </c>
      <c r="M112" s="43" t="str">
        <f>IF(ISERROR(VLOOKUP($C112,院校录取信息表!$C:$CN,9,FALSE)),"",VLOOKUP($C112,院校录取信息表!$C:$CN,9,FALSE))</f>
        <v/>
      </c>
      <c r="N112" s="43" t="str">
        <f>IF(ISERROR(VLOOKUP($C112,院校录取信息表!$C:$CN,10,FALSE)),"",VLOOKUP($C112,院校录取信息表!$C:$CN,10,FALSE))</f>
        <v/>
      </c>
      <c r="O112" s="54" t="str">
        <f>IF(ISERROR(VLOOKUP($C112,院校录取信息表!$C:$CN,11,FALSE)),"",VLOOKUP($C112,院校录取信息表!$C:$CN,11,FALSE))</f>
        <v/>
      </c>
      <c r="P112" s="54" t="str">
        <f>IF(ISERROR(VLOOKUP($C112,院校录取信息表!$C:$CN,12,FALSE)),"",VLOOKUP($C112,院校录取信息表!$C:$CN,12,FALSE))</f>
        <v/>
      </c>
      <c r="Q112" s="54" t="str">
        <f>IF(ISERROR(VLOOKUP($C112,院校录取信息表!$C:$CN,13,FALSE)),"",VLOOKUP($C112,院校录取信息表!$C:$CN,13,FALSE))</f>
        <v/>
      </c>
    </row>
    <row r="113" ht="20" customHeight="1" spans="1:17">
      <c r="A113" s="46"/>
      <c r="B113" s="44"/>
      <c r="C113" s="45">
        <v>110</v>
      </c>
      <c r="D113" s="43" t="str">
        <f>IF(ISERROR(VLOOKUP($C113,院校录取信息表!$C:$CN,3,FALSE)),"",VLOOKUP($C113,院校录取信息表!$C:$CN,3,FALSE))</f>
        <v/>
      </c>
      <c r="E113" s="43" t="str">
        <f>IF(ISERROR(VLOOKUP($C113,院校录取信息表!$C:$CN,4,FALSE)),"",VLOOKUP($C113,院校录取信息表!$C:$CN,4,FALSE))</f>
        <v/>
      </c>
      <c r="F113" s="43" t="str">
        <f>IF(ISERROR(VLOOKUP($C113,院校录取信息表!$C:$CN,16,FALSE)),"",VLOOKUP($C113,院校录取信息表!$C:$CN,16,FALSE))</f>
        <v/>
      </c>
      <c r="G113" s="47" t="str">
        <f>IF(ISERROR(VLOOKUP($C113,院校录取信息表!$C:$CN,17,FALSE)),"",VLOOKUP($C113,院校录取信息表!$C:$CN,17,FALSE))</f>
        <v/>
      </c>
      <c r="H113" s="47" t="str">
        <f>IF(ISERROR(VLOOKUP($C113,院校录取信息表!$C:$CN,21,FALSE)),"",VLOOKUP($C113,院校录取信息表!$C:$CN,21,FALSE))</f>
        <v/>
      </c>
      <c r="I113" s="47" t="str">
        <f>IF(ISERROR(VLOOKUP($C113,院校录取信息表!$C:$CN,18,FALSE)),"",VLOOKUP($C113,院校录取信息表!$C:$CN,18,FALSE))</f>
        <v/>
      </c>
      <c r="J113" s="51" t="str">
        <f>IF(ISERROR(VLOOKUP($C113,院校录取信息表!$C:$CN,23,FALSE)),"",VLOOKUP($C113,院校录取信息表!$C:$CN,23,FALSE))</f>
        <v/>
      </c>
      <c r="K113" s="47" t="str">
        <f>IF(ISERROR(VLOOKUP($C113,院校录取信息表!$C:$CN,5,FALSE)),"",VLOOKUP($C113,院校录取信息表!$C:$CN,5,FALSE))</f>
        <v/>
      </c>
      <c r="L113" s="43" t="str">
        <f>IF(ISERROR(VLOOKUP($C113,院校录取信息表!$C:$CN,8,FALSE)),"",VLOOKUP($C113,院校录取信息表!$C:$CN,8,FALSE))</f>
        <v/>
      </c>
      <c r="M113" s="43" t="str">
        <f>IF(ISERROR(VLOOKUP($C113,院校录取信息表!$C:$CN,9,FALSE)),"",VLOOKUP($C113,院校录取信息表!$C:$CN,9,FALSE))</f>
        <v/>
      </c>
      <c r="N113" s="43" t="str">
        <f>IF(ISERROR(VLOOKUP($C113,院校录取信息表!$C:$CN,10,FALSE)),"",VLOOKUP($C113,院校录取信息表!$C:$CN,10,FALSE))</f>
        <v/>
      </c>
      <c r="O113" s="54" t="str">
        <f>IF(ISERROR(VLOOKUP($C113,院校录取信息表!$C:$CN,11,FALSE)),"",VLOOKUP($C113,院校录取信息表!$C:$CN,11,FALSE))</f>
        <v/>
      </c>
      <c r="P113" s="54" t="str">
        <f>IF(ISERROR(VLOOKUP($C113,院校录取信息表!$C:$CN,12,FALSE)),"",VLOOKUP($C113,院校录取信息表!$C:$CN,12,FALSE))</f>
        <v/>
      </c>
      <c r="Q113" s="54" t="str">
        <f>IF(ISERROR(VLOOKUP($C113,院校录取信息表!$C:$CN,13,FALSE)),"",VLOOKUP($C113,院校录取信息表!$C:$CN,13,FALSE))</f>
        <v/>
      </c>
    </row>
    <row r="114" ht="20" customHeight="1" spans="1:17">
      <c r="A114" s="46"/>
      <c r="B114" s="44"/>
      <c r="C114" s="45">
        <v>111</v>
      </c>
      <c r="D114" s="43" t="str">
        <f>IF(ISERROR(VLOOKUP($C114,院校录取信息表!$C:$CN,3,FALSE)),"",VLOOKUP($C114,院校录取信息表!$C:$CN,3,FALSE))</f>
        <v/>
      </c>
      <c r="E114" s="43" t="str">
        <f>IF(ISERROR(VLOOKUP($C114,院校录取信息表!$C:$CN,4,FALSE)),"",VLOOKUP($C114,院校录取信息表!$C:$CN,4,FALSE))</f>
        <v/>
      </c>
      <c r="F114" s="43" t="str">
        <f>IF(ISERROR(VLOOKUP($C114,院校录取信息表!$C:$CN,16,FALSE)),"",VLOOKUP($C114,院校录取信息表!$C:$CN,16,FALSE))</f>
        <v/>
      </c>
      <c r="G114" s="47" t="str">
        <f>IF(ISERROR(VLOOKUP($C114,院校录取信息表!$C:$CN,17,FALSE)),"",VLOOKUP($C114,院校录取信息表!$C:$CN,17,FALSE))</f>
        <v/>
      </c>
      <c r="H114" s="47" t="str">
        <f>IF(ISERROR(VLOOKUP($C114,院校录取信息表!$C:$CN,21,FALSE)),"",VLOOKUP($C114,院校录取信息表!$C:$CN,21,FALSE))</f>
        <v/>
      </c>
      <c r="I114" s="47" t="str">
        <f>IF(ISERROR(VLOOKUP($C114,院校录取信息表!$C:$CN,18,FALSE)),"",VLOOKUP($C114,院校录取信息表!$C:$CN,18,FALSE))</f>
        <v/>
      </c>
      <c r="J114" s="51" t="str">
        <f>IF(ISERROR(VLOOKUP($C114,院校录取信息表!$C:$CN,23,FALSE)),"",VLOOKUP($C114,院校录取信息表!$C:$CN,23,FALSE))</f>
        <v/>
      </c>
      <c r="K114" s="47" t="str">
        <f>IF(ISERROR(VLOOKUP($C114,院校录取信息表!$C:$CN,5,FALSE)),"",VLOOKUP($C114,院校录取信息表!$C:$CN,5,FALSE))</f>
        <v/>
      </c>
      <c r="L114" s="43" t="str">
        <f>IF(ISERROR(VLOOKUP($C114,院校录取信息表!$C:$CN,8,FALSE)),"",VLOOKUP($C114,院校录取信息表!$C:$CN,8,FALSE))</f>
        <v/>
      </c>
      <c r="M114" s="43" t="str">
        <f>IF(ISERROR(VLOOKUP($C114,院校录取信息表!$C:$CN,9,FALSE)),"",VLOOKUP($C114,院校录取信息表!$C:$CN,9,FALSE))</f>
        <v/>
      </c>
      <c r="N114" s="43" t="str">
        <f>IF(ISERROR(VLOOKUP($C114,院校录取信息表!$C:$CN,10,FALSE)),"",VLOOKUP($C114,院校录取信息表!$C:$CN,10,FALSE))</f>
        <v/>
      </c>
      <c r="O114" s="54" t="str">
        <f>IF(ISERROR(VLOOKUP($C114,院校录取信息表!$C:$CN,11,FALSE)),"",VLOOKUP($C114,院校录取信息表!$C:$CN,11,FALSE))</f>
        <v/>
      </c>
      <c r="P114" s="54" t="str">
        <f>IF(ISERROR(VLOOKUP($C114,院校录取信息表!$C:$CN,12,FALSE)),"",VLOOKUP($C114,院校录取信息表!$C:$CN,12,FALSE))</f>
        <v/>
      </c>
      <c r="Q114" s="54" t="str">
        <f>IF(ISERROR(VLOOKUP($C114,院校录取信息表!$C:$CN,13,FALSE)),"",VLOOKUP($C114,院校录取信息表!$C:$CN,13,FALSE))</f>
        <v/>
      </c>
    </row>
    <row r="115" ht="20" customHeight="1" spans="1:17">
      <c r="A115" s="46"/>
      <c r="B115" s="44"/>
      <c r="C115" s="45">
        <v>112</v>
      </c>
      <c r="D115" s="43" t="str">
        <f>IF(ISERROR(VLOOKUP($C115,院校录取信息表!$C:$CN,3,FALSE)),"",VLOOKUP($C115,院校录取信息表!$C:$CN,3,FALSE))</f>
        <v/>
      </c>
      <c r="E115" s="43" t="str">
        <f>IF(ISERROR(VLOOKUP($C115,院校录取信息表!$C:$CN,4,FALSE)),"",VLOOKUP($C115,院校录取信息表!$C:$CN,4,FALSE))</f>
        <v/>
      </c>
      <c r="F115" s="43" t="str">
        <f>IF(ISERROR(VLOOKUP($C115,院校录取信息表!$C:$CN,16,FALSE)),"",VLOOKUP($C115,院校录取信息表!$C:$CN,16,FALSE))</f>
        <v/>
      </c>
      <c r="G115" s="47" t="str">
        <f>IF(ISERROR(VLOOKUP($C115,院校录取信息表!$C:$CN,17,FALSE)),"",VLOOKUP($C115,院校录取信息表!$C:$CN,17,FALSE))</f>
        <v/>
      </c>
      <c r="H115" s="47" t="str">
        <f>IF(ISERROR(VLOOKUP($C115,院校录取信息表!$C:$CN,21,FALSE)),"",VLOOKUP($C115,院校录取信息表!$C:$CN,21,FALSE))</f>
        <v/>
      </c>
      <c r="I115" s="47" t="str">
        <f>IF(ISERROR(VLOOKUP($C115,院校录取信息表!$C:$CN,18,FALSE)),"",VLOOKUP($C115,院校录取信息表!$C:$CN,18,FALSE))</f>
        <v/>
      </c>
      <c r="J115" s="51" t="str">
        <f>IF(ISERROR(VLOOKUP($C115,院校录取信息表!$C:$CN,23,FALSE)),"",VLOOKUP($C115,院校录取信息表!$C:$CN,23,FALSE))</f>
        <v/>
      </c>
      <c r="K115" s="47" t="str">
        <f>IF(ISERROR(VLOOKUP($C115,院校录取信息表!$C:$CN,5,FALSE)),"",VLOOKUP($C115,院校录取信息表!$C:$CN,5,FALSE))</f>
        <v/>
      </c>
      <c r="L115" s="43" t="str">
        <f>IF(ISERROR(VLOOKUP($C115,院校录取信息表!$C:$CN,8,FALSE)),"",VLOOKUP($C115,院校录取信息表!$C:$CN,8,FALSE))</f>
        <v/>
      </c>
      <c r="M115" s="43" t="str">
        <f>IF(ISERROR(VLOOKUP($C115,院校录取信息表!$C:$CN,9,FALSE)),"",VLOOKUP($C115,院校录取信息表!$C:$CN,9,FALSE))</f>
        <v/>
      </c>
      <c r="N115" s="43" t="str">
        <f>IF(ISERROR(VLOOKUP($C115,院校录取信息表!$C:$CN,10,FALSE)),"",VLOOKUP($C115,院校录取信息表!$C:$CN,10,FALSE))</f>
        <v/>
      </c>
      <c r="O115" s="54" t="str">
        <f>IF(ISERROR(VLOOKUP($C115,院校录取信息表!$C:$CN,11,FALSE)),"",VLOOKUP($C115,院校录取信息表!$C:$CN,11,FALSE))</f>
        <v/>
      </c>
      <c r="P115" s="54" t="str">
        <f>IF(ISERROR(VLOOKUP($C115,院校录取信息表!$C:$CN,12,FALSE)),"",VLOOKUP($C115,院校录取信息表!$C:$CN,12,FALSE))</f>
        <v/>
      </c>
      <c r="Q115" s="54" t="str">
        <f>IF(ISERROR(VLOOKUP($C115,院校录取信息表!$C:$CN,13,FALSE)),"",VLOOKUP($C115,院校录取信息表!$C:$CN,13,FALSE))</f>
        <v/>
      </c>
    </row>
    <row r="116" ht="20" customHeight="1" spans="1:17">
      <c r="A116" s="46"/>
      <c r="B116" s="44"/>
      <c r="C116" s="45">
        <v>113</v>
      </c>
      <c r="D116" s="43" t="str">
        <f>IF(ISERROR(VLOOKUP($C116,院校录取信息表!$C:$CN,3,FALSE)),"",VLOOKUP($C116,院校录取信息表!$C:$CN,3,FALSE))</f>
        <v/>
      </c>
      <c r="E116" s="43" t="str">
        <f>IF(ISERROR(VLOOKUP($C116,院校录取信息表!$C:$CN,4,FALSE)),"",VLOOKUP($C116,院校录取信息表!$C:$CN,4,FALSE))</f>
        <v/>
      </c>
      <c r="F116" s="43" t="str">
        <f>IF(ISERROR(VLOOKUP($C116,院校录取信息表!$C:$CN,16,FALSE)),"",VLOOKUP($C116,院校录取信息表!$C:$CN,16,FALSE))</f>
        <v/>
      </c>
      <c r="G116" s="47" t="str">
        <f>IF(ISERROR(VLOOKUP($C116,院校录取信息表!$C:$CN,17,FALSE)),"",VLOOKUP($C116,院校录取信息表!$C:$CN,17,FALSE))</f>
        <v/>
      </c>
      <c r="H116" s="47" t="str">
        <f>IF(ISERROR(VLOOKUP($C116,院校录取信息表!$C:$CN,21,FALSE)),"",VLOOKUP($C116,院校录取信息表!$C:$CN,21,FALSE))</f>
        <v/>
      </c>
      <c r="I116" s="47" t="str">
        <f>IF(ISERROR(VLOOKUP($C116,院校录取信息表!$C:$CN,18,FALSE)),"",VLOOKUP($C116,院校录取信息表!$C:$CN,18,FALSE))</f>
        <v/>
      </c>
      <c r="J116" s="51" t="str">
        <f>IF(ISERROR(VLOOKUP($C116,院校录取信息表!$C:$CN,23,FALSE)),"",VLOOKUP($C116,院校录取信息表!$C:$CN,23,FALSE))</f>
        <v/>
      </c>
      <c r="K116" s="47" t="str">
        <f>IF(ISERROR(VLOOKUP($C116,院校录取信息表!$C:$CN,5,FALSE)),"",VLOOKUP($C116,院校录取信息表!$C:$CN,5,FALSE))</f>
        <v/>
      </c>
      <c r="L116" s="43" t="str">
        <f>IF(ISERROR(VLOOKUP($C116,院校录取信息表!$C:$CN,8,FALSE)),"",VLOOKUP($C116,院校录取信息表!$C:$CN,8,FALSE))</f>
        <v/>
      </c>
      <c r="M116" s="43" t="str">
        <f>IF(ISERROR(VLOOKUP($C116,院校录取信息表!$C:$CN,9,FALSE)),"",VLOOKUP($C116,院校录取信息表!$C:$CN,9,FALSE))</f>
        <v/>
      </c>
      <c r="N116" s="43" t="str">
        <f>IF(ISERROR(VLOOKUP($C116,院校录取信息表!$C:$CN,10,FALSE)),"",VLOOKUP($C116,院校录取信息表!$C:$CN,10,FALSE))</f>
        <v/>
      </c>
      <c r="O116" s="54" t="str">
        <f>IF(ISERROR(VLOOKUP($C116,院校录取信息表!$C:$CN,11,FALSE)),"",VLOOKUP($C116,院校录取信息表!$C:$CN,11,FALSE))</f>
        <v/>
      </c>
      <c r="P116" s="54" t="str">
        <f>IF(ISERROR(VLOOKUP($C116,院校录取信息表!$C:$CN,12,FALSE)),"",VLOOKUP($C116,院校录取信息表!$C:$CN,12,FALSE))</f>
        <v/>
      </c>
      <c r="Q116" s="54" t="str">
        <f>IF(ISERROR(VLOOKUP($C116,院校录取信息表!$C:$CN,13,FALSE)),"",VLOOKUP($C116,院校录取信息表!$C:$CN,13,FALSE))</f>
        <v/>
      </c>
    </row>
    <row r="117" ht="20" customHeight="1" spans="1:17">
      <c r="A117" s="46"/>
      <c r="B117" s="44"/>
      <c r="C117" s="45">
        <v>114</v>
      </c>
      <c r="D117" s="43" t="str">
        <f>IF(ISERROR(VLOOKUP($C117,院校录取信息表!$C:$CN,3,FALSE)),"",VLOOKUP($C117,院校录取信息表!$C:$CN,3,FALSE))</f>
        <v/>
      </c>
      <c r="E117" s="43" t="str">
        <f>IF(ISERROR(VLOOKUP($C117,院校录取信息表!$C:$CN,4,FALSE)),"",VLOOKUP($C117,院校录取信息表!$C:$CN,4,FALSE))</f>
        <v/>
      </c>
      <c r="F117" s="43" t="str">
        <f>IF(ISERROR(VLOOKUP($C117,院校录取信息表!$C:$CN,16,FALSE)),"",VLOOKUP($C117,院校录取信息表!$C:$CN,16,FALSE))</f>
        <v/>
      </c>
      <c r="G117" s="47" t="str">
        <f>IF(ISERROR(VLOOKUP($C117,院校录取信息表!$C:$CN,17,FALSE)),"",VLOOKUP($C117,院校录取信息表!$C:$CN,17,FALSE))</f>
        <v/>
      </c>
      <c r="H117" s="47" t="str">
        <f>IF(ISERROR(VLOOKUP($C117,院校录取信息表!$C:$CN,21,FALSE)),"",VLOOKUP($C117,院校录取信息表!$C:$CN,21,FALSE))</f>
        <v/>
      </c>
      <c r="I117" s="47" t="str">
        <f>IF(ISERROR(VLOOKUP($C117,院校录取信息表!$C:$CN,18,FALSE)),"",VLOOKUP($C117,院校录取信息表!$C:$CN,18,FALSE))</f>
        <v/>
      </c>
      <c r="J117" s="51" t="str">
        <f>IF(ISERROR(VLOOKUP($C117,院校录取信息表!$C:$CN,23,FALSE)),"",VLOOKUP($C117,院校录取信息表!$C:$CN,23,FALSE))</f>
        <v/>
      </c>
      <c r="K117" s="47" t="str">
        <f>IF(ISERROR(VLOOKUP($C117,院校录取信息表!$C:$CN,5,FALSE)),"",VLOOKUP($C117,院校录取信息表!$C:$CN,5,FALSE))</f>
        <v/>
      </c>
      <c r="L117" s="43" t="str">
        <f>IF(ISERROR(VLOOKUP($C117,院校录取信息表!$C:$CN,8,FALSE)),"",VLOOKUP($C117,院校录取信息表!$C:$CN,8,FALSE))</f>
        <v/>
      </c>
      <c r="M117" s="43" t="str">
        <f>IF(ISERROR(VLOOKUP($C117,院校录取信息表!$C:$CN,9,FALSE)),"",VLOOKUP($C117,院校录取信息表!$C:$CN,9,FALSE))</f>
        <v/>
      </c>
      <c r="N117" s="43" t="str">
        <f>IF(ISERROR(VLOOKUP($C117,院校录取信息表!$C:$CN,10,FALSE)),"",VLOOKUP($C117,院校录取信息表!$C:$CN,10,FALSE))</f>
        <v/>
      </c>
      <c r="O117" s="54" t="str">
        <f>IF(ISERROR(VLOOKUP($C117,院校录取信息表!$C:$CN,11,FALSE)),"",VLOOKUP($C117,院校录取信息表!$C:$CN,11,FALSE))</f>
        <v/>
      </c>
      <c r="P117" s="54" t="str">
        <f>IF(ISERROR(VLOOKUP($C117,院校录取信息表!$C:$CN,12,FALSE)),"",VLOOKUP($C117,院校录取信息表!$C:$CN,12,FALSE))</f>
        <v/>
      </c>
      <c r="Q117" s="54" t="str">
        <f>IF(ISERROR(VLOOKUP($C117,院校录取信息表!$C:$CN,13,FALSE)),"",VLOOKUP($C117,院校录取信息表!$C:$CN,13,FALSE))</f>
        <v/>
      </c>
    </row>
    <row r="118" ht="20" customHeight="1" spans="1:17">
      <c r="A118" s="46"/>
      <c r="B118" s="44" t="s">
        <v>1063</v>
      </c>
      <c r="C118" s="45">
        <v>115</v>
      </c>
      <c r="D118" s="43" t="str">
        <f>IF(ISERROR(VLOOKUP($C118,院校录取信息表!$C:$CN,3,FALSE)),"",VLOOKUP($C118,院校录取信息表!$C:$CN,3,FALSE))</f>
        <v/>
      </c>
      <c r="E118" s="43" t="str">
        <f>IF(ISERROR(VLOOKUP($C118,院校录取信息表!$C:$CN,4,FALSE)),"",VLOOKUP($C118,院校录取信息表!$C:$CN,4,FALSE))</f>
        <v/>
      </c>
      <c r="F118" s="43" t="str">
        <f>IF(ISERROR(VLOOKUP($C118,院校录取信息表!$C:$CN,16,FALSE)),"",VLOOKUP($C118,院校录取信息表!$C:$CN,16,FALSE))</f>
        <v/>
      </c>
      <c r="G118" s="47" t="str">
        <f>IF(ISERROR(VLOOKUP($C118,院校录取信息表!$C:$CN,17,FALSE)),"",VLOOKUP($C118,院校录取信息表!$C:$CN,17,FALSE))</f>
        <v/>
      </c>
      <c r="H118" s="47" t="str">
        <f>IF(ISERROR(VLOOKUP($C118,院校录取信息表!$C:$CN,21,FALSE)),"",VLOOKUP($C118,院校录取信息表!$C:$CN,21,FALSE))</f>
        <v/>
      </c>
      <c r="I118" s="47" t="str">
        <f>IF(ISERROR(VLOOKUP($C118,院校录取信息表!$C:$CN,18,FALSE)),"",VLOOKUP($C118,院校录取信息表!$C:$CN,18,FALSE))</f>
        <v/>
      </c>
      <c r="J118" s="51" t="str">
        <f>IF(ISERROR(VLOOKUP($C118,院校录取信息表!$C:$CN,23,FALSE)),"",VLOOKUP($C118,院校录取信息表!$C:$CN,23,FALSE))</f>
        <v/>
      </c>
      <c r="K118" s="47" t="str">
        <f>IF(ISERROR(VLOOKUP($C118,院校录取信息表!$C:$CN,5,FALSE)),"",VLOOKUP($C118,院校录取信息表!$C:$CN,5,FALSE))</f>
        <v/>
      </c>
      <c r="L118" s="43" t="str">
        <f>IF(ISERROR(VLOOKUP($C118,院校录取信息表!$C:$CN,8,FALSE)),"",VLOOKUP($C118,院校录取信息表!$C:$CN,8,FALSE))</f>
        <v/>
      </c>
      <c r="M118" s="43" t="str">
        <f>IF(ISERROR(VLOOKUP($C118,院校录取信息表!$C:$CN,9,FALSE)),"",VLOOKUP($C118,院校录取信息表!$C:$CN,9,FALSE))</f>
        <v/>
      </c>
      <c r="N118" s="43" t="str">
        <f>IF(ISERROR(VLOOKUP($C118,院校录取信息表!$C:$CN,10,FALSE)),"",VLOOKUP($C118,院校录取信息表!$C:$CN,10,FALSE))</f>
        <v/>
      </c>
      <c r="O118" s="54" t="str">
        <f>IF(ISERROR(VLOOKUP($C118,院校录取信息表!$C:$CN,11,FALSE)),"",VLOOKUP($C118,院校录取信息表!$C:$CN,11,FALSE))</f>
        <v/>
      </c>
      <c r="P118" s="54" t="str">
        <f>IF(ISERROR(VLOOKUP($C118,院校录取信息表!$C:$CN,12,FALSE)),"",VLOOKUP($C118,院校录取信息表!$C:$CN,12,FALSE))</f>
        <v/>
      </c>
      <c r="Q118" s="54" t="str">
        <f>IF(ISERROR(VLOOKUP($C118,院校录取信息表!$C:$CN,13,FALSE)),"",VLOOKUP($C118,院校录取信息表!$C:$CN,13,FALSE))</f>
        <v/>
      </c>
    </row>
    <row r="119" ht="20" customHeight="1" spans="1:17">
      <c r="A119" s="46"/>
      <c r="B119" s="44"/>
      <c r="C119" s="45">
        <v>116</v>
      </c>
      <c r="D119" s="43" t="str">
        <f>IF(ISERROR(VLOOKUP($C119,院校录取信息表!$C:$CN,3,FALSE)),"",VLOOKUP($C119,院校录取信息表!$C:$CN,3,FALSE))</f>
        <v/>
      </c>
      <c r="E119" s="43" t="str">
        <f>IF(ISERROR(VLOOKUP($C119,院校录取信息表!$C:$CN,4,FALSE)),"",VLOOKUP($C119,院校录取信息表!$C:$CN,4,FALSE))</f>
        <v/>
      </c>
      <c r="F119" s="43" t="str">
        <f>IF(ISERROR(VLOOKUP($C119,院校录取信息表!$C:$CN,16,FALSE)),"",VLOOKUP($C119,院校录取信息表!$C:$CN,16,FALSE))</f>
        <v/>
      </c>
      <c r="G119" s="47" t="str">
        <f>IF(ISERROR(VLOOKUP($C119,院校录取信息表!$C:$CN,17,FALSE)),"",VLOOKUP($C119,院校录取信息表!$C:$CN,17,FALSE))</f>
        <v/>
      </c>
      <c r="H119" s="47" t="str">
        <f>IF(ISERROR(VLOOKUP($C119,院校录取信息表!$C:$CN,21,FALSE)),"",VLOOKUP($C119,院校录取信息表!$C:$CN,21,FALSE))</f>
        <v/>
      </c>
      <c r="I119" s="47" t="str">
        <f>IF(ISERROR(VLOOKUP($C119,院校录取信息表!$C:$CN,18,FALSE)),"",VLOOKUP($C119,院校录取信息表!$C:$CN,18,FALSE))</f>
        <v/>
      </c>
      <c r="J119" s="51" t="str">
        <f>IF(ISERROR(VLOOKUP($C119,院校录取信息表!$C:$CN,23,FALSE)),"",VLOOKUP($C119,院校录取信息表!$C:$CN,23,FALSE))</f>
        <v/>
      </c>
      <c r="K119" s="47" t="str">
        <f>IF(ISERROR(VLOOKUP($C119,院校录取信息表!$C:$CN,5,FALSE)),"",VLOOKUP($C119,院校录取信息表!$C:$CN,5,FALSE))</f>
        <v/>
      </c>
      <c r="L119" s="43" t="str">
        <f>IF(ISERROR(VLOOKUP($C119,院校录取信息表!$C:$CN,8,FALSE)),"",VLOOKUP($C119,院校录取信息表!$C:$CN,8,FALSE))</f>
        <v/>
      </c>
      <c r="M119" s="43" t="str">
        <f>IF(ISERROR(VLOOKUP($C119,院校录取信息表!$C:$CN,9,FALSE)),"",VLOOKUP($C119,院校录取信息表!$C:$CN,9,FALSE))</f>
        <v/>
      </c>
      <c r="N119" s="43" t="str">
        <f>IF(ISERROR(VLOOKUP($C119,院校录取信息表!$C:$CN,10,FALSE)),"",VLOOKUP($C119,院校录取信息表!$C:$CN,10,FALSE))</f>
        <v/>
      </c>
      <c r="O119" s="54" t="str">
        <f>IF(ISERROR(VLOOKUP($C119,院校录取信息表!$C:$CN,11,FALSE)),"",VLOOKUP($C119,院校录取信息表!$C:$CN,11,FALSE))</f>
        <v/>
      </c>
      <c r="P119" s="54" t="str">
        <f>IF(ISERROR(VLOOKUP($C119,院校录取信息表!$C:$CN,12,FALSE)),"",VLOOKUP($C119,院校录取信息表!$C:$CN,12,FALSE))</f>
        <v/>
      </c>
      <c r="Q119" s="54" t="str">
        <f>IF(ISERROR(VLOOKUP($C119,院校录取信息表!$C:$CN,13,FALSE)),"",VLOOKUP($C119,院校录取信息表!$C:$CN,13,FALSE))</f>
        <v/>
      </c>
    </row>
    <row r="120" ht="20" customHeight="1" spans="1:17">
      <c r="A120" s="46"/>
      <c r="B120" s="44"/>
      <c r="C120" s="45">
        <v>117</v>
      </c>
      <c r="D120" s="43" t="str">
        <f>IF(ISERROR(VLOOKUP($C120,院校录取信息表!$C:$CN,3,FALSE)),"",VLOOKUP($C120,院校录取信息表!$C:$CN,3,FALSE))</f>
        <v/>
      </c>
      <c r="E120" s="43" t="str">
        <f>IF(ISERROR(VLOOKUP($C120,院校录取信息表!$C:$CN,4,FALSE)),"",VLOOKUP($C120,院校录取信息表!$C:$CN,4,FALSE))</f>
        <v/>
      </c>
      <c r="F120" s="43" t="str">
        <f>IF(ISERROR(VLOOKUP($C120,院校录取信息表!$C:$CN,16,FALSE)),"",VLOOKUP($C120,院校录取信息表!$C:$CN,16,FALSE))</f>
        <v/>
      </c>
      <c r="G120" s="47" t="str">
        <f>IF(ISERROR(VLOOKUP($C120,院校录取信息表!$C:$CN,17,FALSE)),"",VLOOKUP($C120,院校录取信息表!$C:$CN,17,FALSE))</f>
        <v/>
      </c>
      <c r="H120" s="47" t="str">
        <f>IF(ISERROR(VLOOKUP($C120,院校录取信息表!$C:$CN,21,FALSE)),"",VLOOKUP($C120,院校录取信息表!$C:$CN,21,FALSE))</f>
        <v/>
      </c>
      <c r="I120" s="47" t="str">
        <f>IF(ISERROR(VLOOKUP($C120,院校录取信息表!$C:$CN,18,FALSE)),"",VLOOKUP($C120,院校录取信息表!$C:$CN,18,FALSE))</f>
        <v/>
      </c>
      <c r="J120" s="51" t="str">
        <f>IF(ISERROR(VLOOKUP($C120,院校录取信息表!$C:$CN,23,FALSE)),"",VLOOKUP($C120,院校录取信息表!$C:$CN,23,FALSE))</f>
        <v/>
      </c>
      <c r="K120" s="47" t="str">
        <f>IF(ISERROR(VLOOKUP($C120,院校录取信息表!$C:$CN,5,FALSE)),"",VLOOKUP($C120,院校录取信息表!$C:$CN,5,FALSE))</f>
        <v/>
      </c>
      <c r="L120" s="43" t="str">
        <f>IF(ISERROR(VLOOKUP($C120,院校录取信息表!$C:$CN,8,FALSE)),"",VLOOKUP($C120,院校录取信息表!$C:$CN,8,FALSE))</f>
        <v/>
      </c>
      <c r="M120" s="43" t="str">
        <f>IF(ISERROR(VLOOKUP($C120,院校录取信息表!$C:$CN,9,FALSE)),"",VLOOKUP($C120,院校录取信息表!$C:$CN,9,FALSE))</f>
        <v/>
      </c>
      <c r="N120" s="43" t="str">
        <f>IF(ISERROR(VLOOKUP($C120,院校录取信息表!$C:$CN,10,FALSE)),"",VLOOKUP($C120,院校录取信息表!$C:$CN,10,FALSE))</f>
        <v/>
      </c>
      <c r="O120" s="54" t="str">
        <f>IF(ISERROR(VLOOKUP($C120,院校录取信息表!$C:$CN,11,FALSE)),"",VLOOKUP($C120,院校录取信息表!$C:$CN,11,FALSE))</f>
        <v/>
      </c>
      <c r="P120" s="54" t="str">
        <f>IF(ISERROR(VLOOKUP($C120,院校录取信息表!$C:$CN,12,FALSE)),"",VLOOKUP($C120,院校录取信息表!$C:$CN,12,FALSE))</f>
        <v/>
      </c>
      <c r="Q120" s="54" t="str">
        <f>IF(ISERROR(VLOOKUP($C120,院校录取信息表!$C:$CN,13,FALSE)),"",VLOOKUP($C120,院校录取信息表!$C:$CN,13,FALSE))</f>
        <v/>
      </c>
    </row>
    <row r="121" ht="20" customHeight="1" spans="1:17">
      <c r="A121" s="46"/>
      <c r="B121" s="44"/>
      <c r="C121" s="45">
        <v>118</v>
      </c>
      <c r="D121" s="43" t="str">
        <f>IF(ISERROR(VLOOKUP($C121,院校录取信息表!$C:$CN,3,FALSE)),"",VLOOKUP($C121,院校录取信息表!$C:$CN,3,FALSE))</f>
        <v/>
      </c>
      <c r="E121" s="43" t="str">
        <f>IF(ISERROR(VLOOKUP($C121,院校录取信息表!$C:$CN,4,FALSE)),"",VLOOKUP($C121,院校录取信息表!$C:$CN,4,FALSE))</f>
        <v/>
      </c>
      <c r="F121" s="43" t="str">
        <f>IF(ISERROR(VLOOKUP($C121,院校录取信息表!$C:$CN,16,FALSE)),"",VLOOKUP($C121,院校录取信息表!$C:$CN,16,FALSE))</f>
        <v/>
      </c>
      <c r="G121" s="47" t="str">
        <f>IF(ISERROR(VLOOKUP($C121,院校录取信息表!$C:$CN,17,FALSE)),"",VLOOKUP($C121,院校录取信息表!$C:$CN,17,FALSE))</f>
        <v/>
      </c>
      <c r="H121" s="47" t="str">
        <f>IF(ISERROR(VLOOKUP($C121,院校录取信息表!$C:$CN,21,FALSE)),"",VLOOKUP($C121,院校录取信息表!$C:$CN,21,FALSE))</f>
        <v/>
      </c>
      <c r="I121" s="47" t="str">
        <f>IF(ISERROR(VLOOKUP($C121,院校录取信息表!$C:$CN,18,FALSE)),"",VLOOKUP($C121,院校录取信息表!$C:$CN,18,FALSE))</f>
        <v/>
      </c>
      <c r="J121" s="51" t="str">
        <f>IF(ISERROR(VLOOKUP($C121,院校录取信息表!$C:$CN,23,FALSE)),"",VLOOKUP($C121,院校录取信息表!$C:$CN,23,FALSE))</f>
        <v/>
      </c>
      <c r="K121" s="47" t="str">
        <f>IF(ISERROR(VLOOKUP($C121,院校录取信息表!$C:$CN,5,FALSE)),"",VLOOKUP($C121,院校录取信息表!$C:$CN,5,FALSE))</f>
        <v/>
      </c>
      <c r="L121" s="43" t="str">
        <f>IF(ISERROR(VLOOKUP($C121,院校录取信息表!$C:$CN,8,FALSE)),"",VLOOKUP($C121,院校录取信息表!$C:$CN,8,FALSE))</f>
        <v/>
      </c>
      <c r="M121" s="43" t="str">
        <f>IF(ISERROR(VLOOKUP($C121,院校录取信息表!$C:$CN,9,FALSE)),"",VLOOKUP($C121,院校录取信息表!$C:$CN,9,FALSE))</f>
        <v/>
      </c>
      <c r="N121" s="43" t="str">
        <f>IF(ISERROR(VLOOKUP($C121,院校录取信息表!$C:$CN,10,FALSE)),"",VLOOKUP($C121,院校录取信息表!$C:$CN,10,FALSE))</f>
        <v/>
      </c>
      <c r="O121" s="54" t="str">
        <f>IF(ISERROR(VLOOKUP($C121,院校录取信息表!$C:$CN,11,FALSE)),"",VLOOKUP($C121,院校录取信息表!$C:$CN,11,FALSE))</f>
        <v/>
      </c>
      <c r="P121" s="54" t="str">
        <f>IF(ISERROR(VLOOKUP($C121,院校录取信息表!$C:$CN,12,FALSE)),"",VLOOKUP($C121,院校录取信息表!$C:$CN,12,FALSE))</f>
        <v/>
      </c>
      <c r="Q121" s="54" t="str">
        <f>IF(ISERROR(VLOOKUP($C121,院校录取信息表!$C:$CN,13,FALSE)),"",VLOOKUP($C121,院校录取信息表!$C:$CN,13,FALSE))</f>
        <v/>
      </c>
    </row>
    <row r="122" ht="20" customHeight="1" spans="1:17">
      <c r="A122" s="46"/>
      <c r="B122" s="44"/>
      <c r="C122" s="45">
        <v>119</v>
      </c>
      <c r="D122" s="43" t="str">
        <f>IF(ISERROR(VLOOKUP($C122,院校录取信息表!$C:$CN,3,FALSE)),"",VLOOKUP($C122,院校录取信息表!$C:$CN,3,FALSE))</f>
        <v/>
      </c>
      <c r="E122" s="43" t="str">
        <f>IF(ISERROR(VLOOKUP($C122,院校录取信息表!$C:$CN,4,FALSE)),"",VLOOKUP($C122,院校录取信息表!$C:$CN,4,FALSE))</f>
        <v/>
      </c>
      <c r="F122" s="43" t="str">
        <f>IF(ISERROR(VLOOKUP($C122,院校录取信息表!$C:$CN,16,FALSE)),"",VLOOKUP($C122,院校录取信息表!$C:$CN,16,FALSE))</f>
        <v/>
      </c>
      <c r="G122" s="47" t="str">
        <f>IF(ISERROR(VLOOKUP($C122,院校录取信息表!$C:$CN,17,FALSE)),"",VLOOKUP($C122,院校录取信息表!$C:$CN,17,FALSE))</f>
        <v/>
      </c>
      <c r="H122" s="47" t="str">
        <f>IF(ISERROR(VLOOKUP($C122,院校录取信息表!$C:$CN,21,FALSE)),"",VLOOKUP($C122,院校录取信息表!$C:$CN,21,FALSE))</f>
        <v/>
      </c>
      <c r="I122" s="47" t="str">
        <f>IF(ISERROR(VLOOKUP($C122,院校录取信息表!$C:$CN,18,FALSE)),"",VLOOKUP($C122,院校录取信息表!$C:$CN,18,FALSE))</f>
        <v/>
      </c>
      <c r="J122" s="51" t="str">
        <f>IF(ISERROR(VLOOKUP($C122,院校录取信息表!$C:$CN,23,FALSE)),"",VLOOKUP($C122,院校录取信息表!$C:$CN,23,FALSE))</f>
        <v/>
      </c>
      <c r="K122" s="47" t="str">
        <f>IF(ISERROR(VLOOKUP($C122,院校录取信息表!$C:$CN,5,FALSE)),"",VLOOKUP($C122,院校录取信息表!$C:$CN,5,FALSE))</f>
        <v/>
      </c>
      <c r="L122" s="43" t="str">
        <f>IF(ISERROR(VLOOKUP($C122,院校录取信息表!$C:$CN,8,FALSE)),"",VLOOKUP($C122,院校录取信息表!$C:$CN,8,FALSE))</f>
        <v/>
      </c>
      <c r="M122" s="43" t="str">
        <f>IF(ISERROR(VLOOKUP($C122,院校录取信息表!$C:$CN,9,FALSE)),"",VLOOKUP($C122,院校录取信息表!$C:$CN,9,FALSE))</f>
        <v/>
      </c>
      <c r="N122" s="43" t="str">
        <f>IF(ISERROR(VLOOKUP($C122,院校录取信息表!$C:$CN,10,FALSE)),"",VLOOKUP($C122,院校录取信息表!$C:$CN,10,FALSE))</f>
        <v/>
      </c>
      <c r="O122" s="54" t="str">
        <f>IF(ISERROR(VLOOKUP($C122,院校录取信息表!$C:$CN,11,FALSE)),"",VLOOKUP($C122,院校录取信息表!$C:$CN,11,FALSE))</f>
        <v/>
      </c>
      <c r="P122" s="54" t="str">
        <f>IF(ISERROR(VLOOKUP($C122,院校录取信息表!$C:$CN,12,FALSE)),"",VLOOKUP($C122,院校录取信息表!$C:$CN,12,FALSE))</f>
        <v/>
      </c>
      <c r="Q122" s="54" t="str">
        <f>IF(ISERROR(VLOOKUP($C122,院校录取信息表!$C:$CN,13,FALSE)),"",VLOOKUP($C122,院校录取信息表!$C:$CN,13,FALSE))</f>
        <v/>
      </c>
    </row>
    <row r="123" ht="20" customHeight="1" spans="1:17">
      <c r="A123" s="46"/>
      <c r="B123" s="44"/>
      <c r="C123" s="45">
        <v>120</v>
      </c>
      <c r="D123" s="43" t="str">
        <f>IF(ISERROR(VLOOKUP($C123,院校录取信息表!$C:$CN,3,FALSE)),"",VLOOKUP($C123,院校录取信息表!$C:$CN,3,FALSE))</f>
        <v/>
      </c>
      <c r="E123" s="43" t="str">
        <f>IF(ISERROR(VLOOKUP($C123,院校录取信息表!$C:$CN,4,FALSE)),"",VLOOKUP($C123,院校录取信息表!$C:$CN,4,FALSE))</f>
        <v/>
      </c>
      <c r="F123" s="43" t="str">
        <f>IF(ISERROR(VLOOKUP($C123,院校录取信息表!$C:$CN,16,FALSE)),"",VLOOKUP($C123,院校录取信息表!$C:$CN,16,FALSE))</f>
        <v/>
      </c>
      <c r="G123" s="47" t="str">
        <f>IF(ISERROR(VLOOKUP($C123,院校录取信息表!$C:$CN,17,FALSE)),"",VLOOKUP($C123,院校录取信息表!$C:$CN,17,FALSE))</f>
        <v/>
      </c>
      <c r="H123" s="47" t="str">
        <f>IF(ISERROR(VLOOKUP($C123,院校录取信息表!$C:$CN,21,FALSE)),"",VLOOKUP($C123,院校录取信息表!$C:$CN,21,FALSE))</f>
        <v/>
      </c>
      <c r="I123" s="47" t="str">
        <f>IF(ISERROR(VLOOKUP($C123,院校录取信息表!$C:$CN,18,FALSE)),"",VLOOKUP($C123,院校录取信息表!$C:$CN,18,FALSE))</f>
        <v/>
      </c>
      <c r="J123" s="51" t="str">
        <f>IF(ISERROR(VLOOKUP($C123,院校录取信息表!$C:$CN,23,FALSE)),"",VLOOKUP($C123,院校录取信息表!$C:$CN,23,FALSE))</f>
        <v/>
      </c>
      <c r="K123" s="47" t="str">
        <f>IF(ISERROR(VLOOKUP($C123,院校录取信息表!$C:$CN,5,FALSE)),"",VLOOKUP($C123,院校录取信息表!$C:$CN,5,FALSE))</f>
        <v/>
      </c>
      <c r="L123" s="43" t="str">
        <f>IF(ISERROR(VLOOKUP($C123,院校录取信息表!$C:$CN,8,FALSE)),"",VLOOKUP($C123,院校录取信息表!$C:$CN,8,FALSE))</f>
        <v/>
      </c>
      <c r="M123" s="43" t="str">
        <f>IF(ISERROR(VLOOKUP($C123,院校录取信息表!$C:$CN,9,FALSE)),"",VLOOKUP($C123,院校录取信息表!$C:$CN,9,FALSE))</f>
        <v/>
      </c>
      <c r="N123" s="43" t="str">
        <f>IF(ISERROR(VLOOKUP($C123,院校录取信息表!$C:$CN,10,FALSE)),"",VLOOKUP($C123,院校录取信息表!$C:$CN,10,FALSE))</f>
        <v/>
      </c>
      <c r="O123" s="54" t="str">
        <f>IF(ISERROR(VLOOKUP($C123,院校录取信息表!$C:$CN,11,FALSE)),"",VLOOKUP($C123,院校录取信息表!$C:$CN,11,FALSE))</f>
        <v/>
      </c>
      <c r="P123" s="54" t="str">
        <f>IF(ISERROR(VLOOKUP($C123,院校录取信息表!$C:$CN,12,FALSE)),"",VLOOKUP($C123,院校录取信息表!$C:$CN,12,FALSE))</f>
        <v/>
      </c>
      <c r="Q123" s="54" t="str">
        <f>IF(ISERROR(VLOOKUP($C123,院校录取信息表!$C:$CN,13,FALSE)),"",VLOOKUP($C123,院校录取信息表!$C:$CN,13,FALSE))</f>
        <v/>
      </c>
    </row>
  </sheetData>
  <sheetProtection formatCells="0" insertHyperlinks="0" autoFilter="0"/>
  <protectedRanges>
    <protectedRange sqref="F3:O3 E3" name="区域2"/>
    <protectedRange sqref="C1:S1 C2:D2" name="区域4"/>
    <protectedRange sqref="E4:Q4" name="区域2_1"/>
    <protectedRange sqref="C6:Q8 C7 C10:Q99" name="区域2_1_1"/>
  </protectedRanges>
  <sortState ref="C5:AF292">
    <sortCondition ref="C5:C292"/>
  </sortState>
  <mergeCells count="35">
    <mergeCell ref="C1:Q1"/>
    <mergeCell ref="L2:M2"/>
    <mergeCell ref="N2:O2"/>
    <mergeCell ref="P2:Q2"/>
    <mergeCell ref="A1:A3"/>
    <mergeCell ref="B1:B3"/>
    <mergeCell ref="B4:B9"/>
    <mergeCell ref="B10:B15"/>
    <mergeCell ref="B16:B21"/>
    <mergeCell ref="B22:B27"/>
    <mergeCell ref="B28:B33"/>
    <mergeCell ref="B34:B39"/>
    <mergeCell ref="B40:B45"/>
    <mergeCell ref="B46:B51"/>
    <mergeCell ref="B52:B57"/>
    <mergeCell ref="B58:B63"/>
    <mergeCell ref="B64:B69"/>
    <mergeCell ref="B70:B75"/>
    <mergeCell ref="B76:B81"/>
    <mergeCell ref="B82:B87"/>
    <mergeCell ref="B88:B93"/>
    <mergeCell ref="B94:B99"/>
    <mergeCell ref="B100:B105"/>
    <mergeCell ref="B106:B111"/>
    <mergeCell ref="B112:B117"/>
    <mergeCell ref="B118:B123"/>
    <mergeCell ref="C2:C3"/>
    <mergeCell ref="D2:D3"/>
    <mergeCell ref="E2:E3"/>
    <mergeCell ref="F2:F3"/>
    <mergeCell ref="G2:G3"/>
    <mergeCell ref="H2:H3"/>
    <mergeCell ref="I2:I3"/>
    <mergeCell ref="J2:J3"/>
    <mergeCell ref="K2:K3"/>
  </mergeCells>
  <dataValidations count="2">
    <dataValidation type="custom" allowBlank="1" showErrorMessage="1" errorTitle="拒绝重复输入" error="当前输入的内容，与本区域的其他单元格内容重复。" sqref="C4:C123" errorStyle="warning">
      <formula1>COUNTIF($C:$C,C4)=0</formula1>
    </dataValidation>
    <dataValidation type="custom" allowBlank="1" showErrorMessage="1" errorTitle="拒绝重复输入" error="当前输入的内容，与本区域的其他单元格内容重复。" sqref="A1:A123" errorStyle="warning">
      <formula1>COUNTIF($A:$A,A1)&lt;2</formula1>
    </dataValidation>
  </dataValidations>
  <pageMargins left="0.7" right="0.7" top="0.75" bottom="0.75" header="0.3" footer="0.3"/>
  <pageSetup paperSize="9"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4"/>
  <sheetViews>
    <sheetView workbookViewId="0">
      <selection activeCell="L24" sqref="L24"/>
    </sheetView>
  </sheetViews>
  <sheetFormatPr defaultColWidth="8.89166666666667" defaultRowHeight="13.5"/>
  <cols>
    <col min="3" max="3" width="16.4416666666667" customWidth="1"/>
    <col min="4" max="4" width="25.4416666666667" customWidth="1"/>
    <col min="5" max="5" width="18.5583333333333" customWidth="1"/>
    <col min="6" max="6" width="19.4416666666667" customWidth="1"/>
    <col min="7" max="7" width="15.6666666666667" customWidth="1"/>
    <col min="8" max="8" width="19.8916666666667" customWidth="1"/>
    <col min="9" max="9" width="9.66666666666667" customWidth="1"/>
  </cols>
  <sheetData>
    <row r="1" ht="14.25" spans="2:9">
      <c r="B1" s="11" t="s">
        <v>1064</v>
      </c>
      <c r="C1" s="11"/>
      <c r="D1" s="11"/>
      <c r="E1" s="11"/>
      <c r="F1" s="11"/>
      <c r="G1" s="11"/>
      <c r="H1" s="11"/>
      <c r="I1" s="11"/>
    </row>
    <row r="2" ht="18" customHeight="1" spans="2:9">
      <c r="B2" s="12" t="s">
        <v>1065</v>
      </c>
      <c r="C2" s="12"/>
      <c r="D2" s="12"/>
      <c r="E2" s="12"/>
      <c r="F2" s="12"/>
      <c r="G2" s="12"/>
      <c r="H2" s="12"/>
      <c r="I2" s="12"/>
    </row>
    <row r="3" spans="1:9">
      <c r="A3" s="13" t="s">
        <v>1066</v>
      </c>
      <c r="B3" s="14" t="s">
        <v>1035</v>
      </c>
      <c r="C3" s="14" t="s">
        <v>1067</v>
      </c>
      <c r="D3" s="14"/>
      <c r="E3" s="14"/>
      <c r="F3" s="20" t="s">
        <v>1035</v>
      </c>
      <c r="G3" s="14" t="s">
        <v>1068</v>
      </c>
      <c r="H3" s="14"/>
      <c r="I3" s="14" t="s">
        <v>1069</v>
      </c>
    </row>
    <row r="4" spans="1:9">
      <c r="A4" s="13"/>
      <c r="B4" s="14"/>
      <c r="C4" s="14" t="s">
        <v>1070</v>
      </c>
      <c r="D4" s="14" t="s">
        <v>61</v>
      </c>
      <c r="E4" s="14" t="s">
        <v>62</v>
      </c>
      <c r="F4" s="22"/>
      <c r="G4" s="14" t="s">
        <v>1071</v>
      </c>
      <c r="H4" s="14" t="s">
        <v>1072</v>
      </c>
      <c r="I4" s="14"/>
    </row>
    <row r="5" spans="1:9">
      <c r="A5" s="15">
        <v>1</v>
      </c>
      <c r="B5" s="16" t="s">
        <v>1044</v>
      </c>
      <c r="C5" s="17">
        <f>IF(ISERROR(VLOOKUP($A5,自动生成专业初选表!$A:$K,4,FALSE)),"",VLOOKUP($A5,自动生成专业初选表!$A:$K,4,FALSE))</f>
        <v>11113</v>
      </c>
      <c r="D5" s="17" t="str">
        <f>IF(ISERROR(VLOOKUP($A5,自动生成专业初选表!$A:$K,5,FALSE)),"",VLOOKUP($A5,自动生成专业初选表!$A:$K,5,FALSE))</f>
        <v>深圳职业技术大学</v>
      </c>
      <c r="E5" s="17">
        <f>IF(ISERROR(VLOOKUP($A5,自动生成专业初选表!$A:$K,11,FALSE)),"",VLOOKUP($A5,自动生成专业初选表!$A:$K,11,FALSE))</f>
        <v>601</v>
      </c>
      <c r="F5" s="17" t="s">
        <v>1073</v>
      </c>
      <c r="G5" s="17" t="str">
        <f>IF(ISERROR(VLOOKUP($A5,自动生成专业初选表!$A:$K,12,FALSE)),"",VLOOKUP($A5,自动生成专业初选表!$A:$K,12,FALSE))</f>
        <v/>
      </c>
      <c r="H5" s="17" t="str">
        <f>IF(ISERROR(VLOOKUP($A5,自动生成专业初选表!$A:$K,13,FALSE)),"",VLOOKUP($A5,自动生成专业初选表!$A:$K,13,FALSE))</f>
        <v/>
      </c>
      <c r="I5" s="23" t="s">
        <v>1074</v>
      </c>
    </row>
    <row r="6" spans="1:9">
      <c r="A6" s="15">
        <v>2</v>
      </c>
      <c r="B6" s="18"/>
      <c r="C6" s="17">
        <f>IF(ISERROR(VLOOKUP($A6,自动生成专业初选表!$A:$K,4,FALSE)),"",VLOOKUP($A6,自动生成专业初选表!$A:$K,4,FALSE))</f>
        <v>11113</v>
      </c>
      <c r="D6" s="17" t="str">
        <f>IF(ISERROR(VLOOKUP($A6,自动生成专业初选表!$A:$K,5,FALSE)),"",VLOOKUP($A6,自动生成专业初选表!$A:$K,5,FALSE))</f>
        <v>深圳职业技术大学</v>
      </c>
      <c r="E6" s="17">
        <f>IF(ISERROR(VLOOKUP($A6,自动生成专业初选表!$A:$K,11,FALSE)),"",VLOOKUP($A6,自动生成专业初选表!$A:$K,11,FALSE))</f>
        <v>602</v>
      </c>
      <c r="F6" s="17" t="s">
        <v>1075</v>
      </c>
      <c r="G6" s="17" t="str">
        <f>IF(ISERROR(VLOOKUP($A6,自动生成专业初选表!$A:$K,12,FALSE)),"",VLOOKUP($A6,自动生成专业初选表!$A:$K,12,FALSE))</f>
        <v/>
      </c>
      <c r="H6" s="17" t="str">
        <f>IF(ISERROR(VLOOKUP($A6,自动生成专业初选表!$A:$K,13,FALSE)),"",VLOOKUP($A6,自动生成专业初选表!$A:$K,13,FALSE))</f>
        <v/>
      </c>
      <c r="I6" s="24"/>
    </row>
    <row r="7" spans="1:9">
      <c r="A7" s="15">
        <v>3</v>
      </c>
      <c r="B7" s="18"/>
      <c r="C7" s="17">
        <f>IF(ISERROR(VLOOKUP($A7,自动生成专业初选表!$A:$K,4,FALSE)),"",VLOOKUP($A7,自动生成专业初选表!$A:$K,4,FALSE))</f>
        <v>11113</v>
      </c>
      <c r="D7" s="17" t="str">
        <f>IF(ISERROR(VLOOKUP($A7,自动生成专业初选表!$A:$K,5,FALSE)),"",VLOOKUP($A7,自动生成专业初选表!$A:$K,5,FALSE))</f>
        <v>深圳职业技术大学</v>
      </c>
      <c r="E7" s="17">
        <f>IF(ISERROR(VLOOKUP($A7,自动生成专业初选表!$A:$K,11,FALSE)),"",VLOOKUP($A7,自动生成专业初选表!$A:$K,11,FALSE))</f>
        <v>606</v>
      </c>
      <c r="F7" s="17" t="s">
        <v>1076</v>
      </c>
      <c r="G7" s="17" t="str">
        <f>IF(ISERROR(VLOOKUP($A7,自动生成专业初选表!$A:$K,12,FALSE)),"",VLOOKUP($A7,自动生成专业初选表!$A:$K,12,FALSE))</f>
        <v/>
      </c>
      <c r="H7" s="17" t="str">
        <f>IF(ISERROR(VLOOKUP($A7,自动生成专业初选表!$A:$K,13,FALSE)),"",VLOOKUP($A7,自动生成专业初选表!$A:$K,13,FALSE))</f>
        <v/>
      </c>
      <c r="I7" s="24"/>
    </row>
    <row r="8" spans="1:9">
      <c r="A8" s="15">
        <v>4</v>
      </c>
      <c r="B8" s="18"/>
      <c r="C8" s="17">
        <f>IF(ISERROR(VLOOKUP($A8,自动生成专业初选表!$A:$K,4,FALSE)),"",VLOOKUP($A8,自动生成专业初选表!$A:$K,4,FALSE))</f>
        <v>12957</v>
      </c>
      <c r="D8" s="17" t="str">
        <f>IF(ISERROR(VLOOKUP($A8,自动生成专业初选表!$A:$K,5,FALSE)),"",VLOOKUP($A8,自动生成专业初选表!$A:$K,5,FALSE))</f>
        <v>深圳信息职业技术大学</v>
      </c>
      <c r="E8" s="17">
        <f>IF(ISERROR(VLOOKUP($A8,自动生成专业初选表!$A:$K,11,FALSE)),"",VLOOKUP($A8,自动生成专业初选表!$A:$K,11,FALSE))</f>
        <v>601</v>
      </c>
      <c r="F8" s="17" t="s">
        <v>1077</v>
      </c>
      <c r="G8" s="17" t="str">
        <f>IF(ISERROR(VLOOKUP($A8,自动生成专业初选表!$A:$K,12,FALSE)),"",VLOOKUP($A8,自动生成专业初选表!$A:$K,12,FALSE))</f>
        <v/>
      </c>
      <c r="H8" s="17" t="str">
        <f>IF(ISERROR(VLOOKUP($A8,自动生成专业初选表!$A:$K,13,FALSE)),"",VLOOKUP($A8,自动生成专业初选表!$A:$K,13,FALSE))</f>
        <v/>
      </c>
      <c r="I8" s="24"/>
    </row>
    <row r="9" spans="1:9">
      <c r="A9" s="15">
        <v>5</v>
      </c>
      <c r="B9" s="18"/>
      <c r="C9" s="17">
        <f>IF(ISERROR(VLOOKUP($A9,自动生成专业初选表!$A:$K,4,FALSE)),"",VLOOKUP($A9,自动生成专业初选表!$A:$K,4,FALSE))</f>
        <v>12957</v>
      </c>
      <c r="D9" s="17" t="str">
        <f>IF(ISERROR(VLOOKUP($A9,自动生成专业初选表!$A:$K,5,FALSE)),"",VLOOKUP($A9,自动生成专业初选表!$A:$K,5,FALSE))</f>
        <v>深圳信息职业技术大学</v>
      </c>
      <c r="E9" s="17">
        <f>IF(ISERROR(VLOOKUP($A9,自动生成专业初选表!$A:$K,11,FALSE)),"",VLOOKUP($A9,自动生成专业初选表!$A:$K,11,FALSE))</f>
        <v>602</v>
      </c>
      <c r="F9" s="17" t="s">
        <v>1078</v>
      </c>
      <c r="G9" s="17" t="str">
        <f>IF(ISERROR(VLOOKUP($A9,自动生成专业初选表!$A:$K,12,FALSE)),"",VLOOKUP($A9,自动生成专业初选表!$A:$K,12,FALSE))</f>
        <v/>
      </c>
      <c r="H9" s="17" t="str">
        <f>IF(ISERROR(VLOOKUP($A9,自动生成专业初选表!$A:$K,13,FALSE)),"",VLOOKUP($A9,自动生成专业初选表!$A:$K,13,FALSE))</f>
        <v/>
      </c>
      <c r="I9" s="24"/>
    </row>
    <row r="10" spans="1:9">
      <c r="A10" s="15">
        <v>6</v>
      </c>
      <c r="B10" s="19"/>
      <c r="C10" s="17">
        <f>IF(ISERROR(VLOOKUP($A10,自动生成专业初选表!$A:$K,4,FALSE)),"",VLOOKUP($A10,自动生成专业初选表!$A:$K,4,FALSE))</f>
        <v>11113</v>
      </c>
      <c r="D10" s="17" t="str">
        <f>IF(ISERROR(VLOOKUP($A10,自动生成专业初选表!$A:$K,5,FALSE)),"",VLOOKUP($A10,自动生成专业初选表!$A:$K,5,FALSE))</f>
        <v>深圳职业技术大学</v>
      </c>
      <c r="E10" s="17">
        <f>IF(ISERROR(VLOOKUP($A10,自动生成专业初选表!$A:$K,11,FALSE)),"",VLOOKUP($A10,自动生成专业初选表!$A:$K,11,FALSE))</f>
        <v>607</v>
      </c>
      <c r="F10" s="17" t="s">
        <v>1079</v>
      </c>
      <c r="G10" s="17" t="str">
        <f>IF(ISERROR(VLOOKUP($A10,自动生成专业初选表!$A:$K,12,FALSE)),"",VLOOKUP($A10,自动生成专业初选表!$A:$K,12,FALSE))</f>
        <v/>
      </c>
      <c r="H10" s="17" t="str">
        <f>IF(ISERROR(VLOOKUP($A10,自动生成专业初选表!$A:$K,13,FALSE)),"",VLOOKUP($A10,自动生成专业初选表!$A:$K,13,FALSE))</f>
        <v/>
      </c>
      <c r="I10" s="24"/>
    </row>
    <row r="11" spans="1:9">
      <c r="A11" s="13">
        <v>7</v>
      </c>
      <c r="B11" s="20" t="s">
        <v>1045</v>
      </c>
      <c r="C11" s="14" t="str">
        <f>IF(ISERROR(VLOOKUP($A11,自动生成专业初选表!$A:$K,4,FALSE)),"",VLOOKUP($A11,自动生成专业初选表!$A:$K,4,FALSE))</f>
        <v/>
      </c>
      <c r="D11" s="14" t="str">
        <f>IF(ISERROR(VLOOKUP($A11,自动生成专业初选表!$A:$K,5,FALSE)),"",VLOOKUP($A11,自动生成专业初选表!$A:$K,5,FALSE))</f>
        <v/>
      </c>
      <c r="E11" s="14" t="str">
        <f>IF(ISERROR(VLOOKUP($A11,自动生成专业初选表!$A:$K,11,FALSE)),"",VLOOKUP($A11,自动生成专业初选表!$A:$K,11,FALSE))</f>
        <v/>
      </c>
      <c r="F11" s="14" t="s">
        <v>1073</v>
      </c>
      <c r="G11" s="14" t="str">
        <f>IF(ISERROR(VLOOKUP($A11,自动生成专业初选表!$A:$K,12,FALSE)),"",VLOOKUP($A11,自动生成专业初选表!$A:$K,12,FALSE))</f>
        <v/>
      </c>
      <c r="H11" s="14" t="str">
        <f>IF(ISERROR(VLOOKUP($A11,自动生成专业初选表!$A:$K,13,FALSE)),"",VLOOKUP($A11,自动生成专业初选表!$A:$K,13,FALSE))</f>
        <v/>
      </c>
      <c r="I11" s="25" t="s">
        <v>1074</v>
      </c>
    </row>
    <row r="12" spans="1:9">
      <c r="A12" s="13">
        <v>8</v>
      </c>
      <c r="B12" s="21"/>
      <c r="C12" s="14" t="str">
        <f>IF(ISERROR(VLOOKUP($A12,自动生成专业初选表!$A:$K,4,FALSE)),"",VLOOKUP($A12,自动生成专业初选表!$A:$K,4,FALSE))</f>
        <v/>
      </c>
      <c r="D12" s="14" t="str">
        <f>IF(ISERROR(VLOOKUP($A12,自动生成专业初选表!$A:$K,5,FALSE)),"",VLOOKUP($A12,自动生成专业初选表!$A:$K,5,FALSE))</f>
        <v/>
      </c>
      <c r="E12" s="14" t="str">
        <f>IF(ISERROR(VLOOKUP($A12,自动生成专业初选表!$A:$K,11,FALSE)),"",VLOOKUP($A12,自动生成专业初选表!$A:$K,11,FALSE))</f>
        <v/>
      </c>
      <c r="F12" s="14" t="s">
        <v>1075</v>
      </c>
      <c r="G12" s="14" t="str">
        <f>IF(ISERROR(VLOOKUP($A12,自动生成专业初选表!$A:$K,12,FALSE)),"",VLOOKUP($A12,自动生成专业初选表!$A:$K,12,FALSE))</f>
        <v/>
      </c>
      <c r="H12" s="14" t="str">
        <f>IF(ISERROR(VLOOKUP($A12,自动生成专业初选表!$A:$K,13,FALSE)),"",VLOOKUP($A12,自动生成专业初选表!$A:$K,13,FALSE))</f>
        <v/>
      </c>
      <c r="I12" s="26"/>
    </row>
    <row r="13" spans="1:9">
      <c r="A13" s="13">
        <v>9</v>
      </c>
      <c r="B13" s="21"/>
      <c r="C13" s="14" t="str">
        <f>IF(ISERROR(VLOOKUP($A13,自动生成专业初选表!$A:$K,4,FALSE)),"",VLOOKUP($A13,自动生成专业初选表!$A:$K,4,FALSE))</f>
        <v/>
      </c>
      <c r="D13" s="14" t="str">
        <f>IF(ISERROR(VLOOKUP($A13,自动生成专业初选表!$A:$K,5,FALSE)),"",VLOOKUP($A13,自动生成专业初选表!$A:$K,5,FALSE))</f>
        <v/>
      </c>
      <c r="E13" s="14" t="str">
        <f>IF(ISERROR(VLOOKUP($A13,自动生成专业初选表!$A:$K,11,FALSE)),"",VLOOKUP($A13,自动生成专业初选表!$A:$K,11,FALSE))</f>
        <v/>
      </c>
      <c r="F13" s="14" t="s">
        <v>1076</v>
      </c>
      <c r="G13" s="14" t="str">
        <f>IF(ISERROR(VLOOKUP($A13,自动生成专业初选表!$A:$K,12,FALSE)),"",VLOOKUP($A13,自动生成专业初选表!$A:$K,12,FALSE))</f>
        <v/>
      </c>
      <c r="H13" s="14" t="str">
        <f>IF(ISERROR(VLOOKUP($A13,自动生成专业初选表!$A:$K,13,FALSE)),"",VLOOKUP($A13,自动生成专业初选表!$A:$K,13,FALSE))</f>
        <v/>
      </c>
      <c r="I13" s="26"/>
    </row>
    <row r="14" spans="1:9">
      <c r="A14" s="13">
        <v>10</v>
      </c>
      <c r="B14" s="21"/>
      <c r="C14" s="14" t="str">
        <f>IF(ISERROR(VLOOKUP($A14,自动生成专业初选表!$A:$K,4,FALSE)),"",VLOOKUP($A14,自动生成专业初选表!$A:$K,4,FALSE))</f>
        <v/>
      </c>
      <c r="D14" s="14" t="str">
        <f>IF(ISERROR(VLOOKUP($A14,自动生成专业初选表!$A:$K,5,FALSE)),"",VLOOKUP($A14,自动生成专业初选表!$A:$K,5,FALSE))</f>
        <v/>
      </c>
      <c r="E14" s="14" t="str">
        <f>IF(ISERROR(VLOOKUP($A14,自动生成专业初选表!$A:$K,11,FALSE)),"",VLOOKUP($A14,自动生成专业初选表!$A:$K,11,FALSE))</f>
        <v/>
      </c>
      <c r="F14" s="14" t="s">
        <v>1077</v>
      </c>
      <c r="G14" s="14" t="str">
        <f>IF(ISERROR(VLOOKUP($A14,自动生成专业初选表!$A:$K,12,FALSE)),"",VLOOKUP($A14,自动生成专业初选表!$A:$K,12,FALSE))</f>
        <v/>
      </c>
      <c r="H14" s="14" t="str">
        <f>IF(ISERROR(VLOOKUP($A14,自动生成专业初选表!$A:$K,13,FALSE)),"",VLOOKUP($A14,自动生成专业初选表!$A:$K,13,FALSE))</f>
        <v/>
      </c>
      <c r="I14" s="26"/>
    </row>
    <row r="15" spans="1:9">
      <c r="A15" s="13">
        <v>11</v>
      </c>
      <c r="B15" s="21"/>
      <c r="C15" s="14" t="str">
        <f>IF(ISERROR(VLOOKUP($A15,自动生成专业初选表!$A:$K,4,FALSE)),"",VLOOKUP($A15,自动生成专业初选表!$A:$K,4,FALSE))</f>
        <v/>
      </c>
      <c r="D15" s="14" t="str">
        <f>IF(ISERROR(VLOOKUP($A15,自动生成专业初选表!$A:$K,5,FALSE)),"",VLOOKUP($A15,自动生成专业初选表!$A:$K,5,FALSE))</f>
        <v/>
      </c>
      <c r="E15" s="14" t="str">
        <f>IF(ISERROR(VLOOKUP($A15,自动生成专业初选表!$A:$K,11,FALSE)),"",VLOOKUP($A15,自动生成专业初选表!$A:$K,11,FALSE))</f>
        <v/>
      </c>
      <c r="F15" s="14" t="s">
        <v>1078</v>
      </c>
      <c r="G15" s="14" t="str">
        <f>IF(ISERROR(VLOOKUP($A15,自动生成专业初选表!$A:$K,12,FALSE)),"",VLOOKUP($A15,自动生成专业初选表!$A:$K,12,FALSE))</f>
        <v/>
      </c>
      <c r="H15" s="14" t="str">
        <f>IF(ISERROR(VLOOKUP($A15,自动生成专业初选表!$A:$K,13,FALSE)),"",VLOOKUP($A15,自动生成专业初选表!$A:$K,13,FALSE))</f>
        <v/>
      </c>
      <c r="I15" s="26"/>
    </row>
    <row r="16" spans="1:9">
      <c r="A16" s="13">
        <v>12</v>
      </c>
      <c r="B16" s="22"/>
      <c r="C16" s="14" t="str">
        <f>IF(ISERROR(VLOOKUP($A16,自动生成专业初选表!$A:$K,4,FALSE)),"",VLOOKUP($A16,自动生成专业初选表!$A:$K,4,FALSE))</f>
        <v/>
      </c>
      <c r="D16" s="14" t="str">
        <f>IF(ISERROR(VLOOKUP($A16,自动生成专业初选表!$A:$K,5,FALSE)),"",VLOOKUP($A16,自动生成专业初选表!$A:$K,5,FALSE))</f>
        <v/>
      </c>
      <c r="E16" s="14" t="str">
        <f>IF(ISERROR(VLOOKUP($A16,自动生成专业初选表!$A:$K,11,FALSE)),"",VLOOKUP($A16,自动生成专业初选表!$A:$K,11,FALSE))</f>
        <v/>
      </c>
      <c r="F16" s="14" t="s">
        <v>1079</v>
      </c>
      <c r="G16" s="14" t="str">
        <f>IF(ISERROR(VLOOKUP($A16,自动生成专业初选表!$A:$K,12,FALSE)),"",VLOOKUP($A16,自动生成专业初选表!$A:$K,12,FALSE))</f>
        <v/>
      </c>
      <c r="H16" s="14" t="str">
        <f>IF(ISERROR(VLOOKUP($A16,自动生成专业初选表!$A:$K,13,FALSE)),"",VLOOKUP($A16,自动生成专业初选表!$A:$K,13,FALSE))</f>
        <v/>
      </c>
      <c r="I16" s="26"/>
    </row>
    <row r="17" spans="1:9">
      <c r="A17" s="15">
        <v>13</v>
      </c>
      <c r="B17" s="16" t="s">
        <v>1046</v>
      </c>
      <c r="C17" s="17" t="str">
        <f>IF(ISERROR(VLOOKUP($A17,自动生成专业初选表!$A:$K,4,FALSE)),"",VLOOKUP($A17,自动生成专业初选表!$A:$K,4,FALSE))</f>
        <v/>
      </c>
      <c r="D17" s="17" t="str">
        <f>IF(ISERROR(VLOOKUP($A17,自动生成专业初选表!$A:$K,5,FALSE)),"",VLOOKUP($A17,自动生成专业初选表!$A:$K,5,FALSE))</f>
        <v/>
      </c>
      <c r="E17" s="17" t="str">
        <f>IF(ISERROR(VLOOKUP($A17,自动生成专业初选表!$A:$K,11,FALSE)),"",VLOOKUP($A17,自动生成专业初选表!$A:$K,11,FALSE))</f>
        <v/>
      </c>
      <c r="F17" s="17" t="s">
        <v>1073</v>
      </c>
      <c r="G17" s="17" t="str">
        <f>IF(ISERROR(VLOOKUP($A17,自动生成专业初选表!$A:$K,12,FALSE)),"",VLOOKUP($A17,自动生成专业初选表!$A:$K,12,FALSE))</f>
        <v/>
      </c>
      <c r="H17" s="17" t="str">
        <f>IF(ISERROR(VLOOKUP($A17,自动生成专业初选表!$A:$K,13,FALSE)),"",VLOOKUP($A17,自动生成专业初选表!$A:$K,13,FALSE))</f>
        <v/>
      </c>
      <c r="I17" s="23" t="s">
        <v>1074</v>
      </c>
    </row>
    <row r="18" spans="1:9">
      <c r="A18" s="15">
        <v>14</v>
      </c>
      <c r="B18" s="18"/>
      <c r="C18" s="17" t="str">
        <f>IF(ISERROR(VLOOKUP($A18,自动生成专业初选表!$A:$K,4,FALSE)),"",VLOOKUP($A18,自动生成专业初选表!$A:$K,4,FALSE))</f>
        <v/>
      </c>
      <c r="D18" s="17" t="str">
        <f>IF(ISERROR(VLOOKUP($A18,自动生成专业初选表!$A:$K,5,FALSE)),"",VLOOKUP($A18,自动生成专业初选表!$A:$K,5,FALSE))</f>
        <v/>
      </c>
      <c r="E18" s="17" t="str">
        <f>IF(ISERROR(VLOOKUP($A18,自动生成专业初选表!$A:$K,11,FALSE)),"",VLOOKUP($A18,自动生成专业初选表!$A:$K,11,FALSE))</f>
        <v/>
      </c>
      <c r="F18" s="17" t="s">
        <v>1075</v>
      </c>
      <c r="G18" s="17" t="str">
        <f>IF(ISERROR(VLOOKUP($A18,自动生成专业初选表!$A:$K,12,FALSE)),"",VLOOKUP($A18,自动生成专业初选表!$A:$K,12,FALSE))</f>
        <v/>
      </c>
      <c r="H18" s="17" t="str">
        <f>IF(ISERROR(VLOOKUP($A18,自动生成专业初选表!$A:$K,13,FALSE)),"",VLOOKUP($A18,自动生成专业初选表!$A:$K,13,FALSE))</f>
        <v/>
      </c>
      <c r="I18" s="24"/>
    </row>
    <row r="19" spans="1:9">
      <c r="A19" s="15">
        <v>15</v>
      </c>
      <c r="B19" s="18"/>
      <c r="C19" s="17" t="str">
        <f>IF(ISERROR(VLOOKUP($A19,自动生成专业初选表!$A:$K,4,FALSE)),"",VLOOKUP($A19,自动生成专业初选表!$A:$K,4,FALSE))</f>
        <v/>
      </c>
      <c r="D19" s="17" t="str">
        <f>IF(ISERROR(VLOOKUP($A19,自动生成专业初选表!$A:$K,5,FALSE)),"",VLOOKUP($A19,自动生成专业初选表!$A:$K,5,FALSE))</f>
        <v/>
      </c>
      <c r="E19" s="17" t="str">
        <f>IF(ISERROR(VLOOKUP($A19,自动生成专业初选表!$A:$K,11,FALSE)),"",VLOOKUP($A19,自动生成专业初选表!$A:$K,11,FALSE))</f>
        <v/>
      </c>
      <c r="F19" s="17" t="s">
        <v>1076</v>
      </c>
      <c r="G19" s="17" t="str">
        <f>IF(ISERROR(VLOOKUP($A19,自动生成专业初选表!$A:$K,12,FALSE)),"",VLOOKUP($A19,自动生成专业初选表!$A:$K,12,FALSE))</f>
        <v/>
      </c>
      <c r="H19" s="17" t="str">
        <f>IF(ISERROR(VLOOKUP($A19,自动生成专业初选表!$A:$K,13,FALSE)),"",VLOOKUP($A19,自动生成专业初选表!$A:$K,13,FALSE))</f>
        <v/>
      </c>
      <c r="I19" s="24"/>
    </row>
    <row r="20" spans="1:9">
      <c r="A20" s="15">
        <v>16</v>
      </c>
      <c r="B20" s="18"/>
      <c r="C20" s="17" t="str">
        <f>IF(ISERROR(VLOOKUP($A20,自动生成专业初选表!$A:$K,4,FALSE)),"",VLOOKUP($A20,自动生成专业初选表!$A:$K,4,FALSE))</f>
        <v/>
      </c>
      <c r="D20" s="17" t="str">
        <f>IF(ISERROR(VLOOKUP($A20,自动生成专业初选表!$A:$K,5,FALSE)),"",VLOOKUP($A20,自动生成专业初选表!$A:$K,5,FALSE))</f>
        <v/>
      </c>
      <c r="E20" s="17" t="str">
        <f>IF(ISERROR(VLOOKUP($A20,自动生成专业初选表!$A:$K,11,FALSE)),"",VLOOKUP($A20,自动生成专业初选表!$A:$K,11,FALSE))</f>
        <v/>
      </c>
      <c r="F20" s="17" t="s">
        <v>1077</v>
      </c>
      <c r="G20" s="17" t="str">
        <f>IF(ISERROR(VLOOKUP($A20,自动生成专业初选表!$A:$K,12,FALSE)),"",VLOOKUP($A20,自动生成专业初选表!$A:$K,12,FALSE))</f>
        <v/>
      </c>
      <c r="H20" s="17" t="str">
        <f>IF(ISERROR(VLOOKUP($A20,自动生成专业初选表!$A:$K,13,FALSE)),"",VLOOKUP($A20,自动生成专业初选表!$A:$K,13,FALSE))</f>
        <v/>
      </c>
      <c r="I20" s="24"/>
    </row>
    <row r="21" spans="1:9">
      <c r="A21" s="15">
        <v>17</v>
      </c>
      <c r="B21" s="18"/>
      <c r="C21" s="17" t="str">
        <f>IF(ISERROR(VLOOKUP($A21,自动生成专业初选表!$A:$K,4,FALSE)),"",VLOOKUP($A21,自动生成专业初选表!$A:$K,4,FALSE))</f>
        <v/>
      </c>
      <c r="D21" s="17" t="str">
        <f>IF(ISERROR(VLOOKUP($A21,自动生成专业初选表!$A:$K,5,FALSE)),"",VLOOKUP($A21,自动生成专业初选表!$A:$K,5,FALSE))</f>
        <v/>
      </c>
      <c r="E21" s="17" t="str">
        <f>IF(ISERROR(VLOOKUP($A21,自动生成专业初选表!$A:$K,11,FALSE)),"",VLOOKUP($A21,自动生成专业初选表!$A:$K,11,FALSE))</f>
        <v/>
      </c>
      <c r="F21" s="17" t="s">
        <v>1078</v>
      </c>
      <c r="G21" s="17" t="str">
        <f>IF(ISERROR(VLOOKUP($A21,自动生成专业初选表!$A:$K,12,FALSE)),"",VLOOKUP($A21,自动生成专业初选表!$A:$K,12,FALSE))</f>
        <v/>
      </c>
      <c r="H21" s="17" t="str">
        <f>IF(ISERROR(VLOOKUP($A21,自动生成专业初选表!$A:$K,13,FALSE)),"",VLOOKUP($A21,自动生成专业初选表!$A:$K,13,FALSE))</f>
        <v/>
      </c>
      <c r="I21" s="24"/>
    </row>
    <row r="22" spans="1:9">
      <c r="A22" s="15">
        <v>18</v>
      </c>
      <c r="B22" s="19"/>
      <c r="C22" s="17" t="str">
        <f>IF(ISERROR(VLOOKUP($A22,自动生成专业初选表!$A:$K,4,FALSE)),"",VLOOKUP($A22,自动生成专业初选表!$A:$K,4,FALSE))</f>
        <v/>
      </c>
      <c r="D22" s="17" t="str">
        <f>IF(ISERROR(VLOOKUP($A22,自动生成专业初选表!$A:$K,5,FALSE)),"",VLOOKUP($A22,自动生成专业初选表!$A:$K,5,FALSE))</f>
        <v/>
      </c>
      <c r="E22" s="17" t="str">
        <f>IF(ISERROR(VLOOKUP($A22,自动生成专业初选表!$A:$K,11,FALSE)),"",VLOOKUP($A22,自动生成专业初选表!$A:$K,11,FALSE))</f>
        <v/>
      </c>
      <c r="F22" s="17" t="s">
        <v>1079</v>
      </c>
      <c r="G22" s="17" t="str">
        <f>IF(ISERROR(VLOOKUP($A22,自动生成专业初选表!$A:$K,12,FALSE)),"",VLOOKUP($A22,自动生成专业初选表!$A:$K,12,FALSE))</f>
        <v/>
      </c>
      <c r="H22" s="17" t="str">
        <f>IF(ISERROR(VLOOKUP($A22,自动生成专业初选表!$A:$K,13,FALSE)),"",VLOOKUP($A22,自动生成专业初选表!$A:$K,13,FALSE))</f>
        <v/>
      </c>
      <c r="I22" s="24"/>
    </row>
    <row r="23" spans="1:9">
      <c r="A23" s="13">
        <v>19</v>
      </c>
      <c r="B23" s="20" t="s">
        <v>1047</v>
      </c>
      <c r="C23" s="14" t="str">
        <f>IF(ISERROR(VLOOKUP($A23,自动生成专业初选表!$A:$K,4,FALSE)),"",VLOOKUP($A23,自动生成专业初选表!$A:$K,4,FALSE))</f>
        <v/>
      </c>
      <c r="D23" s="14" t="str">
        <f>IF(ISERROR(VLOOKUP($A23,自动生成专业初选表!$A:$K,5,FALSE)),"",VLOOKUP($A23,自动生成专业初选表!$A:$K,5,FALSE))</f>
        <v/>
      </c>
      <c r="E23" s="14" t="str">
        <f>IF(ISERROR(VLOOKUP($A23,自动生成专业初选表!$A:$K,11,FALSE)),"",VLOOKUP($A23,自动生成专业初选表!$A:$K,11,FALSE))</f>
        <v/>
      </c>
      <c r="F23" s="14" t="s">
        <v>1073</v>
      </c>
      <c r="G23" s="14" t="str">
        <f>IF(ISERROR(VLOOKUP($A23,自动生成专业初选表!$A:$K,12,FALSE)),"",VLOOKUP($A23,自动生成专业初选表!$A:$K,12,FALSE))</f>
        <v/>
      </c>
      <c r="H23" s="14" t="str">
        <f>IF(ISERROR(VLOOKUP($A23,自动生成专业初选表!$A:$K,13,FALSE)),"",VLOOKUP($A23,自动生成专业初选表!$A:$K,13,FALSE))</f>
        <v/>
      </c>
      <c r="I23" s="25" t="s">
        <v>1074</v>
      </c>
    </row>
    <row r="24" spans="1:9">
      <c r="A24" s="13">
        <v>20</v>
      </c>
      <c r="B24" s="21"/>
      <c r="C24" s="14" t="str">
        <f>IF(ISERROR(VLOOKUP($A24,自动生成专业初选表!$A:$K,4,FALSE)),"",VLOOKUP($A24,自动生成专业初选表!$A:$K,4,FALSE))</f>
        <v/>
      </c>
      <c r="D24" s="14" t="str">
        <f>IF(ISERROR(VLOOKUP($A24,自动生成专业初选表!$A:$K,5,FALSE)),"",VLOOKUP($A24,自动生成专业初选表!$A:$K,5,FALSE))</f>
        <v/>
      </c>
      <c r="E24" s="14" t="str">
        <f>IF(ISERROR(VLOOKUP($A24,自动生成专业初选表!$A:$K,11,FALSE)),"",VLOOKUP($A24,自动生成专业初选表!$A:$K,11,FALSE))</f>
        <v/>
      </c>
      <c r="F24" s="14" t="s">
        <v>1075</v>
      </c>
      <c r="G24" s="14" t="str">
        <f>IF(ISERROR(VLOOKUP($A24,自动生成专业初选表!$A:$K,12,FALSE)),"",VLOOKUP($A24,自动生成专业初选表!$A:$K,12,FALSE))</f>
        <v/>
      </c>
      <c r="H24" s="14" t="str">
        <f>IF(ISERROR(VLOOKUP($A24,自动生成专业初选表!$A:$K,13,FALSE)),"",VLOOKUP($A24,自动生成专业初选表!$A:$K,13,FALSE))</f>
        <v/>
      </c>
      <c r="I24" s="26"/>
    </row>
    <row r="25" spans="1:9">
      <c r="A25" s="13">
        <v>21</v>
      </c>
      <c r="B25" s="21"/>
      <c r="C25" s="14" t="str">
        <f>IF(ISERROR(VLOOKUP($A25,自动生成专业初选表!$A:$K,4,FALSE)),"",VLOOKUP($A25,自动生成专业初选表!$A:$K,4,FALSE))</f>
        <v/>
      </c>
      <c r="D25" s="14" t="str">
        <f>IF(ISERROR(VLOOKUP($A25,自动生成专业初选表!$A:$K,5,FALSE)),"",VLOOKUP($A25,自动生成专业初选表!$A:$K,5,FALSE))</f>
        <v/>
      </c>
      <c r="E25" s="14" t="str">
        <f>IF(ISERROR(VLOOKUP($A25,自动生成专业初选表!$A:$K,11,FALSE)),"",VLOOKUP($A25,自动生成专业初选表!$A:$K,11,FALSE))</f>
        <v/>
      </c>
      <c r="F25" s="14" t="s">
        <v>1076</v>
      </c>
      <c r="G25" s="14" t="str">
        <f>IF(ISERROR(VLOOKUP($A25,自动生成专业初选表!$A:$K,12,FALSE)),"",VLOOKUP($A25,自动生成专业初选表!$A:$K,12,FALSE))</f>
        <v/>
      </c>
      <c r="H25" s="14" t="str">
        <f>IF(ISERROR(VLOOKUP($A25,自动生成专业初选表!$A:$K,13,FALSE)),"",VLOOKUP($A25,自动生成专业初选表!$A:$K,13,FALSE))</f>
        <v/>
      </c>
      <c r="I25" s="26"/>
    </row>
    <row r="26" spans="1:9">
      <c r="A26" s="13">
        <v>22</v>
      </c>
      <c r="B26" s="21"/>
      <c r="C26" s="14" t="str">
        <f>IF(ISERROR(VLOOKUP($A26,自动生成专业初选表!$A:$K,4,FALSE)),"",VLOOKUP($A26,自动生成专业初选表!$A:$K,4,FALSE))</f>
        <v/>
      </c>
      <c r="D26" s="14" t="str">
        <f>IF(ISERROR(VLOOKUP($A26,自动生成专业初选表!$A:$K,5,FALSE)),"",VLOOKUP($A26,自动生成专业初选表!$A:$K,5,FALSE))</f>
        <v/>
      </c>
      <c r="E26" s="14" t="str">
        <f>IF(ISERROR(VLOOKUP($A26,自动生成专业初选表!$A:$K,11,FALSE)),"",VLOOKUP($A26,自动生成专业初选表!$A:$K,11,FALSE))</f>
        <v/>
      </c>
      <c r="F26" s="14" t="s">
        <v>1077</v>
      </c>
      <c r="G26" s="14" t="str">
        <f>IF(ISERROR(VLOOKUP($A26,自动生成专业初选表!$A:$K,12,FALSE)),"",VLOOKUP($A26,自动生成专业初选表!$A:$K,12,FALSE))</f>
        <v/>
      </c>
      <c r="H26" s="14" t="str">
        <f>IF(ISERROR(VLOOKUP($A26,自动生成专业初选表!$A:$K,13,FALSE)),"",VLOOKUP($A26,自动生成专业初选表!$A:$K,13,FALSE))</f>
        <v/>
      </c>
      <c r="I26" s="26"/>
    </row>
    <row r="27" spans="1:9">
      <c r="A27" s="13">
        <v>23</v>
      </c>
      <c r="B27" s="21"/>
      <c r="C27" s="14" t="str">
        <f>IF(ISERROR(VLOOKUP($A27,自动生成专业初选表!$A:$K,4,FALSE)),"",VLOOKUP($A27,自动生成专业初选表!$A:$K,4,FALSE))</f>
        <v/>
      </c>
      <c r="D27" s="14" t="str">
        <f>IF(ISERROR(VLOOKUP($A27,自动生成专业初选表!$A:$K,5,FALSE)),"",VLOOKUP($A27,自动生成专业初选表!$A:$K,5,FALSE))</f>
        <v/>
      </c>
      <c r="E27" s="14" t="str">
        <f>IF(ISERROR(VLOOKUP($A27,自动生成专业初选表!$A:$K,11,FALSE)),"",VLOOKUP($A27,自动生成专业初选表!$A:$K,11,FALSE))</f>
        <v/>
      </c>
      <c r="F27" s="14" t="s">
        <v>1078</v>
      </c>
      <c r="G27" s="14" t="str">
        <f>IF(ISERROR(VLOOKUP($A27,自动生成专业初选表!$A:$K,12,FALSE)),"",VLOOKUP($A27,自动生成专业初选表!$A:$K,12,FALSE))</f>
        <v/>
      </c>
      <c r="H27" s="14" t="str">
        <f>IF(ISERROR(VLOOKUP($A27,自动生成专业初选表!$A:$K,13,FALSE)),"",VLOOKUP($A27,自动生成专业初选表!$A:$K,13,FALSE))</f>
        <v/>
      </c>
      <c r="I27" s="26"/>
    </row>
    <row r="28" spans="1:9">
      <c r="A28" s="13">
        <v>24</v>
      </c>
      <c r="B28" s="22"/>
      <c r="C28" s="14" t="str">
        <f>IF(ISERROR(VLOOKUP($A28,自动生成专业初选表!$A:$K,4,FALSE)),"",VLOOKUP($A28,自动生成专业初选表!$A:$K,4,FALSE))</f>
        <v/>
      </c>
      <c r="D28" s="14" t="str">
        <f>IF(ISERROR(VLOOKUP($A28,自动生成专业初选表!$A:$K,5,FALSE)),"",VLOOKUP($A28,自动生成专业初选表!$A:$K,5,FALSE))</f>
        <v/>
      </c>
      <c r="E28" s="14" t="str">
        <f>IF(ISERROR(VLOOKUP($A28,自动生成专业初选表!$A:$K,11,FALSE)),"",VLOOKUP($A28,自动生成专业初选表!$A:$K,11,FALSE))</f>
        <v/>
      </c>
      <c r="F28" s="14" t="s">
        <v>1079</v>
      </c>
      <c r="G28" s="14" t="str">
        <f>IF(ISERROR(VLOOKUP($A28,自动生成专业初选表!$A:$K,12,FALSE)),"",VLOOKUP($A28,自动生成专业初选表!$A:$K,12,FALSE))</f>
        <v/>
      </c>
      <c r="H28" s="14" t="str">
        <f>IF(ISERROR(VLOOKUP($A28,自动生成专业初选表!$A:$K,13,FALSE)),"",VLOOKUP($A28,自动生成专业初选表!$A:$K,13,FALSE))</f>
        <v/>
      </c>
      <c r="I28" s="26"/>
    </row>
    <row r="29" spans="1:9">
      <c r="A29" s="15">
        <v>25</v>
      </c>
      <c r="B29" s="16" t="s">
        <v>1048</v>
      </c>
      <c r="C29" s="17" t="str">
        <f>IF(ISERROR(VLOOKUP($A29,自动生成专业初选表!$A:$K,4,FALSE)),"",VLOOKUP($A29,自动生成专业初选表!$A:$K,4,FALSE))</f>
        <v/>
      </c>
      <c r="D29" s="17" t="str">
        <f>IF(ISERROR(VLOOKUP($A29,自动生成专业初选表!$A:$K,5,FALSE)),"",VLOOKUP($A29,自动生成专业初选表!$A:$K,5,FALSE))</f>
        <v/>
      </c>
      <c r="E29" s="17" t="str">
        <f>IF(ISERROR(VLOOKUP($A29,自动生成专业初选表!$A:$K,11,FALSE)),"",VLOOKUP($A29,自动生成专业初选表!$A:$K,11,FALSE))</f>
        <v/>
      </c>
      <c r="F29" s="17" t="s">
        <v>1073</v>
      </c>
      <c r="G29" s="17" t="str">
        <f>IF(ISERROR(VLOOKUP($A29,自动生成专业初选表!$A:$K,12,FALSE)),"",VLOOKUP($A29,自动生成专业初选表!$A:$K,12,FALSE))</f>
        <v/>
      </c>
      <c r="H29" s="17" t="str">
        <f>IF(ISERROR(VLOOKUP($A29,自动生成专业初选表!$A:$K,13,FALSE)),"",VLOOKUP($A29,自动生成专业初选表!$A:$K,13,FALSE))</f>
        <v/>
      </c>
      <c r="I29" s="23" t="s">
        <v>1074</v>
      </c>
    </row>
    <row r="30" spans="1:9">
      <c r="A30" s="15">
        <v>26</v>
      </c>
      <c r="B30" s="18"/>
      <c r="C30" s="17" t="str">
        <f>IF(ISERROR(VLOOKUP($A30,自动生成专业初选表!$A:$K,4,FALSE)),"",VLOOKUP($A30,自动生成专业初选表!$A:$K,4,FALSE))</f>
        <v/>
      </c>
      <c r="D30" s="17" t="str">
        <f>IF(ISERROR(VLOOKUP($A30,自动生成专业初选表!$A:$K,5,FALSE)),"",VLOOKUP($A30,自动生成专业初选表!$A:$K,5,FALSE))</f>
        <v/>
      </c>
      <c r="E30" s="17" t="str">
        <f>IF(ISERROR(VLOOKUP($A30,自动生成专业初选表!$A:$K,11,FALSE)),"",VLOOKUP($A30,自动生成专业初选表!$A:$K,11,FALSE))</f>
        <v/>
      </c>
      <c r="F30" s="17" t="s">
        <v>1075</v>
      </c>
      <c r="G30" s="17" t="str">
        <f>IF(ISERROR(VLOOKUP($A30,自动生成专业初选表!$A:$K,12,FALSE)),"",VLOOKUP($A30,自动生成专业初选表!$A:$K,12,FALSE))</f>
        <v/>
      </c>
      <c r="H30" s="17" t="str">
        <f>IF(ISERROR(VLOOKUP($A30,自动生成专业初选表!$A:$K,13,FALSE)),"",VLOOKUP($A30,自动生成专业初选表!$A:$K,13,FALSE))</f>
        <v/>
      </c>
      <c r="I30" s="24"/>
    </row>
    <row r="31" spans="1:9">
      <c r="A31" s="15">
        <v>27</v>
      </c>
      <c r="B31" s="18"/>
      <c r="C31" s="17" t="str">
        <f>IF(ISERROR(VLOOKUP($A31,自动生成专业初选表!$A:$K,4,FALSE)),"",VLOOKUP($A31,自动生成专业初选表!$A:$K,4,FALSE))</f>
        <v/>
      </c>
      <c r="D31" s="17" t="str">
        <f>IF(ISERROR(VLOOKUP($A31,自动生成专业初选表!$A:$K,5,FALSE)),"",VLOOKUP($A31,自动生成专业初选表!$A:$K,5,FALSE))</f>
        <v/>
      </c>
      <c r="E31" s="17" t="str">
        <f>IF(ISERROR(VLOOKUP($A31,自动生成专业初选表!$A:$K,11,FALSE)),"",VLOOKUP($A31,自动生成专业初选表!$A:$K,11,FALSE))</f>
        <v/>
      </c>
      <c r="F31" s="17" t="s">
        <v>1076</v>
      </c>
      <c r="G31" s="17" t="str">
        <f>IF(ISERROR(VLOOKUP($A31,自动生成专业初选表!$A:$K,12,FALSE)),"",VLOOKUP($A31,自动生成专业初选表!$A:$K,12,FALSE))</f>
        <v/>
      </c>
      <c r="H31" s="17" t="str">
        <f>IF(ISERROR(VLOOKUP($A31,自动生成专业初选表!$A:$K,13,FALSE)),"",VLOOKUP($A31,自动生成专业初选表!$A:$K,13,FALSE))</f>
        <v/>
      </c>
      <c r="I31" s="24"/>
    </row>
    <row r="32" spans="1:9">
      <c r="A32" s="15">
        <v>28</v>
      </c>
      <c r="B32" s="18"/>
      <c r="C32" s="17" t="str">
        <f>IF(ISERROR(VLOOKUP($A32,自动生成专业初选表!$A:$K,4,FALSE)),"",VLOOKUP($A32,自动生成专业初选表!$A:$K,4,FALSE))</f>
        <v/>
      </c>
      <c r="D32" s="17" t="str">
        <f>IF(ISERROR(VLOOKUP($A32,自动生成专业初选表!$A:$K,5,FALSE)),"",VLOOKUP($A32,自动生成专业初选表!$A:$K,5,FALSE))</f>
        <v/>
      </c>
      <c r="E32" s="17" t="str">
        <f>IF(ISERROR(VLOOKUP($A32,自动生成专业初选表!$A:$K,11,FALSE)),"",VLOOKUP($A32,自动生成专业初选表!$A:$K,11,FALSE))</f>
        <v/>
      </c>
      <c r="F32" s="17" t="s">
        <v>1077</v>
      </c>
      <c r="G32" s="17" t="str">
        <f>IF(ISERROR(VLOOKUP($A32,自动生成专业初选表!$A:$K,12,FALSE)),"",VLOOKUP($A32,自动生成专业初选表!$A:$K,12,FALSE))</f>
        <v/>
      </c>
      <c r="H32" s="17" t="str">
        <f>IF(ISERROR(VLOOKUP($A32,自动生成专业初选表!$A:$K,13,FALSE)),"",VLOOKUP($A32,自动生成专业初选表!$A:$K,13,FALSE))</f>
        <v/>
      </c>
      <c r="I32" s="24"/>
    </row>
    <row r="33" spans="1:9">
      <c r="A33" s="15">
        <v>29</v>
      </c>
      <c r="B33" s="18"/>
      <c r="C33" s="17" t="str">
        <f>IF(ISERROR(VLOOKUP($A33,自动生成专业初选表!$A:$K,4,FALSE)),"",VLOOKUP($A33,自动生成专业初选表!$A:$K,4,FALSE))</f>
        <v/>
      </c>
      <c r="D33" s="17" t="str">
        <f>IF(ISERROR(VLOOKUP($A33,自动生成专业初选表!$A:$K,5,FALSE)),"",VLOOKUP($A33,自动生成专业初选表!$A:$K,5,FALSE))</f>
        <v/>
      </c>
      <c r="E33" s="17" t="str">
        <f>IF(ISERROR(VLOOKUP($A33,自动生成专业初选表!$A:$K,11,FALSE)),"",VLOOKUP($A33,自动生成专业初选表!$A:$K,11,FALSE))</f>
        <v/>
      </c>
      <c r="F33" s="17" t="s">
        <v>1078</v>
      </c>
      <c r="G33" s="17" t="str">
        <f>IF(ISERROR(VLOOKUP($A33,自动生成专业初选表!$A:$K,12,FALSE)),"",VLOOKUP($A33,自动生成专业初选表!$A:$K,12,FALSE))</f>
        <v/>
      </c>
      <c r="H33" s="17" t="str">
        <f>IF(ISERROR(VLOOKUP($A33,自动生成专业初选表!$A:$K,13,FALSE)),"",VLOOKUP($A33,自动生成专业初选表!$A:$K,13,FALSE))</f>
        <v/>
      </c>
      <c r="I33" s="24"/>
    </row>
    <row r="34" spans="1:9">
      <c r="A34" s="15">
        <v>30</v>
      </c>
      <c r="B34" s="19"/>
      <c r="C34" s="17" t="str">
        <f>IF(ISERROR(VLOOKUP($A34,自动生成专业初选表!$A:$K,4,FALSE)),"",VLOOKUP($A34,自动生成专业初选表!$A:$K,4,FALSE))</f>
        <v/>
      </c>
      <c r="D34" s="17" t="str">
        <f>IF(ISERROR(VLOOKUP($A34,自动生成专业初选表!$A:$K,5,FALSE)),"",VLOOKUP($A34,自动生成专业初选表!$A:$K,5,FALSE))</f>
        <v/>
      </c>
      <c r="E34" s="17" t="str">
        <f>IF(ISERROR(VLOOKUP($A34,自动生成专业初选表!$A:$K,11,FALSE)),"",VLOOKUP($A34,自动生成专业初选表!$A:$K,11,FALSE))</f>
        <v/>
      </c>
      <c r="F34" s="17" t="s">
        <v>1079</v>
      </c>
      <c r="G34" s="17" t="str">
        <f>IF(ISERROR(VLOOKUP($A34,自动生成专业初选表!$A:$K,12,FALSE)),"",VLOOKUP($A34,自动生成专业初选表!$A:$K,12,FALSE))</f>
        <v/>
      </c>
      <c r="H34" s="17" t="str">
        <f>IF(ISERROR(VLOOKUP($A34,自动生成专业初选表!$A:$K,13,FALSE)),"",VLOOKUP($A34,自动生成专业初选表!$A:$K,13,FALSE))</f>
        <v/>
      </c>
      <c r="I34" s="24"/>
    </row>
    <row r="35" spans="1:9">
      <c r="A35" s="13">
        <v>31</v>
      </c>
      <c r="B35" s="20" t="s">
        <v>1049</v>
      </c>
      <c r="C35" s="14" t="str">
        <f>IF(ISERROR(VLOOKUP($A35,自动生成专业初选表!$A:$K,4,FALSE)),"",VLOOKUP($A35,自动生成专业初选表!$A:$K,4,FALSE))</f>
        <v/>
      </c>
      <c r="D35" s="14" t="str">
        <f>IF(ISERROR(VLOOKUP($A35,自动生成专业初选表!$A:$K,5,FALSE)),"",VLOOKUP($A35,自动生成专业初选表!$A:$K,5,FALSE))</f>
        <v/>
      </c>
      <c r="E35" s="14" t="str">
        <f>IF(ISERROR(VLOOKUP($A35,自动生成专业初选表!$A:$K,11,FALSE)),"",VLOOKUP($A35,自动生成专业初选表!$A:$K,11,FALSE))</f>
        <v/>
      </c>
      <c r="F35" s="14" t="s">
        <v>1073</v>
      </c>
      <c r="G35" s="14" t="str">
        <f>IF(ISERROR(VLOOKUP($A35,自动生成专业初选表!$A:$K,12,FALSE)),"",VLOOKUP($A35,自动生成专业初选表!$A:$K,12,FALSE))</f>
        <v/>
      </c>
      <c r="H35" s="14" t="str">
        <f>IF(ISERROR(VLOOKUP($A35,自动生成专业初选表!$A:$K,13,FALSE)),"",VLOOKUP($A35,自动生成专业初选表!$A:$K,13,FALSE))</f>
        <v/>
      </c>
      <c r="I35" s="25" t="s">
        <v>1074</v>
      </c>
    </row>
    <row r="36" spans="1:9">
      <c r="A36" s="13">
        <v>32</v>
      </c>
      <c r="B36" s="21"/>
      <c r="C36" s="14" t="str">
        <f>IF(ISERROR(VLOOKUP($A36,自动生成专业初选表!$A:$K,4,FALSE)),"",VLOOKUP($A36,自动生成专业初选表!$A:$K,4,FALSE))</f>
        <v/>
      </c>
      <c r="D36" s="14" t="str">
        <f>IF(ISERROR(VLOOKUP($A36,自动生成专业初选表!$A:$K,5,FALSE)),"",VLOOKUP($A36,自动生成专业初选表!$A:$K,5,FALSE))</f>
        <v/>
      </c>
      <c r="E36" s="14" t="str">
        <f>IF(ISERROR(VLOOKUP($A36,自动生成专业初选表!$A:$K,11,FALSE)),"",VLOOKUP($A36,自动生成专业初选表!$A:$K,11,FALSE))</f>
        <v/>
      </c>
      <c r="F36" s="14" t="s">
        <v>1075</v>
      </c>
      <c r="G36" s="14" t="str">
        <f>IF(ISERROR(VLOOKUP($A36,自动生成专业初选表!$A:$K,12,FALSE)),"",VLOOKUP($A36,自动生成专业初选表!$A:$K,12,FALSE))</f>
        <v/>
      </c>
      <c r="H36" s="14" t="str">
        <f>IF(ISERROR(VLOOKUP($A36,自动生成专业初选表!$A:$K,13,FALSE)),"",VLOOKUP($A36,自动生成专业初选表!$A:$K,13,FALSE))</f>
        <v/>
      </c>
      <c r="I36" s="26"/>
    </row>
    <row r="37" spans="1:9">
      <c r="A37" s="13">
        <v>33</v>
      </c>
      <c r="B37" s="21"/>
      <c r="C37" s="14" t="str">
        <f>IF(ISERROR(VLOOKUP($A37,自动生成专业初选表!$A:$K,4,FALSE)),"",VLOOKUP($A37,自动生成专业初选表!$A:$K,4,FALSE))</f>
        <v/>
      </c>
      <c r="D37" s="14" t="str">
        <f>IF(ISERROR(VLOOKUP($A37,自动生成专业初选表!$A:$K,5,FALSE)),"",VLOOKUP($A37,自动生成专业初选表!$A:$K,5,FALSE))</f>
        <v/>
      </c>
      <c r="E37" s="14" t="str">
        <f>IF(ISERROR(VLOOKUP($A37,自动生成专业初选表!$A:$K,11,FALSE)),"",VLOOKUP($A37,自动生成专业初选表!$A:$K,11,FALSE))</f>
        <v/>
      </c>
      <c r="F37" s="14" t="s">
        <v>1076</v>
      </c>
      <c r="G37" s="14" t="str">
        <f>IF(ISERROR(VLOOKUP($A37,自动生成专业初选表!$A:$K,12,FALSE)),"",VLOOKUP($A37,自动生成专业初选表!$A:$K,12,FALSE))</f>
        <v/>
      </c>
      <c r="H37" s="14" t="str">
        <f>IF(ISERROR(VLOOKUP($A37,自动生成专业初选表!$A:$K,13,FALSE)),"",VLOOKUP($A37,自动生成专业初选表!$A:$K,13,FALSE))</f>
        <v/>
      </c>
      <c r="I37" s="26"/>
    </row>
    <row r="38" spans="1:9">
      <c r="A38" s="13">
        <v>34</v>
      </c>
      <c r="B38" s="21"/>
      <c r="C38" s="14" t="str">
        <f>IF(ISERROR(VLOOKUP($A38,自动生成专业初选表!$A:$K,4,FALSE)),"",VLOOKUP($A38,自动生成专业初选表!$A:$K,4,FALSE))</f>
        <v/>
      </c>
      <c r="D38" s="14" t="str">
        <f>IF(ISERROR(VLOOKUP($A38,自动生成专业初选表!$A:$K,5,FALSE)),"",VLOOKUP($A38,自动生成专业初选表!$A:$K,5,FALSE))</f>
        <v/>
      </c>
      <c r="E38" s="14" t="str">
        <f>IF(ISERROR(VLOOKUP($A38,自动生成专业初选表!$A:$K,11,FALSE)),"",VLOOKUP($A38,自动生成专业初选表!$A:$K,11,FALSE))</f>
        <v/>
      </c>
      <c r="F38" s="14" t="s">
        <v>1077</v>
      </c>
      <c r="G38" s="14" t="str">
        <f>IF(ISERROR(VLOOKUP($A38,自动生成专业初选表!$A:$K,12,FALSE)),"",VLOOKUP($A38,自动生成专业初选表!$A:$K,12,FALSE))</f>
        <v/>
      </c>
      <c r="H38" s="14" t="str">
        <f>IF(ISERROR(VLOOKUP($A38,自动生成专业初选表!$A:$K,13,FALSE)),"",VLOOKUP($A38,自动生成专业初选表!$A:$K,13,FALSE))</f>
        <v/>
      </c>
      <c r="I38" s="26"/>
    </row>
    <row r="39" spans="1:9">
      <c r="A39" s="13">
        <v>35</v>
      </c>
      <c r="B39" s="21"/>
      <c r="C39" s="14" t="str">
        <f>IF(ISERROR(VLOOKUP($A39,自动生成专业初选表!$A:$K,4,FALSE)),"",VLOOKUP($A39,自动生成专业初选表!$A:$K,4,FALSE))</f>
        <v/>
      </c>
      <c r="D39" s="14" t="str">
        <f>IF(ISERROR(VLOOKUP($A39,自动生成专业初选表!$A:$K,5,FALSE)),"",VLOOKUP($A39,自动生成专业初选表!$A:$K,5,FALSE))</f>
        <v/>
      </c>
      <c r="E39" s="14" t="str">
        <f>IF(ISERROR(VLOOKUP($A39,自动生成专业初选表!$A:$K,11,FALSE)),"",VLOOKUP($A39,自动生成专业初选表!$A:$K,11,FALSE))</f>
        <v/>
      </c>
      <c r="F39" s="14" t="s">
        <v>1078</v>
      </c>
      <c r="G39" s="14" t="str">
        <f>IF(ISERROR(VLOOKUP($A39,自动生成专业初选表!$A:$K,12,FALSE)),"",VLOOKUP($A39,自动生成专业初选表!$A:$K,12,FALSE))</f>
        <v/>
      </c>
      <c r="H39" s="14" t="str">
        <f>IF(ISERROR(VLOOKUP($A39,自动生成专业初选表!$A:$K,13,FALSE)),"",VLOOKUP($A39,自动生成专业初选表!$A:$K,13,FALSE))</f>
        <v/>
      </c>
      <c r="I39" s="26"/>
    </row>
    <row r="40" spans="1:9">
      <c r="A40" s="13">
        <v>36</v>
      </c>
      <c r="B40" s="22"/>
      <c r="C40" s="14" t="str">
        <f>IF(ISERROR(VLOOKUP($A40,自动生成专业初选表!$A:$K,4,FALSE)),"",VLOOKUP($A40,自动生成专业初选表!$A:$K,4,FALSE))</f>
        <v/>
      </c>
      <c r="D40" s="14" t="str">
        <f>IF(ISERROR(VLOOKUP($A40,自动生成专业初选表!$A:$K,5,FALSE)),"",VLOOKUP($A40,自动生成专业初选表!$A:$K,5,FALSE))</f>
        <v/>
      </c>
      <c r="E40" s="14" t="str">
        <f>IF(ISERROR(VLOOKUP($A40,自动生成专业初选表!$A:$K,11,FALSE)),"",VLOOKUP($A40,自动生成专业初选表!$A:$K,11,FALSE))</f>
        <v/>
      </c>
      <c r="F40" s="14" t="s">
        <v>1079</v>
      </c>
      <c r="G40" s="14" t="str">
        <f>IF(ISERROR(VLOOKUP($A40,自动生成专业初选表!$A:$K,12,FALSE)),"",VLOOKUP($A40,自动生成专业初选表!$A:$K,12,FALSE))</f>
        <v/>
      </c>
      <c r="H40" s="14" t="str">
        <f>IF(ISERROR(VLOOKUP($A40,自动生成专业初选表!$A:$K,13,FALSE)),"",VLOOKUP($A40,自动生成专业初选表!$A:$K,13,FALSE))</f>
        <v/>
      </c>
      <c r="I40" s="26"/>
    </row>
    <row r="41" spans="1:9">
      <c r="A41" s="15">
        <v>37</v>
      </c>
      <c r="B41" s="16" t="s">
        <v>1050</v>
      </c>
      <c r="C41" s="17" t="str">
        <f>IF(ISERROR(VLOOKUP($A41,自动生成专业初选表!$A:$K,4,FALSE)),"",VLOOKUP($A41,自动生成专业初选表!$A:$K,4,FALSE))</f>
        <v/>
      </c>
      <c r="D41" s="17" t="str">
        <f>IF(ISERROR(VLOOKUP($A41,自动生成专业初选表!$A:$K,5,FALSE)),"",VLOOKUP($A41,自动生成专业初选表!$A:$K,5,FALSE))</f>
        <v/>
      </c>
      <c r="E41" s="17" t="str">
        <f>IF(ISERROR(VLOOKUP($A41,自动生成专业初选表!$A:$K,11,FALSE)),"",VLOOKUP($A41,自动生成专业初选表!$A:$K,11,FALSE))</f>
        <v/>
      </c>
      <c r="F41" s="17" t="s">
        <v>1073</v>
      </c>
      <c r="G41" s="17" t="str">
        <f>IF(ISERROR(VLOOKUP($A41,自动生成专业初选表!$A:$K,12,FALSE)),"",VLOOKUP($A41,自动生成专业初选表!$A:$K,12,FALSE))</f>
        <v/>
      </c>
      <c r="H41" s="17" t="str">
        <f>IF(ISERROR(VLOOKUP($A41,自动生成专业初选表!$A:$K,13,FALSE)),"",VLOOKUP($A41,自动生成专业初选表!$A:$K,13,FALSE))</f>
        <v/>
      </c>
      <c r="I41" s="23" t="s">
        <v>1074</v>
      </c>
    </row>
    <row r="42" spans="1:9">
      <c r="A42" s="15">
        <v>38</v>
      </c>
      <c r="B42" s="18"/>
      <c r="C42" s="17" t="str">
        <f>IF(ISERROR(VLOOKUP($A42,自动生成专业初选表!$A:$K,4,FALSE)),"",VLOOKUP($A42,自动生成专业初选表!$A:$K,4,FALSE))</f>
        <v/>
      </c>
      <c r="D42" s="17" t="str">
        <f>IF(ISERROR(VLOOKUP($A42,自动生成专业初选表!$A:$K,5,FALSE)),"",VLOOKUP($A42,自动生成专业初选表!$A:$K,5,FALSE))</f>
        <v/>
      </c>
      <c r="E42" s="17" t="str">
        <f>IF(ISERROR(VLOOKUP($A42,自动生成专业初选表!$A:$K,11,FALSE)),"",VLOOKUP($A42,自动生成专业初选表!$A:$K,11,FALSE))</f>
        <v/>
      </c>
      <c r="F42" s="17" t="s">
        <v>1075</v>
      </c>
      <c r="G42" s="17" t="str">
        <f>IF(ISERROR(VLOOKUP($A42,自动生成专业初选表!$A:$K,12,FALSE)),"",VLOOKUP($A42,自动生成专业初选表!$A:$K,12,FALSE))</f>
        <v/>
      </c>
      <c r="H42" s="17" t="str">
        <f>IF(ISERROR(VLOOKUP($A42,自动生成专业初选表!$A:$K,13,FALSE)),"",VLOOKUP($A42,自动生成专业初选表!$A:$K,13,FALSE))</f>
        <v/>
      </c>
      <c r="I42" s="24"/>
    </row>
    <row r="43" spans="1:9">
      <c r="A43" s="15">
        <v>39</v>
      </c>
      <c r="B43" s="18"/>
      <c r="C43" s="17" t="str">
        <f>IF(ISERROR(VLOOKUP($A43,自动生成专业初选表!$A:$K,4,FALSE)),"",VLOOKUP($A43,自动生成专业初选表!$A:$K,4,FALSE))</f>
        <v/>
      </c>
      <c r="D43" s="17" t="str">
        <f>IF(ISERROR(VLOOKUP($A43,自动生成专业初选表!$A:$K,5,FALSE)),"",VLOOKUP($A43,自动生成专业初选表!$A:$K,5,FALSE))</f>
        <v/>
      </c>
      <c r="E43" s="17" t="str">
        <f>IF(ISERROR(VLOOKUP($A43,自动生成专业初选表!$A:$K,11,FALSE)),"",VLOOKUP($A43,自动生成专业初选表!$A:$K,11,FALSE))</f>
        <v/>
      </c>
      <c r="F43" s="17" t="s">
        <v>1076</v>
      </c>
      <c r="G43" s="17" t="str">
        <f>IF(ISERROR(VLOOKUP($A43,自动生成专业初选表!$A:$K,12,FALSE)),"",VLOOKUP($A43,自动生成专业初选表!$A:$K,12,FALSE))</f>
        <v/>
      </c>
      <c r="H43" s="17" t="str">
        <f>IF(ISERROR(VLOOKUP($A43,自动生成专业初选表!$A:$K,13,FALSE)),"",VLOOKUP($A43,自动生成专业初选表!$A:$K,13,FALSE))</f>
        <v/>
      </c>
      <c r="I43" s="24"/>
    </row>
    <row r="44" spans="1:9">
      <c r="A44" s="15">
        <v>40</v>
      </c>
      <c r="B44" s="18"/>
      <c r="C44" s="17" t="str">
        <f>IF(ISERROR(VLOOKUP($A44,自动生成专业初选表!$A:$K,4,FALSE)),"",VLOOKUP($A44,自动生成专业初选表!$A:$K,4,FALSE))</f>
        <v/>
      </c>
      <c r="D44" s="17" t="str">
        <f>IF(ISERROR(VLOOKUP($A44,自动生成专业初选表!$A:$K,5,FALSE)),"",VLOOKUP($A44,自动生成专业初选表!$A:$K,5,FALSE))</f>
        <v/>
      </c>
      <c r="E44" s="17" t="str">
        <f>IF(ISERROR(VLOOKUP($A44,自动生成专业初选表!$A:$K,11,FALSE)),"",VLOOKUP($A44,自动生成专业初选表!$A:$K,11,FALSE))</f>
        <v/>
      </c>
      <c r="F44" s="17" t="s">
        <v>1077</v>
      </c>
      <c r="G44" s="17" t="str">
        <f>IF(ISERROR(VLOOKUP($A44,自动生成专业初选表!$A:$K,12,FALSE)),"",VLOOKUP($A44,自动生成专业初选表!$A:$K,12,FALSE))</f>
        <v/>
      </c>
      <c r="H44" s="17" t="str">
        <f>IF(ISERROR(VLOOKUP($A44,自动生成专业初选表!$A:$K,13,FALSE)),"",VLOOKUP($A44,自动生成专业初选表!$A:$K,13,FALSE))</f>
        <v/>
      </c>
      <c r="I44" s="24"/>
    </row>
    <row r="45" spans="1:9">
      <c r="A45" s="15">
        <v>41</v>
      </c>
      <c r="B45" s="18"/>
      <c r="C45" s="17" t="str">
        <f>IF(ISERROR(VLOOKUP($A45,自动生成专业初选表!$A:$K,4,FALSE)),"",VLOOKUP($A45,自动生成专业初选表!$A:$K,4,FALSE))</f>
        <v/>
      </c>
      <c r="D45" s="17" t="str">
        <f>IF(ISERROR(VLOOKUP($A45,自动生成专业初选表!$A:$K,5,FALSE)),"",VLOOKUP($A45,自动生成专业初选表!$A:$K,5,FALSE))</f>
        <v/>
      </c>
      <c r="E45" s="17" t="str">
        <f>IF(ISERROR(VLOOKUP($A45,自动生成专业初选表!$A:$K,11,FALSE)),"",VLOOKUP($A45,自动生成专业初选表!$A:$K,11,FALSE))</f>
        <v/>
      </c>
      <c r="F45" s="17" t="s">
        <v>1078</v>
      </c>
      <c r="G45" s="17" t="str">
        <f>IF(ISERROR(VLOOKUP($A45,自动生成专业初选表!$A:$K,12,FALSE)),"",VLOOKUP($A45,自动生成专业初选表!$A:$K,12,FALSE))</f>
        <v/>
      </c>
      <c r="H45" s="17" t="str">
        <f>IF(ISERROR(VLOOKUP($A45,自动生成专业初选表!$A:$K,13,FALSE)),"",VLOOKUP($A45,自动生成专业初选表!$A:$K,13,FALSE))</f>
        <v/>
      </c>
      <c r="I45" s="24"/>
    </row>
    <row r="46" spans="1:9">
      <c r="A46" s="15">
        <v>42</v>
      </c>
      <c r="B46" s="19"/>
      <c r="C46" s="17" t="str">
        <f>IF(ISERROR(VLOOKUP($A46,自动生成专业初选表!$A:$K,4,FALSE)),"",VLOOKUP($A46,自动生成专业初选表!$A:$K,4,FALSE))</f>
        <v/>
      </c>
      <c r="D46" s="17" t="str">
        <f>IF(ISERROR(VLOOKUP($A46,自动生成专业初选表!$A:$K,5,FALSE)),"",VLOOKUP($A46,自动生成专业初选表!$A:$K,5,FALSE))</f>
        <v/>
      </c>
      <c r="E46" s="17" t="str">
        <f>IF(ISERROR(VLOOKUP($A46,自动生成专业初选表!$A:$K,11,FALSE)),"",VLOOKUP($A46,自动生成专业初选表!$A:$K,11,FALSE))</f>
        <v/>
      </c>
      <c r="F46" s="17" t="s">
        <v>1079</v>
      </c>
      <c r="G46" s="17" t="str">
        <f>IF(ISERROR(VLOOKUP($A46,自动生成专业初选表!$A:$K,12,FALSE)),"",VLOOKUP($A46,自动生成专业初选表!$A:$K,12,FALSE))</f>
        <v/>
      </c>
      <c r="H46" s="17" t="str">
        <f>IF(ISERROR(VLOOKUP($A46,自动生成专业初选表!$A:$K,13,FALSE)),"",VLOOKUP($A46,自动生成专业初选表!$A:$K,13,FALSE))</f>
        <v/>
      </c>
      <c r="I46" s="24"/>
    </row>
    <row r="47" spans="1:9">
      <c r="A47" s="13">
        <v>43</v>
      </c>
      <c r="B47" s="20" t="s">
        <v>1051</v>
      </c>
      <c r="C47" s="14" t="str">
        <f>IF(ISERROR(VLOOKUP($A47,自动生成专业初选表!$A:$K,4,FALSE)),"",VLOOKUP($A47,自动生成专业初选表!$A:$K,4,FALSE))</f>
        <v/>
      </c>
      <c r="D47" s="14" t="str">
        <f>IF(ISERROR(VLOOKUP($A47,自动生成专业初选表!$A:$K,5,FALSE)),"",VLOOKUP($A47,自动生成专业初选表!$A:$K,5,FALSE))</f>
        <v/>
      </c>
      <c r="E47" s="14" t="str">
        <f>IF(ISERROR(VLOOKUP($A47,自动生成专业初选表!$A:$K,11,FALSE)),"",VLOOKUP($A47,自动生成专业初选表!$A:$K,11,FALSE))</f>
        <v/>
      </c>
      <c r="F47" s="14" t="s">
        <v>1073</v>
      </c>
      <c r="G47" s="14" t="str">
        <f>IF(ISERROR(VLOOKUP($A47,自动生成专业初选表!$A:$K,12,FALSE)),"",VLOOKUP($A47,自动生成专业初选表!$A:$K,12,FALSE))</f>
        <v/>
      </c>
      <c r="H47" s="14" t="str">
        <f>IF(ISERROR(VLOOKUP($A47,自动生成专业初选表!$A:$K,13,FALSE)),"",VLOOKUP($A47,自动生成专业初选表!$A:$K,13,FALSE))</f>
        <v/>
      </c>
      <c r="I47" s="25" t="s">
        <v>1074</v>
      </c>
    </row>
    <row r="48" spans="1:9">
      <c r="A48" s="13">
        <v>44</v>
      </c>
      <c r="B48" s="21"/>
      <c r="C48" s="14" t="str">
        <f>IF(ISERROR(VLOOKUP($A48,自动生成专业初选表!$A:$K,4,FALSE)),"",VLOOKUP($A48,自动生成专业初选表!$A:$K,4,FALSE))</f>
        <v/>
      </c>
      <c r="D48" s="14" t="str">
        <f>IF(ISERROR(VLOOKUP($A48,自动生成专业初选表!$A:$K,5,FALSE)),"",VLOOKUP($A48,自动生成专业初选表!$A:$K,5,FALSE))</f>
        <v/>
      </c>
      <c r="E48" s="14" t="str">
        <f>IF(ISERROR(VLOOKUP($A48,自动生成专业初选表!$A:$K,11,FALSE)),"",VLOOKUP($A48,自动生成专业初选表!$A:$K,11,FALSE))</f>
        <v/>
      </c>
      <c r="F48" s="14" t="s">
        <v>1075</v>
      </c>
      <c r="G48" s="14" t="str">
        <f>IF(ISERROR(VLOOKUP($A48,自动生成专业初选表!$A:$K,12,FALSE)),"",VLOOKUP($A48,自动生成专业初选表!$A:$K,12,FALSE))</f>
        <v/>
      </c>
      <c r="H48" s="14" t="str">
        <f>IF(ISERROR(VLOOKUP($A48,自动生成专业初选表!$A:$K,13,FALSE)),"",VLOOKUP($A48,自动生成专业初选表!$A:$K,13,FALSE))</f>
        <v/>
      </c>
      <c r="I48" s="26"/>
    </row>
    <row r="49" spans="1:9">
      <c r="A49" s="13">
        <v>45</v>
      </c>
      <c r="B49" s="21"/>
      <c r="C49" s="14" t="str">
        <f>IF(ISERROR(VLOOKUP($A49,自动生成专业初选表!$A:$K,4,FALSE)),"",VLOOKUP($A49,自动生成专业初选表!$A:$K,4,FALSE))</f>
        <v/>
      </c>
      <c r="D49" s="14" t="str">
        <f>IF(ISERROR(VLOOKUP($A49,自动生成专业初选表!$A:$K,5,FALSE)),"",VLOOKUP($A49,自动生成专业初选表!$A:$K,5,FALSE))</f>
        <v/>
      </c>
      <c r="E49" s="14" t="str">
        <f>IF(ISERROR(VLOOKUP($A49,自动生成专业初选表!$A:$K,11,FALSE)),"",VLOOKUP($A49,自动生成专业初选表!$A:$K,11,FALSE))</f>
        <v/>
      </c>
      <c r="F49" s="14" t="s">
        <v>1076</v>
      </c>
      <c r="G49" s="14" t="str">
        <f>IF(ISERROR(VLOOKUP($A49,自动生成专业初选表!$A:$K,12,FALSE)),"",VLOOKUP($A49,自动生成专业初选表!$A:$K,12,FALSE))</f>
        <v/>
      </c>
      <c r="H49" s="14" t="str">
        <f>IF(ISERROR(VLOOKUP($A49,自动生成专业初选表!$A:$K,13,FALSE)),"",VLOOKUP($A49,自动生成专业初选表!$A:$K,13,FALSE))</f>
        <v/>
      </c>
      <c r="I49" s="26"/>
    </row>
    <row r="50" spans="1:9">
      <c r="A50" s="13">
        <v>46</v>
      </c>
      <c r="B50" s="21"/>
      <c r="C50" s="14" t="str">
        <f>IF(ISERROR(VLOOKUP($A50,自动生成专业初选表!$A:$K,4,FALSE)),"",VLOOKUP($A50,自动生成专业初选表!$A:$K,4,FALSE))</f>
        <v/>
      </c>
      <c r="D50" s="14" t="str">
        <f>IF(ISERROR(VLOOKUP($A50,自动生成专业初选表!$A:$K,5,FALSE)),"",VLOOKUP($A50,自动生成专业初选表!$A:$K,5,FALSE))</f>
        <v/>
      </c>
      <c r="E50" s="14" t="str">
        <f>IF(ISERROR(VLOOKUP($A50,自动生成专业初选表!$A:$K,11,FALSE)),"",VLOOKUP($A50,自动生成专业初选表!$A:$K,11,FALSE))</f>
        <v/>
      </c>
      <c r="F50" s="14" t="s">
        <v>1077</v>
      </c>
      <c r="G50" s="14" t="str">
        <f>IF(ISERROR(VLOOKUP($A50,自动生成专业初选表!$A:$K,12,FALSE)),"",VLOOKUP($A50,自动生成专业初选表!$A:$K,12,FALSE))</f>
        <v/>
      </c>
      <c r="H50" s="14" t="str">
        <f>IF(ISERROR(VLOOKUP($A50,自动生成专业初选表!$A:$K,13,FALSE)),"",VLOOKUP($A50,自动生成专业初选表!$A:$K,13,FALSE))</f>
        <v/>
      </c>
      <c r="I50" s="26"/>
    </row>
    <row r="51" spans="1:9">
      <c r="A51" s="13">
        <v>47</v>
      </c>
      <c r="B51" s="21"/>
      <c r="C51" s="14" t="str">
        <f>IF(ISERROR(VLOOKUP($A51,自动生成专业初选表!$A:$K,4,FALSE)),"",VLOOKUP($A51,自动生成专业初选表!$A:$K,4,FALSE))</f>
        <v/>
      </c>
      <c r="D51" s="14" t="str">
        <f>IF(ISERROR(VLOOKUP($A51,自动生成专业初选表!$A:$K,5,FALSE)),"",VLOOKUP($A51,自动生成专业初选表!$A:$K,5,FALSE))</f>
        <v/>
      </c>
      <c r="E51" s="14" t="str">
        <f>IF(ISERROR(VLOOKUP($A51,自动生成专业初选表!$A:$K,11,FALSE)),"",VLOOKUP($A51,自动生成专业初选表!$A:$K,11,FALSE))</f>
        <v/>
      </c>
      <c r="F51" s="14" t="s">
        <v>1078</v>
      </c>
      <c r="G51" s="14" t="str">
        <f>IF(ISERROR(VLOOKUP($A51,自动生成专业初选表!$A:$K,12,FALSE)),"",VLOOKUP($A51,自动生成专业初选表!$A:$K,12,FALSE))</f>
        <v/>
      </c>
      <c r="H51" s="14" t="str">
        <f>IF(ISERROR(VLOOKUP($A51,自动生成专业初选表!$A:$K,13,FALSE)),"",VLOOKUP($A51,自动生成专业初选表!$A:$K,13,FALSE))</f>
        <v/>
      </c>
      <c r="I51" s="26"/>
    </row>
    <row r="52" spans="1:9">
      <c r="A52" s="13">
        <v>48</v>
      </c>
      <c r="B52" s="22"/>
      <c r="C52" s="14" t="str">
        <f>IF(ISERROR(VLOOKUP($A52,自动生成专业初选表!$A:$K,4,FALSE)),"",VLOOKUP($A52,自动生成专业初选表!$A:$K,4,FALSE))</f>
        <v/>
      </c>
      <c r="D52" s="14" t="str">
        <f>IF(ISERROR(VLOOKUP($A52,自动生成专业初选表!$A:$K,5,FALSE)),"",VLOOKUP($A52,自动生成专业初选表!$A:$K,5,FALSE))</f>
        <v/>
      </c>
      <c r="E52" s="14" t="str">
        <f>IF(ISERROR(VLOOKUP($A52,自动生成专业初选表!$A:$K,11,FALSE)),"",VLOOKUP($A52,自动生成专业初选表!$A:$K,11,FALSE))</f>
        <v/>
      </c>
      <c r="F52" s="14" t="s">
        <v>1079</v>
      </c>
      <c r="G52" s="14" t="str">
        <f>IF(ISERROR(VLOOKUP($A52,自动生成专业初选表!$A:$K,12,FALSE)),"",VLOOKUP($A52,自动生成专业初选表!$A:$K,12,FALSE))</f>
        <v/>
      </c>
      <c r="H52" s="14" t="str">
        <f>IF(ISERROR(VLOOKUP($A52,自动生成专业初选表!$A:$K,13,FALSE)),"",VLOOKUP($A52,自动生成专业初选表!$A:$K,13,FALSE))</f>
        <v/>
      </c>
      <c r="I52" s="26"/>
    </row>
    <row r="53" spans="1:9">
      <c r="A53" s="15">
        <v>49</v>
      </c>
      <c r="B53" s="16" t="s">
        <v>1052</v>
      </c>
      <c r="C53" s="17" t="str">
        <f>IF(ISERROR(VLOOKUP($A53,自动生成专业初选表!$A:$K,4,FALSE)),"",VLOOKUP($A53,自动生成专业初选表!$A:$K,4,FALSE))</f>
        <v/>
      </c>
      <c r="D53" s="17" t="str">
        <f>IF(ISERROR(VLOOKUP($A53,自动生成专业初选表!$A:$K,5,FALSE)),"",VLOOKUP($A53,自动生成专业初选表!$A:$K,5,FALSE))</f>
        <v/>
      </c>
      <c r="E53" s="17" t="str">
        <f>IF(ISERROR(VLOOKUP($A53,自动生成专业初选表!$A:$K,11,FALSE)),"",VLOOKUP($A53,自动生成专业初选表!$A:$K,11,FALSE))</f>
        <v/>
      </c>
      <c r="F53" s="17" t="s">
        <v>1073</v>
      </c>
      <c r="G53" s="17" t="str">
        <f>IF(ISERROR(VLOOKUP($A53,自动生成专业初选表!$A:$K,12,FALSE)),"",VLOOKUP($A53,自动生成专业初选表!$A:$K,12,FALSE))</f>
        <v/>
      </c>
      <c r="H53" s="17" t="str">
        <f>IF(ISERROR(VLOOKUP($A53,自动生成专业初选表!$A:$K,13,FALSE)),"",VLOOKUP($A53,自动生成专业初选表!$A:$K,13,FALSE))</f>
        <v/>
      </c>
      <c r="I53" s="23" t="s">
        <v>1074</v>
      </c>
    </row>
    <row r="54" spans="1:9">
      <c r="A54" s="15">
        <v>50</v>
      </c>
      <c r="B54" s="18"/>
      <c r="C54" s="17" t="str">
        <f>IF(ISERROR(VLOOKUP($A54,自动生成专业初选表!$A:$K,4,FALSE)),"",VLOOKUP($A54,自动生成专业初选表!$A:$K,4,FALSE))</f>
        <v/>
      </c>
      <c r="D54" s="17" t="str">
        <f>IF(ISERROR(VLOOKUP($A54,自动生成专业初选表!$A:$K,5,FALSE)),"",VLOOKUP($A54,自动生成专业初选表!$A:$K,5,FALSE))</f>
        <v/>
      </c>
      <c r="E54" s="17" t="str">
        <f>IF(ISERROR(VLOOKUP($A54,自动生成专业初选表!$A:$K,11,FALSE)),"",VLOOKUP($A54,自动生成专业初选表!$A:$K,11,FALSE))</f>
        <v/>
      </c>
      <c r="F54" s="17" t="s">
        <v>1075</v>
      </c>
      <c r="G54" s="17" t="str">
        <f>IF(ISERROR(VLOOKUP($A54,自动生成专业初选表!$A:$K,12,FALSE)),"",VLOOKUP($A54,自动生成专业初选表!$A:$K,12,FALSE))</f>
        <v/>
      </c>
      <c r="H54" s="17" t="str">
        <f>IF(ISERROR(VLOOKUP($A54,自动生成专业初选表!$A:$K,13,FALSE)),"",VLOOKUP($A54,自动生成专业初选表!$A:$K,13,FALSE))</f>
        <v/>
      </c>
      <c r="I54" s="24"/>
    </row>
    <row r="55" spans="1:9">
      <c r="A55" s="15">
        <v>51</v>
      </c>
      <c r="B55" s="18"/>
      <c r="C55" s="17" t="str">
        <f>IF(ISERROR(VLOOKUP($A55,自动生成专业初选表!$A:$K,4,FALSE)),"",VLOOKUP($A55,自动生成专业初选表!$A:$K,4,FALSE))</f>
        <v/>
      </c>
      <c r="D55" s="17" t="str">
        <f>IF(ISERROR(VLOOKUP($A55,自动生成专业初选表!$A:$K,5,FALSE)),"",VLOOKUP($A55,自动生成专业初选表!$A:$K,5,FALSE))</f>
        <v/>
      </c>
      <c r="E55" s="17" t="str">
        <f>IF(ISERROR(VLOOKUP($A55,自动生成专业初选表!$A:$K,11,FALSE)),"",VLOOKUP($A55,自动生成专业初选表!$A:$K,11,FALSE))</f>
        <v/>
      </c>
      <c r="F55" s="17" t="s">
        <v>1076</v>
      </c>
      <c r="G55" s="17" t="str">
        <f>IF(ISERROR(VLOOKUP($A55,自动生成专业初选表!$A:$K,12,FALSE)),"",VLOOKUP($A55,自动生成专业初选表!$A:$K,12,FALSE))</f>
        <v/>
      </c>
      <c r="H55" s="17" t="str">
        <f>IF(ISERROR(VLOOKUP($A55,自动生成专业初选表!$A:$K,13,FALSE)),"",VLOOKUP($A55,自动生成专业初选表!$A:$K,13,FALSE))</f>
        <v/>
      </c>
      <c r="I55" s="24"/>
    </row>
    <row r="56" spans="1:9">
      <c r="A56" s="15">
        <v>52</v>
      </c>
      <c r="B56" s="18"/>
      <c r="C56" s="17" t="str">
        <f>IF(ISERROR(VLOOKUP($A56,自动生成专业初选表!$A:$K,4,FALSE)),"",VLOOKUP($A56,自动生成专业初选表!$A:$K,4,FALSE))</f>
        <v/>
      </c>
      <c r="D56" s="17" t="str">
        <f>IF(ISERROR(VLOOKUP($A56,自动生成专业初选表!$A:$K,5,FALSE)),"",VLOOKUP($A56,自动生成专业初选表!$A:$K,5,FALSE))</f>
        <v/>
      </c>
      <c r="E56" s="17" t="str">
        <f>IF(ISERROR(VLOOKUP($A56,自动生成专业初选表!$A:$K,11,FALSE)),"",VLOOKUP($A56,自动生成专业初选表!$A:$K,11,FALSE))</f>
        <v/>
      </c>
      <c r="F56" s="17" t="s">
        <v>1077</v>
      </c>
      <c r="G56" s="17" t="str">
        <f>IF(ISERROR(VLOOKUP($A56,自动生成专业初选表!$A:$K,12,FALSE)),"",VLOOKUP($A56,自动生成专业初选表!$A:$K,12,FALSE))</f>
        <v/>
      </c>
      <c r="H56" s="17" t="str">
        <f>IF(ISERROR(VLOOKUP($A56,自动生成专业初选表!$A:$K,13,FALSE)),"",VLOOKUP($A56,自动生成专业初选表!$A:$K,13,FALSE))</f>
        <v/>
      </c>
      <c r="I56" s="24"/>
    </row>
    <row r="57" spans="1:9">
      <c r="A57" s="15">
        <v>53</v>
      </c>
      <c r="B57" s="18"/>
      <c r="C57" s="17" t="str">
        <f>IF(ISERROR(VLOOKUP($A57,自动生成专业初选表!$A:$K,4,FALSE)),"",VLOOKUP($A57,自动生成专业初选表!$A:$K,4,FALSE))</f>
        <v/>
      </c>
      <c r="D57" s="17" t="str">
        <f>IF(ISERROR(VLOOKUP($A57,自动生成专业初选表!$A:$K,5,FALSE)),"",VLOOKUP($A57,自动生成专业初选表!$A:$K,5,FALSE))</f>
        <v/>
      </c>
      <c r="E57" s="17" t="str">
        <f>IF(ISERROR(VLOOKUP($A57,自动生成专业初选表!$A:$K,11,FALSE)),"",VLOOKUP($A57,自动生成专业初选表!$A:$K,11,FALSE))</f>
        <v/>
      </c>
      <c r="F57" s="17" t="s">
        <v>1078</v>
      </c>
      <c r="G57" s="17" t="str">
        <f>IF(ISERROR(VLOOKUP($A57,自动生成专业初选表!$A:$K,12,FALSE)),"",VLOOKUP($A57,自动生成专业初选表!$A:$K,12,FALSE))</f>
        <v/>
      </c>
      <c r="H57" s="17" t="str">
        <f>IF(ISERROR(VLOOKUP($A57,自动生成专业初选表!$A:$K,13,FALSE)),"",VLOOKUP($A57,自动生成专业初选表!$A:$K,13,FALSE))</f>
        <v/>
      </c>
      <c r="I57" s="24"/>
    </row>
    <row r="58" spans="1:9">
      <c r="A58" s="15">
        <v>54</v>
      </c>
      <c r="B58" s="19"/>
      <c r="C58" s="17" t="str">
        <f>IF(ISERROR(VLOOKUP($A58,自动生成专业初选表!$A:$K,4,FALSE)),"",VLOOKUP($A58,自动生成专业初选表!$A:$K,4,FALSE))</f>
        <v/>
      </c>
      <c r="D58" s="17" t="str">
        <f>IF(ISERROR(VLOOKUP($A58,自动生成专业初选表!$A:$K,5,FALSE)),"",VLOOKUP($A58,自动生成专业初选表!$A:$K,5,FALSE))</f>
        <v/>
      </c>
      <c r="E58" s="17" t="str">
        <f>IF(ISERROR(VLOOKUP($A58,自动生成专业初选表!$A:$K,11,FALSE)),"",VLOOKUP($A58,自动生成专业初选表!$A:$K,11,FALSE))</f>
        <v/>
      </c>
      <c r="F58" s="17" t="s">
        <v>1079</v>
      </c>
      <c r="G58" s="17" t="str">
        <f>IF(ISERROR(VLOOKUP($A58,自动生成专业初选表!$A:$K,12,FALSE)),"",VLOOKUP($A58,自动生成专业初选表!$A:$K,12,FALSE))</f>
        <v/>
      </c>
      <c r="H58" s="17" t="str">
        <f>IF(ISERROR(VLOOKUP($A58,自动生成专业初选表!$A:$K,13,FALSE)),"",VLOOKUP($A58,自动生成专业初选表!$A:$K,13,FALSE))</f>
        <v/>
      </c>
      <c r="I58" s="24"/>
    </row>
    <row r="59" spans="1:9">
      <c r="A59" s="13">
        <v>55</v>
      </c>
      <c r="B59" s="20" t="s">
        <v>1053</v>
      </c>
      <c r="C59" s="14" t="str">
        <f>IF(ISERROR(VLOOKUP($A59,自动生成专业初选表!$A:$K,4,FALSE)),"",VLOOKUP($A59,自动生成专业初选表!$A:$K,4,FALSE))</f>
        <v/>
      </c>
      <c r="D59" s="14" t="str">
        <f>IF(ISERROR(VLOOKUP($A59,自动生成专业初选表!$A:$K,5,FALSE)),"",VLOOKUP($A59,自动生成专业初选表!$A:$K,5,FALSE))</f>
        <v/>
      </c>
      <c r="E59" s="14" t="str">
        <f>IF(ISERROR(VLOOKUP($A59,自动生成专业初选表!$A:$K,11,FALSE)),"",VLOOKUP($A59,自动生成专业初选表!$A:$K,11,FALSE))</f>
        <v/>
      </c>
      <c r="F59" s="14" t="s">
        <v>1073</v>
      </c>
      <c r="G59" s="14" t="str">
        <f>IF(ISERROR(VLOOKUP($A59,自动生成专业初选表!$A:$K,12,FALSE)),"",VLOOKUP($A59,自动生成专业初选表!$A:$K,12,FALSE))</f>
        <v/>
      </c>
      <c r="H59" s="14" t="str">
        <f>IF(ISERROR(VLOOKUP($A59,自动生成专业初选表!$A:$K,13,FALSE)),"",VLOOKUP($A59,自动生成专业初选表!$A:$K,13,FALSE))</f>
        <v/>
      </c>
      <c r="I59" s="25" t="s">
        <v>1074</v>
      </c>
    </row>
    <row r="60" spans="1:9">
      <c r="A60" s="13">
        <v>56</v>
      </c>
      <c r="B60" s="21"/>
      <c r="C60" s="14" t="str">
        <f>IF(ISERROR(VLOOKUP($A60,自动生成专业初选表!$A:$K,4,FALSE)),"",VLOOKUP($A60,自动生成专业初选表!$A:$K,4,FALSE))</f>
        <v/>
      </c>
      <c r="D60" s="14" t="str">
        <f>IF(ISERROR(VLOOKUP($A60,自动生成专业初选表!$A:$K,5,FALSE)),"",VLOOKUP($A60,自动生成专业初选表!$A:$K,5,FALSE))</f>
        <v/>
      </c>
      <c r="E60" s="14" t="str">
        <f>IF(ISERROR(VLOOKUP($A60,自动生成专业初选表!$A:$K,11,FALSE)),"",VLOOKUP($A60,自动生成专业初选表!$A:$K,11,FALSE))</f>
        <v/>
      </c>
      <c r="F60" s="14" t="s">
        <v>1075</v>
      </c>
      <c r="G60" s="14" t="str">
        <f>IF(ISERROR(VLOOKUP($A60,自动生成专业初选表!$A:$K,12,FALSE)),"",VLOOKUP($A60,自动生成专业初选表!$A:$K,12,FALSE))</f>
        <v/>
      </c>
      <c r="H60" s="14" t="str">
        <f>IF(ISERROR(VLOOKUP($A60,自动生成专业初选表!$A:$K,13,FALSE)),"",VLOOKUP($A60,自动生成专业初选表!$A:$K,13,FALSE))</f>
        <v/>
      </c>
      <c r="I60" s="26"/>
    </row>
    <row r="61" spans="1:9">
      <c r="A61" s="13">
        <v>57</v>
      </c>
      <c r="B61" s="21"/>
      <c r="C61" s="14" t="str">
        <f>IF(ISERROR(VLOOKUP($A61,自动生成专业初选表!$A:$K,4,FALSE)),"",VLOOKUP($A61,自动生成专业初选表!$A:$K,4,FALSE))</f>
        <v/>
      </c>
      <c r="D61" s="14" t="str">
        <f>IF(ISERROR(VLOOKUP($A61,自动生成专业初选表!$A:$K,5,FALSE)),"",VLOOKUP($A61,自动生成专业初选表!$A:$K,5,FALSE))</f>
        <v/>
      </c>
      <c r="E61" s="14" t="str">
        <f>IF(ISERROR(VLOOKUP($A61,自动生成专业初选表!$A:$K,11,FALSE)),"",VLOOKUP($A61,自动生成专业初选表!$A:$K,11,FALSE))</f>
        <v/>
      </c>
      <c r="F61" s="14" t="s">
        <v>1076</v>
      </c>
      <c r="G61" s="14" t="str">
        <f>IF(ISERROR(VLOOKUP($A61,自动生成专业初选表!$A:$K,12,FALSE)),"",VLOOKUP($A61,自动生成专业初选表!$A:$K,12,FALSE))</f>
        <v/>
      </c>
      <c r="H61" s="14" t="str">
        <f>IF(ISERROR(VLOOKUP($A61,自动生成专业初选表!$A:$K,13,FALSE)),"",VLOOKUP($A61,自动生成专业初选表!$A:$K,13,FALSE))</f>
        <v/>
      </c>
      <c r="I61" s="26"/>
    </row>
    <row r="62" spans="1:9">
      <c r="A62" s="13">
        <v>58</v>
      </c>
      <c r="B62" s="21"/>
      <c r="C62" s="14" t="str">
        <f>IF(ISERROR(VLOOKUP($A62,自动生成专业初选表!$A:$K,4,FALSE)),"",VLOOKUP($A62,自动生成专业初选表!$A:$K,4,FALSE))</f>
        <v/>
      </c>
      <c r="D62" s="14" t="str">
        <f>IF(ISERROR(VLOOKUP($A62,自动生成专业初选表!$A:$K,5,FALSE)),"",VLOOKUP($A62,自动生成专业初选表!$A:$K,5,FALSE))</f>
        <v/>
      </c>
      <c r="E62" s="14" t="str">
        <f>IF(ISERROR(VLOOKUP($A62,自动生成专业初选表!$A:$K,11,FALSE)),"",VLOOKUP($A62,自动生成专业初选表!$A:$K,11,FALSE))</f>
        <v/>
      </c>
      <c r="F62" s="14" t="s">
        <v>1077</v>
      </c>
      <c r="G62" s="14" t="str">
        <f>IF(ISERROR(VLOOKUP($A62,自动生成专业初选表!$A:$K,12,FALSE)),"",VLOOKUP($A62,自动生成专业初选表!$A:$K,12,FALSE))</f>
        <v/>
      </c>
      <c r="H62" s="14" t="str">
        <f>IF(ISERROR(VLOOKUP($A62,自动生成专业初选表!$A:$K,13,FALSE)),"",VLOOKUP($A62,自动生成专业初选表!$A:$K,13,FALSE))</f>
        <v/>
      </c>
      <c r="I62" s="26"/>
    </row>
    <row r="63" spans="1:9">
      <c r="A63" s="13">
        <v>59</v>
      </c>
      <c r="B63" s="21"/>
      <c r="C63" s="14" t="str">
        <f>IF(ISERROR(VLOOKUP($A63,自动生成专业初选表!$A:$K,4,FALSE)),"",VLOOKUP($A63,自动生成专业初选表!$A:$K,4,FALSE))</f>
        <v/>
      </c>
      <c r="D63" s="14" t="str">
        <f>IF(ISERROR(VLOOKUP($A63,自动生成专业初选表!$A:$K,5,FALSE)),"",VLOOKUP($A63,自动生成专业初选表!$A:$K,5,FALSE))</f>
        <v/>
      </c>
      <c r="E63" s="14" t="str">
        <f>IF(ISERROR(VLOOKUP($A63,自动生成专业初选表!$A:$K,11,FALSE)),"",VLOOKUP($A63,自动生成专业初选表!$A:$K,11,FALSE))</f>
        <v/>
      </c>
      <c r="F63" s="14" t="s">
        <v>1078</v>
      </c>
      <c r="G63" s="14" t="str">
        <f>IF(ISERROR(VLOOKUP($A63,自动生成专业初选表!$A:$K,12,FALSE)),"",VLOOKUP($A63,自动生成专业初选表!$A:$K,12,FALSE))</f>
        <v/>
      </c>
      <c r="H63" s="14" t="str">
        <f>IF(ISERROR(VLOOKUP($A63,自动生成专业初选表!$A:$K,13,FALSE)),"",VLOOKUP($A63,自动生成专业初选表!$A:$K,13,FALSE))</f>
        <v/>
      </c>
      <c r="I63" s="26"/>
    </row>
    <row r="64" spans="1:9">
      <c r="A64" s="13">
        <v>60</v>
      </c>
      <c r="B64" s="22"/>
      <c r="C64" s="14" t="str">
        <f>IF(ISERROR(VLOOKUP($A64,自动生成专业初选表!$A:$K,4,FALSE)),"",VLOOKUP($A64,自动生成专业初选表!$A:$K,4,FALSE))</f>
        <v/>
      </c>
      <c r="D64" s="14" t="str">
        <f>IF(ISERROR(VLOOKUP($A64,自动生成专业初选表!$A:$K,5,FALSE)),"",VLOOKUP($A64,自动生成专业初选表!$A:$K,5,FALSE))</f>
        <v/>
      </c>
      <c r="E64" s="14" t="str">
        <f>IF(ISERROR(VLOOKUP($A64,自动生成专业初选表!$A:$K,11,FALSE)),"",VLOOKUP($A64,自动生成专业初选表!$A:$K,11,FALSE))</f>
        <v/>
      </c>
      <c r="F64" s="14" t="s">
        <v>1079</v>
      </c>
      <c r="G64" s="14" t="str">
        <f>IF(ISERROR(VLOOKUP($A64,自动生成专业初选表!$A:$K,12,FALSE)),"",VLOOKUP($A64,自动生成专业初选表!$A:$K,12,FALSE))</f>
        <v/>
      </c>
      <c r="H64" s="14" t="str">
        <f>IF(ISERROR(VLOOKUP($A64,自动生成专业初选表!$A:$K,13,FALSE)),"",VLOOKUP($A64,自动生成专业初选表!$A:$K,13,FALSE))</f>
        <v/>
      </c>
      <c r="I64" s="26"/>
    </row>
    <row r="65" spans="1:9">
      <c r="A65" s="15">
        <v>61</v>
      </c>
      <c r="B65" s="16" t="s">
        <v>1054</v>
      </c>
      <c r="C65" s="17" t="str">
        <f>IF(ISERROR(VLOOKUP($A65,自动生成专业初选表!$A:$K,4,FALSE)),"",VLOOKUP($A65,自动生成专业初选表!$A:$K,4,FALSE))</f>
        <v/>
      </c>
      <c r="D65" s="17" t="str">
        <f>IF(ISERROR(VLOOKUP($A65,自动生成专业初选表!$A:$K,5,FALSE)),"",VLOOKUP($A65,自动生成专业初选表!$A:$K,5,FALSE))</f>
        <v/>
      </c>
      <c r="E65" s="17" t="str">
        <f>IF(ISERROR(VLOOKUP($A65,自动生成专业初选表!$A:$K,11,FALSE)),"",VLOOKUP($A65,自动生成专业初选表!$A:$K,11,FALSE))</f>
        <v/>
      </c>
      <c r="F65" s="17" t="s">
        <v>1073</v>
      </c>
      <c r="G65" s="17" t="str">
        <f>IF(ISERROR(VLOOKUP($A65,自动生成专业初选表!$A:$K,12,FALSE)),"",VLOOKUP($A65,自动生成专业初选表!$A:$K,12,FALSE))</f>
        <v/>
      </c>
      <c r="H65" s="17" t="str">
        <f>IF(ISERROR(VLOOKUP($A65,自动生成专业初选表!$A:$K,13,FALSE)),"",VLOOKUP($A65,自动生成专业初选表!$A:$K,13,FALSE))</f>
        <v/>
      </c>
      <c r="I65" s="23" t="s">
        <v>1074</v>
      </c>
    </row>
    <row r="66" spans="1:9">
      <c r="A66" s="15">
        <v>62</v>
      </c>
      <c r="B66" s="18"/>
      <c r="C66" s="17" t="str">
        <f>IF(ISERROR(VLOOKUP($A66,自动生成专业初选表!$A:$K,4,FALSE)),"",VLOOKUP($A66,自动生成专业初选表!$A:$K,4,FALSE))</f>
        <v/>
      </c>
      <c r="D66" s="17" t="str">
        <f>IF(ISERROR(VLOOKUP($A66,自动生成专业初选表!$A:$K,5,FALSE)),"",VLOOKUP($A66,自动生成专业初选表!$A:$K,5,FALSE))</f>
        <v/>
      </c>
      <c r="E66" s="17" t="str">
        <f>IF(ISERROR(VLOOKUP($A66,自动生成专业初选表!$A:$K,11,FALSE)),"",VLOOKUP($A66,自动生成专业初选表!$A:$K,11,FALSE))</f>
        <v/>
      </c>
      <c r="F66" s="17" t="s">
        <v>1075</v>
      </c>
      <c r="G66" s="17" t="str">
        <f>IF(ISERROR(VLOOKUP($A66,自动生成专业初选表!$A:$K,12,FALSE)),"",VLOOKUP($A66,自动生成专业初选表!$A:$K,12,FALSE))</f>
        <v/>
      </c>
      <c r="H66" s="17" t="str">
        <f>IF(ISERROR(VLOOKUP($A66,自动生成专业初选表!$A:$K,13,FALSE)),"",VLOOKUP($A66,自动生成专业初选表!$A:$K,13,FALSE))</f>
        <v/>
      </c>
      <c r="I66" s="24"/>
    </row>
    <row r="67" spans="1:9">
      <c r="A67" s="15">
        <v>63</v>
      </c>
      <c r="B67" s="18"/>
      <c r="C67" s="17" t="str">
        <f>IF(ISERROR(VLOOKUP($A67,自动生成专业初选表!$A:$K,4,FALSE)),"",VLOOKUP($A67,自动生成专业初选表!$A:$K,4,FALSE))</f>
        <v/>
      </c>
      <c r="D67" s="17" t="str">
        <f>IF(ISERROR(VLOOKUP($A67,自动生成专业初选表!$A:$K,5,FALSE)),"",VLOOKUP($A67,自动生成专业初选表!$A:$K,5,FALSE))</f>
        <v/>
      </c>
      <c r="E67" s="17" t="str">
        <f>IF(ISERROR(VLOOKUP($A67,自动生成专业初选表!$A:$K,11,FALSE)),"",VLOOKUP($A67,自动生成专业初选表!$A:$K,11,FALSE))</f>
        <v/>
      </c>
      <c r="F67" s="17" t="s">
        <v>1076</v>
      </c>
      <c r="G67" s="17" t="str">
        <f>IF(ISERROR(VLOOKUP($A67,自动生成专业初选表!$A:$K,12,FALSE)),"",VLOOKUP($A67,自动生成专业初选表!$A:$K,12,FALSE))</f>
        <v/>
      </c>
      <c r="H67" s="17" t="str">
        <f>IF(ISERROR(VLOOKUP($A67,自动生成专业初选表!$A:$K,13,FALSE)),"",VLOOKUP($A67,自动生成专业初选表!$A:$K,13,FALSE))</f>
        <v/>
      </c>
      <c r="I67" s="24"/>
    </row>
    <row r="68" spans="1:9">
      <c r="A68" s="15">
        <v>64</v>
      </c>
      <c r="B68" s="18"/>
      <c r="C68" s="17" t="str">
        <f>IF(ISERROR(VLOOKUP($A68,自动生成专业初选表!$A:$K,4,FALSE)),"",VLOOKUP($A68,自动生成专业初选表!$A:$K,4,FALSE))</f>
        <v/>
      </c>
      <c r="D68" s="17" t="str">
        <f>IF(ISERROR(VLOOKUP($A68,自动生成专业初选表!$A:$K,5,FALSE)),"",VLOOKUP($A68,自动生成专业初选表!$A:$K,5,FALSE))</f>
        <v/>
      </c>
      <c r="E68" s="17" t="str">
        <f>IF(ISERROR(VLOOKUP($A68,自动生成专业初选表!$A:$K,11,FALSE)),"",VLOOKUP($A68,自动生成专业初选表!$A:$K,11,FALSE))</f>
        <v/>
      </c>
      <c r="F68" s="17" t="s">
        <v>1077</v>
      </c>
      <c r="G68" s="17" t="str">
        <f>IF(ISERROR(VLOOKUP($A68,自动生成专业初选表!$A:$K,12,FALSE)),"",VLOOKUP($A68,自动生成专业初选表!$A:$K,12,FALSE))</f>
        <v/>
      </c>
      <c r="H68" s="17" t="str">
        <f>IF(ISERROR(VLOOKUP($A68,自动生成专业初选表!$A:$K,13,FALSE)),"",VLOOKUP($A68,自动生成专业初选表!$A:$K,13,FALSE))</f>
        <v/>
      </c>
      <c r="I68" s="24"/>
    </row>
    <row r="69" spans="1:9">
      <c r="A69" s="15">
        <v>65</v>
      </c>
      <c r="B69" s="18"/>
      <c r="C69" s="17" t="str">
        <f>IF(ISERROR(VLOOKUP($A69,自动生成专业初选表!$A:$K,4,FALSE)),"",VLOOKUP($A69,自动生成专业初选表!$A:$K,4,FALSE))</f>
        <v/>
      </c>
      <c r="D69" s="17" t="str">
        <f>IF(ISERROR(VLOOKUP($A69,自动生成专业初选表!$A:$K,5,FALSE)),"",VLOOKUP($A69,自动生成专业初选表!$A:$K,5,FALSE))</f>
        <v/>
      </c>
      <c r="E69" s="17" t="str">
        <f>IF(ISERROR(VLOOKUP($A69,自动生成专业初选表!$A:$K,11,FALSE)),"",VLOOKUP($A69,自动生成专业初选表!$A:$K,11,FALSE))</f>
        <v/>
      </c>
      <c r="F69" s="17" t="s">
        <v>1078</v>
      </c>
      <c r="G69" s="17" t="str">
        <f>IF(ISERROR(VLOOKUP($A69,自动生成专业初选表!$A:$K,12,FALSE)),"",VLOOKUP($A69,自动生成专业初选表!$A:$K,12,FALSE))</f>
        <v/>
      </c>
      <c r="H69" s="17" t="str">
        <f>IF(ISERROR(VLOOKUP($A69,自动生成专业初选表!$A:$K,13,FALSE)),"",VLOOKUP($A69,自动生成专业初选表!$A:$K,13,FALSE))</f>
        <v/>
      </c>
      <c r="I69" s="24"/>
    </row>
    <row r="70" spans="1:9">
      <c r="A70" s="15">
        <v>66</v>
      </c>
      <c r="B70" s="19"/>
      <c r="C70" s="17" t="str">
        <f>IF(ISERROR(VLOOKUP($A70,自动生成专业初选表!$A:$K,4,FALSE)),"",VLOOKUP($A70,自动生成专业初选表!$A:$K,4,FALSE))</f>
        <v/>
      </c>
      <c r="D70" s="17" t="str">
        <f>IF(ISERROR(VLOOKUP($A70,自动生成专业初选表!$A:$K,5,FALSE)),"",VLOOKUP($A70,自动生成专业初选表!$A:$K,5,FALSE))</f>
        <v/>
      </c>
      <c r="E70" s="17" t="str">
        <f>IF(ISERROR(VLOOKUP($A70,自动生成专业初选表!$A:$K,11,FALSE)),"",VLOOKUP($A70,自动生成专业初选表!$A:$K,11,FALSE))</f>
        <v/>
      </c>
      <c r="F70" s="17" t="s">
        <v>1079</v>
      </c>
      <c r="G70" s="17" t="str">
        <f>IF(ISERROR(VLOOKUP($A70,自动生成专业初选表!$A:$K,12,FALSE)),"",VLOOKUP($A70,自动生成专业初选表!$A:$K,12,FALSE))</f>
        <v/>
      </c>
      <c r="H70" s="17" t="str">
        <f>IF(ISERROR(VLOOKUP($A70,自动生成专业初选表!$A:$K,13,FALSE)),"",VLOOKUP($A70,自动生成专业初选表!$A:$K,13,FALSE))</f>
        <v/>
      </c>
      <c r="I70" s="24"/>
    </row>
    <row r="71" spans="1:9">
      <c r="A71" s="13">
        <v>67</v>
      </c>
      <c r="B71" s="20" t="s">
        <v>1055</v>
      </c>
      <c r="C71" s="14" t="str">
        <f>IF(ISERROR(VLOOKUP($A71,自动生成专业初选表!$A:$K,4,FALSE)),"",VLOOKUP($A71,自动生成专业初选表!$A:$K,4,FALSE))</f>
        <v/>
      </c>
      <c r="D71" s="14" t="str">
        <f>IF(ISERROR(VLOOKUP($A71,自动生成专业初选表!$A:$K,5,FALSE)),"",VLOOKUP($A71,自动生成专业初选表!$A:$K,5,FALSE))</f>
        <v/>
      </c>
      <c r="E71" s="14" t="str">
        <f>IF(ISERROR(VLOOKUP($A71,自动生成专业初选表!$A:$K,11,FALSE)),"",VLOOKUP($A71,自动生成专业初选表!$A:$K,11,FALSE))</f>
        <v/>
      </c>
      <c r="F71" s="14" t="s">
        <v>1073</v>
      </c>
      <c r="G71" s="14" t="str">
        <f>IF(ISERROR(VLOOKUP($A71,自动生成专业初选表!$A:$K,12,FALSE)),"",VLOOKUP($A71,自动生成专业初选表!$A:$K,12,FALSE))</f>
        <v/>
      </c>
      <c r="H71" s="14" t="str">
        <f>IF(ISERROR(VLOOKUP($A71,自动生成专业初选表!$A:$K,13,FALSE)),"",VLOOKUP($A71,自动生成专业初选表!$A:$K,13,FALSE))</f>
        <v/>
      </c>
      <c r="I71" s="25" t="s">
        <v>1074</v>
      </c>
    </row>
    <row r="72" spans="1:9">
      <c r="A72" s="13">
        <v>68</v>
      </c>
      <c r="B72" s="21"/>
      <c r="C72" s="14" t="str">
        <f>IF(ISERROR(VLOOKUP($A72,自动生成专业初选表!$A:$K,4,FALSE)),"",VLOOKUP($A72,自动生成专业初选表!$A:$K,4,FALSE))</f>
        <v/>
      </c>
      <c r="D72" s="14" t="str">
        <f>IF(ISERROR(VLOOKUP($A72,自动生成专业初选表!$A:$K,5,FALSE)),"",VLOOKUP($A72,自动生成专业初选表!$A:$K,5,FALSE))</f>
        <v/>
      </c>
      <c r="E72" s="14" t="str">
        <f>IF(ISERROR(VLOOKUP($A72,自动生成专业初选表!$A:$K,11,FALSE)),"",VLOOKUP($A72,自动生成专业初选表!$A:$K,11,FALSE))</f>
        <v/>
      </c>
      <c r="F72" s="14" t="s">
        <v>1075</v>
      </c>
      <c r="G72" s="14" t="str">
        <f>IF(ISERROR(VLOOKUP($A72,自动生成专业初选表!$A:$K,12,FALSE)),"",VLOOKUP($A72,自动生成专业初选表!$A:$K,12,FALSE))</f>
        <v/>
      </c>
      <c r="H72" s="14" t="str">
        <f>IF(ISERROR(VLOOKUP($A72,自动生成专业初选表!$A:$K,13,FALSE)),"",VLOOKUP($A72,自动生成专业初选表!$A:$K,13,FALSE))</f>
        <v/>
      </c>
      <c r="I72" s="26"/>
    </row>
    <row r="73" spans="1:9">
      <c r="A73" s="13">
        <v>69</v>
      </c>
      <c r="B73" s="21"/>
      <c r="C73" s="14" t="str">
        <f>IF(ISERROR(VLOOKUP($A73,自动生成专业初选表!$A:$K,4,FALSE)),"",VLOOKUP($A73,自动生成专业初选表!$A:$K,4,FALSE))</f>
        <v/>
      </c>
      <c r="D73" s="14" t="str">
        <f>IF(ISERROR(VLOOKUP($A73,自动生成专业初选表!$A:$K,5,FALSE)),"",VLOOKUP($A73,自动生成专业初选表!$A:$K,5,FALSE))</f>
        <v/>
      </c>
      <c r="E73" s="14" t="str">
        <f>IF(ISERROR(VLOOKUP($A73,自动生成专业初选表!$A:$K,11,FALSE)),"",VLOOKUP($A73,自动生成专业初选表!$A:$K,11,FALSE))</f>
        <v/>
      </c>
      <c r="F73" s="14" t="s">
        <v>1076</v>
      </c>
      <c r="G73" s="14" t="str">
        <f>IF(ISERROR(VLOOKUP($A73,自动生成专业初选表!$A:$K,12,FALSE)),"",VLOOKUP($A73,自动生成专业初选表!$A:$K,12,FALSE))</f>
        <v/>
      </c>
      <c r="H73" s="14" t="str">
        <f>IF(ISERROR(VLOOKUP($A73,自动生成专业初选表!$A:$K,13,FALSE)),"",VLOOKUP($A73,自动生成专业初选表!$A:$K,13,FALSE))</f>
        <v/>
      </c>
      <c r="I73" s="26"/>
    </row>
    <row r="74" spans="1:9">
      <c r="A74" s="13">
        <v>70</v>
      </c>
      <c r="B74" s="21"/>
      <c r="C74" s="14" t="str">
        <f>IF(ISERROR(VLOOKUP($A74,自动生成专业初选表!$A:$K,4,FALSE)),"",VLOOKUP($A74,自动生成专业初选表!$A:$K,4,FALSE))</f>
        <v/>
      </c>
      <c r="D74" s="14" t="str">
        <f>IF(ISERROR(VLOOKUP($A74,自动生成专业初选表!$A:$K,5,FALSE)),"",VLOOKUP($A74,自动生成专业初选表!$A:$K,5,FALSE))</f>
        <v/>
      </c>
      <c r="E74" s="14" t="str">
        <f>IF(ISERROR(VLOOKUP($A74,自动生成专业初选表!$A:$K,11,FALSE)),"",VLOOKUP($A74,自动生成专业初选表!$A:$K,11,FALSE))</f>
        <v/>
      </c>
      <c r="F74" s="14" t="s">
        <v>1077</v>
      </c>
      <c r="G74" s="14" t="str">
        <f>IF(ISERROR(VLOOKUP($A74,自动生成专业初选表!$A:$K,12,FALSE)),"",VLOOKUP($A74,自动生成专业初选表!$A:$K,12,FALSE))</f>
        <v/>
      </c>
      <c r="H74" s="14" t="str">
        <f>IF(ISERROR(VLOOKUP($A74,自动生成专业初选表!$A:$K,13,FALSE)),"",VLOOKUP($A74,自动生成专业初选表!$A:$K,13,FALSE))</f>
        <v/>
      </c>
      <c r="I74" s="26"/>
    </row>
    <row r="75" spans="1:9">
      <c r="A75" s="13">
        <v>71</v>
      </c>
      <c r="B75" s="21"/>
      <c r="C75" s="14" t="str">
        <f>IF(ISERROR(VLOOKUP($A75,自动生成专业初选表!$A:$K,4,FALSE)),"",VLOOKUP($A75,自动生成专业初选表!$A:$K,4,FALSE))</f>
        <v/>
      </c>
      <c r="D75" s="14" t="str">
        <f>IF(ISERROR(VLOOKUP($A75,自动生成专业初选表!$A:$K,5,FALSE)),"",VLOOKUP($A75,自动生成专业初选表!$A:$K,5,FALSE))</f>
        <v/>
      </c>
      <c r="E75" s="14" t="str">
        <f>IF(ISERROR(VLOOKUP($A75,自动生成专业初选表!$A:$K,11,FALSE)),"",VLOOKUP($A75,自动生成专业初选表!$A:$K,11,FALSE))</f>
        <v/>
      </c>
      <c r="F75" s="14" t="s">
        <v>1078</v>
      </c>
      <c r="G75" s="14" t="str">
        <f>IF(ISERROR(VLOOKUP($A75,自动生成专业初选表!$A:$K,12,FALSE)),"",VLOOKUP($A75,自动生成专业初选表!$A:$K,12,FALSE))</f>
        <v/>
      </c>
      <c r="H75" s="14" t="str">
        <f>IF(ISERROR(VLOOKUP($A75,自动生成专业初选表!$A:$K,13,FALSE)),"",VLOOKUP($A75,自动生成专业初选表!$A:$K,13,FALSE))</f>
        <v/>
      </c>
      <c r="I75" s="26"/>
    </row>
    <row r="76" spans="1:9">
      <c r="A76" s="13">
        <v>72</v>
      </c>
      <c r="B76" s="22"/>
      <c r="C76" s="14" t="str">
        <f>IF(ISERROR(VLOOKUP($A76,自动生成专业初选表!$A:$K,4,FALSE)),"",VLOOKUP($A76,自动生成专业初选表!$A:$K,4,FALSE))</f>
        <v/>
      </c>
      <c r="D76" s="14" t="str">
        <f>IF(ISERROR(VLOOKUP($A76,自动生成专业初选表!$A:$K,5,FALSE)),"",VLOOKUP($A76,自动生成专业初选表!$A:$K,5,FALSE))</f>
        <v/>
      </c>
      <c r="E76" s="14" t="str">
        <f>IF(ISERROR(VLOOKUP($A76,自动生成专业初选表!$A:$K,11,FALSE)),"",VLOOKUP($A76,自动生成专业初选表!$A:$K,11,FALSE))</f>
        <v/>
      </c>
      <c r="F76" s="14" t="s">
        <v>1079</v>
      </c>
      <c r="G76" s="14" t="str">
        <f>IF(ISERROR(VLOOKUP($A76,自动生成专业初选表!$A:$K,12,FALSE)),"",VLOOKUP($A76,自动生成专业初选表!$A:$K,12,FALSE))</f>
        <v/>
      </c>
      <c r="H76" s="14" t="str">
        <f>IF(ISERROR(VLOOKUP($A76,自动生成专业初选表!$A:$K,13,FALSE)),"",VLOOKUP($A76,自动生成专业初选表!$A:$K,13,FALSE))</f>
        <v/>
      </c>
      <c r="I76" s="26"/>
    </row>
    <row r="77" spans="1:9">
      <c r="A77" s="15">
        <v>73</v>
      </c>
      <c r="B77" s="16" t="s">
        <v>1056</v>
      </c>
      <c r="C77" s="17" t="str">
        <f>IF(ISERROR(VLOOKUP($A77,自动生成专业初选表!$A:$K,4,FALSE)),"",VLOOKUP($A77,自动生成专业初选表!$A:$K,4,FALSE))</f>
        <v/>
      </c>
      <c r="D77" s="17" t="str">
        <f>IF(ISERROR(VLOOKUP($A77,自动生成专业初选表!$A:$K,5,FALSE)),"",VLOOKUP($A77,自动生成专业初选表!$A:$K,5,FALSE))</f>
        <v/>
      </c>
      <c r="E77" s="17" t="str">
        <f>IF(ISERROR(VLOOKUP($A77,自动生成专业初选表!$A:$K,11,FALSE)),"",VLOOKUP($A77,自动生成专业初选表!$A:$K,11,FALSE))</f>
        <v/>
      </c>
      <c r="F77" s="17" t="s">
        <v>1073</v>
      </c>
      <c r="G77" s="17" t="str">
        <f>IF(ISERROR(VLOOKUP($A77,自动生成专业初选表!$A:$K,12,FALSE)),"",VLOOKUP($A77,自动生成专业初选表!$A:$K,12,FALSE))</f>
        <v/>
      </c>
      <c r="H77" s="17" t="str">
        <f>IF(ISERROR(VLOOKUP($A77,自动生成专业初选表!$A:$K,13,FALSE)),"",VLOOKUP($A77,自动生成专业初选表!$A:$K,13,FALSE))</f>
        <v/>
      </c>
      <c r="I77" s="23" t="s">
        <v>1074</v>
      </c>
    </row>
    <row r="78" spans="1:9">
      <c r="A78" s="15">
        <v>74</v>
      </c>
      <c r="B78" s="18"/>
      <c r="C78" s="17" t="str">
        <f>IF(ISERROR(VLOOKUP($A78,自动生成专业初选表!$A:$K,4,FALSE)),"",VLOOKUP($A78,自动生成专业初选表!$A:$K,4,FALSE))</f>
        <v/>
      </c>
      <c r="D78" s="17" t="str">
        <f>IF(ISERROR(VLOOKUP($A78,自动生成专业初选表!$A:$K,5,FALSE)),"",VLOOKUP($A78,自动生成专业初选表!$A:$K,5,FALSE))</f>
        <v/>
      </c>
      <c r="E78" s="17" t="str">
        <f>IF(ISERROR(VLOOKUP($A78,自动生成专业初选表!$A:$K,11,FALSE)),"",VLOOKUP($A78,自动生成专业初选表!$A:$K,11,FALSE))</f>
        <v/>
      </c>
      <c r="F78" s="17" t="s">
        <v>1075</v>
      </c>
      <c r="G78" s="17" t="str">
        <f>IF(ISERROR(VLOOKUP($A78,自动生成专业初选表!$A:$K,12,FALSE)),"",VLOOKUP($A78,自动生成专业初选表!$A:$K,12,FALSE))</f>
        <v/>
      </c>
      <c r="H78" s="17" t="str">
        <f>IF(ISERROR(VLOOKUP($A78,自动生成专业初选表!$A:$K,13,FALSE)),"",VLOOKUP($A78,自动生成专业初选表!$A:$K,13,FALSE))</f>
        <v/>
      </c>
      <c r="I78" s="24"/>
    </row>
    <row r="79" spans="1:9">
      <c r="A79" s="15">
        <v>75</v>
      </c>
      <c r="B79" s="18"/>
      <c r="C79" s="17" t="str">
        <f>IF(ISERROR(VLOOKUP($A79,自动生成专业初选表!$A:$K,4,FALSE)),"",VLOOKUP($A79,自动生成专业初选表!$A:$K,4,FALSE))</f>
        <v/>
      </c>
      <c r="D79" s="17" t="str">
        <f>IF(ISERROR(VLOOKUP($A79,自动生成专业初选表!$A:$K,5,FALSE)),"",VLOOKUP($A79,自动生成专业初选表!$A:$K,5,FALSE))</f>
        <v/>
      </c>
      <c r="E79" s="17" t="str">
        <f>IF(ISERROR(VLOOKUP($A79,自动生成专业初选表!$A:$K,11,FALSE)),"",VLOOKUP($A79,自动生成专业初选表!$A:$K,11,FALSE))</f>
        <v/>
      </c>
      <c r="F79" s="17" t="s">
        <v>1076</v>
      </c>
      <c r="G79" s="17" t="str">
        <f>IF(ISERROR(VLOOKUP($A79,自动生成专业初选表!$A:$K,12,FALSE)),"",VLOOKUP($A79,自动生成专业初选表!$A:$K,12,FALSE))</f>
        <v/>
      </c>
      <c r="H79" s="17" t="str">
        <f>IF(ISERROR(VLOOKUP($A79,自动生成专业初选表!$A:$K,13,FALSE)),"",VLOOKUP($A79,自动生成专业初选表!$A:$K,13,FALSE))</f>
        <v/>
      </c>
      <c r="I79" s="24"/>
    </row>
    <row r="80" spans="1:9">
      <c r="A80" s="15">
        <v>76</v>
      </c>
      <c r="B80" s="18"/>
      <c r="C80" s="17" t="str">
        <f>IF(ISERROR(VLOOKUP($A80,自动生成专业初选表!$A:$K,4,FALSE)),"",VLOOKUP($A80,自动生成专业初选表!$A:$K,4,FALSE))</f>
        <v/>
      </c>
      <c r="D80" s="17" t="str">
        <f>IF(ISERROR(VLOOKUP($A80,自动生成专业初选表!$A:$K,5,FALSE)),"",VLOOKUP($A80,自动生成专业初选表!$A:$K,5,FALSE))</f>
        <v/>
      </c>
      <c r="E80" s="17" t="str">
        <f>IF(ISERROR(VLOOKUP($A80,自动生成专业初选表!$A:$K,11,FALSE)),"",VLOOKUP($A80,自动生成专业初选表!$A:$K,11,FALSE))</f>
        <v/>
      </c>
      <c r="F80" s="17" t="s">
        <v>1077</v>
      </c>
      <c r="G80" s="17" t="str">
        <f>IF(ISERROR(VLOOKUP($A80,自动生成专业初选表!$A:$K,12,FALSE)),"",VLOOKUP($A80,自动生成专业初选表!$A:$K,12,FALSE))</f>
        <v/>
      </c>
      <c r="H80" s="17" t="str">
        <f>IF(ISERROR(VLOOKUP($A80,自动生成专业初选表!$A:$K,13,FALSE)),"",VLOOKUP($A80,自动生成专业初选表!$A:$K,13,FALSE))</f>
        <v/>
      </c>
      <c r="I80" s="24"/>
    </row>
    <row r="81" spans="1:9">
      <c r="A81" s="15">
        <v>77</v>
      </c>
      <c r="B81" s="18"/>
      <c r="C81" s="17" t="str">
        <f>IF(ISERROR(VLOOKUP($A81,自动生成专业初选表!$A:$K,4,FALSE)),"",VLOOKUP($A81,自动生成专业初选表!$A:$K,4,FALSE))</f>
        <v/>
      </c>
      <c r="D81" s="17" t="str">
        <f>IF(ISERROR(VLOOKUP($A81,自动生成专业初选表!$A:$K,5,FALSE)),"",VLOOKUP($A81,自动生成专业初选表!$A:$K,5,FALSE))</f>
        <v/>
      </c>
      <c r="E81" s="17" t="str">
        <f>IF(ISERROR(VLOOKUP($A81,自动生成专业初选表!$A:$K,11,FALSE)),"",VLOOKUP($A81,自动生成专业初选表!$A:$K,11,FALSE))</f>
        <v/>
      </c>
      <c r="F81" s="17" t="s">
        <v>1078</v>
      </c>
      <c r="G81" s="17" t="str">
        <f>IF(ISERROR(VLOOKUP($A81,自动生成专业初选表!$A:$K,12,FALSE)),"",VLOOKUP($A81,自动生成专业初选表!$A:$K,12,FALSE))</f>
        <v/>
      </c>
      <c r="H81" s="17" t="str">
        <f>IF(ISERROR(VLOOKUP($A81,自动生成专业初选表!$A:$K,13,FALSE)),"",VLOOKUP($A81,自动生成专业初选表!$A:$K,13,FALSE))</f>
        <v/>
      </c>
      <c r="I81" s="24"/>
    </row>
    <row r="82" spans="1:9">
      <c r="A82" s="15">
        <v>78</v>
      </c>
      <c r="B82" s="19"/>
      <c r="C82" s="17" t="str">
        <f>IF(ISERROR(VLOOKUP($A82,自动生成专业初选表!$A:$K,4,FALSE)),"",VLOOKUP($A82,自动生成专业初选表!$A:$K,4,FALSE))</f>
        <v/>
      </c>
      <c r="D82" s="17" t="str">
        <f>IF(ISERROR(VLOOKUP($A82,自动生成专业初选表!$A:$K,5,FALSE)),"",VLOOKUP($A82,自动生成专业初选表!$A:$K,5,FALSE))</f>
        <v/>
      </c>
      <c r="E82" s="17" t="str">
        <f>IF(ISERROR(VLOOKUP($A82,自动生成专业初选表!$A:$K,11,FALSE)),"",VLOOKUP($A82,自动生成专业初选表!$A:$K,11,FALSE))</f>
        <v/>
      </c>
      <c r="F82" s="17" t="s">
        <v>1079</v>
      </c>
      <c r="G82" s="17" t="str">
        <f>IF(ISERROR(VLOOKUP($A82,自动生成专业初选表!$A:$K,12,FALSE)),"",VLOOKUP($A82,自动生成专业初选表!$A:$K,12,FALSE))</f>
        <v/>
      </c>
      <c r="H82" s="17" t="str">
        <f>IF(ISERROR(VLOOKUP($A82,自动生成专业初选表!$A:$K,13,FALSE)),"",VLOOKUP($A82,自动生成专业初选表!$A:$K,13,FALSE))</f>
        <v/>
      </c>
      <c r="I82" s="24"/>
    </row>
    <row r="83" spans="1:9">
      <c r="A83" s="13">
        <v>79</v>
      </c>
      <c r="B83" s="20" t="s">
        <v>1057</v>
      </c>
      <c r="C83" s="14" t="str">
        <f>IF(ISERROR(VLOOKUP($A83,自动生成专业初选表!$A:$K,4,FALSE)),"",VLOOKUP($A83,自动生成专业初选表!$A:$K,4,FALSE))</f>
        <v/>
      </c>
      <c r="D83" s="14" t="str">
        <f>IF(ISERROR(VLOOKUP($A83,自动生成专业初选表!$A:$K,5,FALSE)),"",VLOOKUP($A83,自动生成专业初选表!$A:$K,5,FALSE))</f>
        <v/>
      </c>
      <c r="E83" s="14" t="str">
        <f>IF(ISERROR(VLOOKUP($A83,自动生成专业初选表!$A:$K,11,FALSE)),"",VLOOKUP($A83,自动生成专业初选表!$A:$K,11,FALSE))</f>
        <v/>
      </c>
      <c r="F83" s="14" t="s">
        <v>1073</v>
      </c>
      <c r="G83" s="14" t="str">
        <f>IF(ISERROR(VLOOKUP($A83,自动生成专业初选表!$A:$K,12,FALSE)),"",VLOOKUP($A83,自动生成专业初选表!$A:$K,12,FALSE))</f>
        <v/>
      </c>
      <c r="H83" s="14" t="str">
        <f>IF(ISERROR(VLOOKUP($A83,自动生成专业初选表!$A:$K,13,FALSE)),"",VLOOKUP($A83,自动生成专业初选表!$A:$K,13,FALSE))</f>
        <v/>
      </c>
      <c r="I83" s="25" t="s">
        <v>1074</v>
      </c>
    </row>
    <row r="84" spans="1:9">
      <c r="A84" s="13">
        <v>80</v>
      </c>
      <c r="B84" s="21"/>
      <c r="C84" s="14" t="str">
        <f>IF(ISERROR(VLOOKUP($A84,自动生成专业初选表!$A:$K,4,FALSE)),"",VLOOKUP($A84,自动生成专业初选表!$A:$K,4,FALSE))</f>
        <v/>
      </c>
      <c r="D84" s="14" t="str">
        <f>IF(ISERROR(VLOOKUP($A84,自动生成专业初选表!$A:$K,5,FALSE)),"",VLOOKUP($A84,自动生成专业初选表!$A:$K,5,FALSE))</f>
        <v/>
      </c>
      <c r="E84" s="14" t="str">
        <f>IF(ISERROR(VLOOKUP($A84,自动生成专业初选表!$A:$K,11,FALSE)),"",VLOOKUP($A84,自动生成专业初选表!$A:$K,11,FALSE))</f>
        <v/>
      </c>
      <c r="F84" s="14" t="s">
        <v>1075</v>
      </c>
      <c r="G84" s="14" t="str">
        <f>IF(ISERROR(VLOOKUP($A84,自动生成专业初选表!$A:$K,12,FALSE)),"",VLOOKUP($A84,自动生成专业初选表!$A:$K,12,FALSE))</f>
        <v/>
      </c>
      <c r="H84" s="14" t="str">
        <f>IF(ISERROR(VLOOKUP($A84,自动生成专业初选表!$A:$K,13,FALSE)),"",VLOOKUP($A84,自动生成专业初选表!$A:$K,13,FALSE))</f>
        <v/>
      </c>
      <c r="I84" s="26"/>
    </row>
    <row r="85" spans="1:9">
      <c r="A85" s="13">
        <v>81</v>
      </c>
      <c r="B85" s="21"/>
      <c r="C85" s="14" t="str">
        <f>IF(ISERROR(VLOOKUP($A85,自动生成专业初选表!$A:$K,4,FALSE)),"",VLOOKUP($A85,自动生成专业初选表!$A:$K,4,FALSE))</f>
        <v/>
      </c>
      <c r="D85" s="14" t="str">
        <f>IF(ISERROR(VLOOKUP($A85,自动生成专业初选表!$A:$K,5,FALSE)),"",VLOOKUP($A85,自动生成专业初选表!$A:$K,5,FALSE))</f>
        <v/>
      </c>
      <c r="E85" s="14" t="str">
        <f>IF(ISERROR(VLOOKUP($A85,自动生成专业初选表!$A:$K,11,FALSE)),"",VLOOKUP($A85,自动生成专业初选表!$A:$K,11,FALSE))</f>
        <v/>
      </c>
      <c r="F85" s="14" t="s">
        <v>1076</v>
      </c>
      <c r="G85" s="14" t="str">
        <f>IF(ISERROR(VLOOKUP($A85,自动生成专业初选表!$A:$K,12,FALSE)),"",VLOOKUP($A85,自动生成专业初选表!$A:$K,12,FALSE))</f>
        <v/>
      </c>
      <c r="H85" s="14" t="str">
        <f>IF(ISERROR(VLOOKUP($A85,自动生成专业初选表!$A:$K,13,FALSE)),"",VLOOKUP($A85,自动生成专业初选表!$A:$K,13,FALSE))</f>
        <v/>
      </c>
      <c r="I85" s="26"/>
    </row>
    <row r="86" spans="1:9">
      <c r="A86" s="13">
        <v>82</v>
      </c>
      <c r="B86" s="21"/>
      <c r="C86" s="14" t="str">
        <f>IF(ISERROR(VLOOKUP($A86,自动生成专业初选表!$A:$K,4,FALSE)),"",VLOOKUP($A86,自动生成专业初选表!$A:$K,4,FALSE))</f>
        <v/>
      </c>
      <c r="D86" s="14" t="str">
        <f>IF(ISERROR(VLOOKUP($A86,自动生成专业初选表!$A:$K,5,FALSE)),"",VLOOKUP($A86,自动生成专业初选表!$A:$K,5,FALSE))</f>
        <v/>
      </c>
      <c r="E86" s="14" t="str">
        <f>IF(ISERROR(VLOOKUP($A86,自动生成专业初选表!$A:$K,11,FALSE)),"",VLOOKUP($A86,自动生成专业初选表!$A:$K,11,FALSE))</f>
        <v/>
      </c>
      <c r="F86" s="14" t="s">
        <v>1077</v>
      </c>
      <c r="G86" s="14" t="str">
        <f>IF(ISERROR(VLOOKUP($A86,自动生成专业初选表!$A:$K,12,FALSE)),"",VLOOKUP($A86,自动生成专业初选表!$A:$K,12,FALSE))</f>
        <v/>
      </c>
      <c r="H86" s="14" t="str">
        <f>IF(ISERROR(VLOOKUP($A86,自动生成专业初选表!$A:$K,13,FALSE)),"",VLOOKUP($A86,自动生成专业初选表!$A:$K,13,FALSE))</f>
        <v/>
      </c>
      <c r="I86" s="26"/>
    </row>
    <row r="87" spans="1:9">
      <c r="A87" s="13">
        <v>83</v>
      </c>
      <c r="B87" s="21"/>
      <c r="C87" s="14" t="str">
        <f>IF(ISERROR(VLOOKUP($A87,自动生成专业初选表!$A:$K,4,FALSE)),"",VLOOKUP($A87,自动生成专业初选表!$A:$K,4,FALSE))</f>
        <v/>
      </c>
      <c r="D87" s="14" t="str">
        <f>IF(ISERROR(VLOOKUP($A87,自动生成专业初选表!$A:$K,5,FALSE)),"",VLOOKUP($A87,自动生成专业初选表!$A:$K,5,FALSE))</f>
        <v/>
      </c>
      <c r="E87" s="14" t="str">
        <f>IF(ISERROR(VLOOKUP($A87,自动生成专业初选表!$A:$K,11,FALSE)),"",VLOOKUP($A87,自动生成专业初选表!$A:$K,11,FALSE))</f>
        <v/>
      </c>
      <c r="F87" s="14" t="s">
        <v>1078</v>
      </c>
      <c r="G87" s="14" t="str">
        <f>IF(ISERROR(VLOOKUP($A87,自动生成专业初选表!$A:$K,12,FALSE)),"",VLOOKUP($A87,自动生成专业初选表!$A:$K,12,FALSE))</f>
        <v/>
      </c>
      <c r="H87" s="14" t="str">
        <f>IF(ISERROR(VLOOKUP($A87,自动生成专业初选表!$A:$K,13,FALSE)),"",VLOOKUP($A87,自动生成专业初选表!$A:$K,13,FALSE))</f>
        <v/>
      </c>
      <c r="I87" s="26"/>
    </row>
    <row r="88" spans="1:9">
      <c r="A88" s="13">
        <v>84</v>
      </c>
      <c r="B88" s="22"/>
      <c r="C88" s="14" t="str">
        <f>IF(ISERROR(VLOOKUP($A88,自动生成专业初选表!$A:$K,4,FALSE)),"",VLOOKUP($A88,自动生成专业初选表!$A:$K,4,FALSE))</f>
        <v/>
      </c>
      <c r="D88" s="14" t="str">
        <f>IF(ISERROR(VLOOKUP($A88,自动生成专业初选表!$A:$K,5,FALSE)),"",VLOOKUP($A88,自动生成专业初选表!$A:$K,5,FALSE))</f>
        <v/>
      </c>
      <c r="E88" s="14" t="str">
        <f>IF(ISERROR(VLOOKUP($A88,自动生成专业初选表!$A:$K,11,FALSE)),"",VLOOKUP($A88,自动生成专业初选表!$A:$K,11,FALSE))</f>
        <v/>
      </c>
      <c r="F88" s="14" t="s">
        <v>1079</v>
      </c>
      <c r="G88" s="14" t="str">
        <f>IF(ISERROR(VLOOKUP($A88,自动生成专业初选表!$A:$K,12,FALSE)),"",VLOOKUP($A88,自动生成专业初选表!$A:$K,12,FALSE))</f>
        <v/>
      </c>
      <c r="H88" s="14" t="str">
        <f>IF(ISERROR(VLOOKUP($A88,自动生成专业初选表!$A:$K,13,FALSE)),"",VLOOKUP($A88,自动生成专业初选表!$A:$K,13,FALSE))</f>
        <v/>
      </c>
      <c r="I88" s="26"/>
    </row>
    <row r="89" spans="1:9">
      <c r="A89" s="15">
        <v>85</v>
      </c>
      <c r="B89" s="16" t="s">
        <v>1058</v>
      </c>
      <c r="C89" s="17" t="str">
        <f>IF(ISERROR(VLOOKUP($A89,自动生成专业初选表!$A:$K,4,FALSE)),"",VLOOKUP($A89,自动生成专业初选表!$A:$K,4,FALSE))</f>
        <v/>
      </c>
      <c r="D89" s="17" t="str">
        <f>IF(ISERROR(VLOOKUP($A89,自动生成专业初选表!$A:$K,5,FALSE)),"",VLOOKUP($A89,自动生成专业初选表!$A:$K,5,FALSE))</f>
        <v/>
      </c>
      <c r="E89" s="17" t="str">
        <f>IF(ISERROR(VLOOKUP($A89,自动生成专业初选表!$A:$K,11,FALSE)),"",VLOOKUP($A89,自动生成专业初选表!$A:$K,11,FALSE))</f>
        <v/>
      </c>
      <c r="F89" s="17" t="s">
        <v>1073</v>
      </c>
      <c r="G89" s="17" t="str">
        <f>IF(ISERROR(VLOOKUP($A89,自动生成专业初选表!$A:$K,12,FALSE)),"",VLOOKUP($A89,自动生成专业初选表!$A:$K,12,FALSE))</f>
        <v/>
      </c>
      <c r="H89" s="17" t="str">
        <f>IF(ISERROR(VLOOKUP($A89,自动生成专业初选表!$A:$K,13,FALSE)),"",VLOOKUP($A89,自动生成专业初选表!$A:$K,13,FALSE))</f>
        <v/>
      </c>
      <c r="I89" s="23" t="s">
        <v>1074</v>
      </c>
    </row>
    <row r="90" spans="1:9">
      <c r="A90" s="15">
        <v>86</v>
      </c>
      <c r="B90" s="18"/>
      <c r="C90" s="17" t="str">
        <f>IF(ISERROR(VLOOKUP($A90,自动生成专业初选表!$A:$K,4,FALSE)),"",VLOOKUP($A90,自动生成专业初选表!$A:$K,4,FALSE))</f>
        <v/>
      </c>
      <c r="D90" s="17" t="str">
        <f>IF(ISERROR(VLOOKUP($A90,自动生成专业初选表!$A:$K,5,FALSE)),"",VLOOKUP($A90,自动生成专业初选表!$A:$K,5,FALSE))</f>
        <v/>
      </c>
      <c r="E90" s="17" t="str">
        <f>IF(ISERROR(VLOOKUP($A90,自动生成专业初选表!$A:$K,11,FALSE)),"",VLOOKUP($A90,自动生成专业初选表!$A:$K,11,FALSE))</f>
        <v/>
      </c>
      <c r="F90" s="17" t="s">
        <v>1075</v>
      </c>
      <c r="G90" s="17" t="str">
        <f>IF(ISERROR(VLOOKUP($A90,自动生成专业初选表!$A:$K,12,FALSE)),"",VLOOKUP($A90,自动生成专业初选表!$A:$K,12,FALSE))</f>
        <v/>
      </c>
      <c r="H90" s="17" t="str">
        <f>IF(ISERROR(VLOOKUP($A90,自动生成专业初选表!$A:$K,13,FALSE)),"",VLOOKUP($A90,自动生成专业初选表!$A:$K,13,FALSE))</f>
        <v/>
      </c>
      <c r="I90" s="24"/>
    </row>
    <row r="91" spans="1:9">
      <c r="A91" s="15">
        <v>87</v>
      </c>
      <c r="B91" s="18"/>
      <c r="C91" s="17" t="str">
        <f>IF(ISERROR(VLOOKUP($A91,自动生成专业初选表!$A:$K,4,FALSE)),"",VLOOKUP($A91,自动生成专业初选表!$A:$K,4,FALSE))</f>
        <v/>
      </c>
      <c r="D91" s="17" t="str">
        <f>IF(ISERROR(VLOOKUP($A91,自动生成专业初选表!$A:$K,5,FALSE)),"",VLOOKUP($A91,自动生成专业初选表!$A:$K,5,FALSE))</f>
        <v/>
      </c>
      <c r="E91" s="17" t="str">
        <f>IF(ISERROR(VLOOKUP($A91,自动生成专业初选表!$A:$K,11,FALSE)),"",VLOOKUP($A91,自动生成专业初选表!$A:$K,11,FALSE))</f>
        <v/>
      </c>
      <c r="F91" s="17" t="s">
        <v>1076</v>
      </c>
      <c r="G91" s="17" t="str">
        <f>IF(ISERROR(VLOOKUP($A91,自动生成专业初选表!$A:$K,12,FALSE)),"",VLOOKUP($A91,自动生成专业初选表!$A:$K,12,FALSE))</f>
        <v/>
      </c>
      <c r="H91" s="17" t="str">
        <f>IF(ISERROR(VLOOKUP($A91,自动生成专业初选表!$A:$K,13,FALSE)),"",VLOOKUP($A91,自动生成专业初选表!$A:$K,13,FALSE))</f>
        <v/>
      </c>
      <c r="I91" s="24"/>
    </row>
    <row r="92" spans="1:9">
      <c r="A92" s="15">
        <v>88</v>
      </c>
      <c r="B92" s="18"/>
      <c r="C92" s="17" t="str">
        <f>IF(ISERROR(VLOOKUP($A92,自动生成专业初选表!$A:$K,4,FALSE)),"",VLOOKUP($A92,自动生成专业初选表!$A:$K,4,FALSE))</f>
        <v/>
      </c>
      <c r="D92" s="17" t="str">
        <f>IF(ISERROR(VLOOKUP($A92,自动生成专业初选表!$A:$K,5,FALSE)),"",VLOOKUP($A92,自动生成专业初选表!$A:$K,5,FALSE))</f>
        <v/>
      </c>
      <c r="E92" s="17" t="str">
        <f>IF(ISERROR(VLOOKUP($A92,自动生成专业初选表!$A:$K,11,FALSE)),"",VLOOKUP($A92,自动生成专业初选表!$A:$K,11,FALSE))</f>
        <v/>
      </c>
      <c r="F92" s="17" t="s">
        <v>1077</v>
      </c>
      <c r="G92" s="17" t="str">
        <f>IF(ISERROR(VLOOKUP($A92,自动生成专业初选表!$A:$K,12,FALSE)),"",VLOOKUP($A92,自动生成专业初选表!$A:$K,12,FALSE))</f>
        <v/>
      </c>
      <c r="H92" s="17" t="str">
        <f>IF(ISERROR(VLOOKUP($A92,自动生成专业初选表!$A:$K,13,FALSE)),"",VLOOKUP($A92,自动生成专业初选表!$A:$K,13,FALSE))</f>
        <v/>
      </c>
      <c r="I92" s="24"/>
    </row>
    <row r="93" spans="1:9">
      <c r="A93" s="15">
        <v>89</v>
      </c>
      <c r="B93" s="18"/>
      <c r="C93" s="17" t="str">
        <f>IF(ISERROR(VLOOKUP($A93,自动生成专业初选表!$A:$K,4,FALSE)),"",VLOOKUP($A93,自动生成专业初选表!$A:$K,4,FALSE))</f>
        <v/>
      </c>
      <c r="D93" s="17" t="str">
        <f>IF(ISERROR(VLOOKUP($A93,自动生成专业初选表!$A:$K,5,FALSE)),"",VLOOKUP($A93,自动生成专业初选表!$A:$K,5,FALSE))</f>
        <v/>
      </c>
      <c r="E93" s="17" t="str">
        <f>IF(ISERROR(VLOOKUP($A93,自动生成专业初选表!$A:$K,11,FALSE)),"",VLOOKUP($A93,自动生成专业初选表!$A:$K,11,FALSE))</f>
        <v/>
      </c>
      <c r="F93" s="17" t="s">
        <v>1078</v>
      </c>
      <c r="G93" s="17" t="str">
        <f>IF(ISERROR(VLOOKUP($A93,自动生成专业初选表!$A:$K,12,FALSE)),"",VLOOKUP($A93,自动生成专业初选表!$A:$K,12,FALSE))</f>
        <v/>
      </c>
      <c r="H93" s="17" t="str">
        <f>IF(ISERROR(VLOOKUP($A93,自动生成专业初选表!$A:$K,13,FALSE)),"",VLOOKUP($A93,自动生成专业初选表!$A:$K,13,FALSE))</f>
        <v/>
      </c>
      <c r="I93" s="24"/>
    </row>
    <row r="94" spans="1:9">
      <c r="A94" s="15">
        <v>90</v>
      </c>
      <c r="B94" s="19"/>
      <c r="C94" s="17" t="str">
        <f>IF(ISERROR(VLOOKUP($A94,自动生成专业初选表!$A:$K,4,FALSE)),"",VLOOKUP($A94,自动生成专业初选表!$A:$K,4,FALSE))</f>
        <v/>
      </c>
      <c r="D94" s="17" t="str">
        <f>IF(ISERROR(VLOOKUP($A94,自动生成专业初选表!$A:$K,5,FALSE)),"",VLOOKUP($A94,自动生成专业初选表!$A:$K,5,FALSE))</f>
        <v/>
      </c>
      <c r="E94" s="17" t="str">
        <f>IF(ISERROR(VLOOKUP($A94,自动生成专业初选表!$A:$K,11,FALSE)),"",VLOOKUP($A94,自动生成专业初选表!$A:$K,11,FALSE))</f>
        <v/>
      </c>
      <c r="F94" s="17" t="s">
        <v>1079</v>
      </c>
      <c r="G94" s="17" t="str">
        <f>IF(ISERROR(VLOOKUP($A94,自动生成专业初选表!$A:$K,12,FALSE)),"",VLOOKUP($A94,自动生成专业初选表!$A:$K,12,FALSE))</f>
        <v/>
      </c>
      <c r="H94" s="17" t="str">
        <f>IF(ISERROR(VLOOKUP($A94,自动生成专业初选表!$A:$K,13,FALSE)),"",VLOOKUP($A94,自动生成专业初选表!$A:$K,13,FALSE))</f>
        <v/>
      </c>
      <c r="I94" s="24"/>
    </row>
    <row r="95" spans="1:9">
      <c r="A95" s="13">
        <v>91</v>
      </c>
      <c r="B95" s="20" t="s">
        <v>1059</v>
      </c>
      <c r="C95" s="14" t="str">
        <f>IF(ISERROR(VLOOKUP($A95,自动生成专业初选表!$A:$K,4,FALSE)),"",VLOOKUP($A95,自动生成专业初选表!$A:$K,4,FALSE))</f>
        <v/>
      </c>
      <c r="D95" s="14" t="str">
        <f>IF(ISERROR(VLOOKUP($A95,自动生成专业初选表!$A:$K,5,FALSE)),"",VLOOKUP($A95,自动生成专业初选表!$A:$K,5,FALSE))</f>
        <v/>
      </c>
      <c r="E95" s="14" t="str">
        <f>IF(ISERROR(VLOOKUP($A95,自动生成专业初选表!$A:$K,11,FALSE)),"",VLOOKUP($A95,自动生成专业初选表!$A:$K,11,FALSE))</f>
        <v/>
      </c>
      <c r="F95" s="14" t="s">
        <v>1073</v>
      </c>
      <c r="G95" s="14" t="str">
        <f>IF(ISERROR(VLOOKUP($A95,自动生成专业初选表!$A:$K,12,FALSE)),"",VLOOKUP($A95,自动生成专业初选表!$A:$K,12,FALSE))</f>
        <v/>
      </c>
      <c r="H95" s="14" t="str">
        <f>IF(ISERROR(VLOOKUP($A95,自动生成专业初选表!$A:$K,13,FALSE)),"",VLOOKUP($A95,自动生成专业初选表!$A:$K,13,FALSE))</f>
        <v/>
      </c>
      <c r="I95" s="25" t="s">
        <v>1074</v>
      </c>
    </row>
    <row r="96" spans="1:9">
      <c r="A96" s="13">
        <v>92</v>
      </c>
      <c r="B96" s="21"/>
      <c r="C96" s="14" t="str">
        <f>IF(ISERROR(VLOOKUP($A96,自动生成专业初选表!$A:$K,4,FALSE)),"",VLOOKUP($A96,自动生成专业初选表!$A:$K,4,FALSE))</f>
        <v/>
      </c>
      <c r="D96" s="14" t="str">
        <f>IF(ISERROR(VLOOKUP($A96,自动生成专业初选表!$A:$K,5,FALSE)),"",VLOOKUP($A96,自动生成专业初选表!$A:$K,5,FALSE))</f>
        <v/>
      </c>
      <c r="E96" s="14" t="str">
        <f>IF(ISERROR(VLOOKUP($A96,自动生成专业初选表!$A:$K,11,FALSE)),"",VLOOKUP($A96,自动生成专业初选表!$A:$K,11,FALSE))</f>
        <v/>
      </c>
      <c r="F96" s="14" t="s">
        <v>1075</v>
      </c>
      <c r="G96" s="14" t="str">
        <f>IF(ISERROR(VLOOKUP($A96,自动生成专业初选表!$A:$K,12,FALSE)),"",VLOOKUP($A96,自动生成专业初选表!$A:$K,12,FALSE))</f>
        <v/>
      </c>
      <c r="H96" s="14" t="str">
        <f>IF(ISERROR(VLOOKUP($A96,自动生成专业初选表!$A:$K,13,FALSE)),"",VLOOKUP($A96,自动生成专业初选表!$A:$K,13,FALSE))</f>
        <v/>
      </c>
      <c r="I96" s="26"/>
    </row>
    <row r="97" spans="1:9">
      <c r="A97" s="13">
        <v>93</v>
      </c>
      <c r="B97" s="21"/>
      <c r="C97" s="14" t="str">
        <f>IF(ISERROR(VLOOKUP($A97,自动生成专业初选表!$A:$K,4,FALSE)),"",VLOOKUP($A97,自动生成专业初选表!$A:$K,4,FALSE))</f>
        <v/>
      </c>
      <c r="D97" s="14" t="str">
        <f>IF(ISERROR(VLOOKUP($A97,自动生成专业初选表!$A:$K,5,FALSE)),"",VLOOKUP($A97,自动生成专业初选表!$A:$K,5,FALSE))</f>
        <v/>
      </c>
      <c r="E97" s="14" t="str">
        <f>IF(ISERROR(VLOOKUP($A97,自动生成专业初选表!$A:$K,11,FALSE)),"",VLOOKUP($A97,自动生成专业初选表!$A:$K,11,FALSE))</f>
        <v/>
      </c>
      <c r="F97" s="14" t="s">
        <v>1076</v>
      </c>
      <c r="G97" s="14" t="str">
        <f>IF(ISERROR(VLOOKUP($A97,自动生成专业初选表!$A:$K,12,FALSE)),"",VLOOKUP($A97,自动生成专业初选表!$A:$K,12,FALSE))</f>
        <v/>
      </c>
      <c r="H97" s="14" t="str">
        <f>IF(ISERROR(VLOOKUP($A97,自动生成专业初选表!$A:$K,13,FALSE)),"",VLOOKUP($A97,自动生成专业初选表!$A:$K,13,FALSE))</f>
        <v/>
      </c>
      <c r="I97" s="26"/>
    </row>
    <row r="98" spans="1:9">
      <c r="A98" s="13">
        <v>94</v>
      </c>
      <c r="B98" s="21"/>
      <c r="C98" s="14" t="str">
        <f>IF(ISERROR(VLOOKUP($A98,自动生成专业初选表!$A:$K,4,FALSE)),"",VLOOKUP($A98,自动生成专业初选表!$A:$K,4,FALSE))</f>
        <v/>
      </c>
      <c r="D98" s="14" t="str">
        <f>IF(ISERROR(VLOOKUP($A98,自动生成专业初选表!$A:$K,5,FALSE)),"",VLOOKUP($A98,自动生成专业初选表!$A:$K,5,FALSE))</f>
        <v/>
      </c>
      <c r="E98" s="14" t="str">
        <f>IF(ISERROR(VLOOKUP($A98,自动生成专业初选表!$A:$K,11,FALSE)),"",VLOOKUP($A98,自动生成专业初选表!$A:$K,11,FALSE))</f>
        <v/>
      </c>
      <c r="F98" s="14" t="s">
        <v>1077</v>
      </c>
      <c r="G98" s="14" t="str">
        <f>IF(ISERROR(VLOOKUP($A98,自动生成专业初选表!$A:$K,12,FALSE)),"",VLOOKUP($A98,自动生成专业初选表!$A:$K,12,FALSE))</f>
        <v/>
      </c>
      <c r="H98" s="14" t="str">
        <f>IF(ISERROR(VLOOKUP($A98,自动生成专业初选表!$A:$K,13,FALSE)),"",VLOOKUP($A98,自动生成专业初选表!$A:$K,13,FALSE))</f>
        <v/>
      </c>
      <c r="I98" s="26"/>
    </row>
    <row r="99" spans="1:9">
      <c r="A99" s="13">
        <v>95</v>
      </c>
      <c r="B99" s="21"/>
      <c r="C99" s="14" t="str">
        <f>IF(ISERROR(VLOOKUP($A99,自动生成专业初选表!$A:$K,4,FALSE)),"",VLOOKUP($A99,自动生成专业初选表!$A:$K,4,FALSE))</f>
        <v/>
      </c>
      <c r="D99" s="14" t="str">
        <f>IF(ISERROR(VLOOKUP($A99,自动生成专业初选表!$A:$K,5,FALSE)),"",VLOOKUP($A99,自动生成专业初选表!$A:$K,5,FALSE))</f>
        <v/>
      </c>
      <c r="E99" s="14" t="str">
        <f>IF(ISERROR(VLOOKUP($A99,自动生成专业初选表!$A:$K,11,FALSE)),"",VLOOKUP($A99,自动生成专业初选表!$A:$K,11,FALSE))</f>
        <v/>
      </c>
      <c r="F99" s="14" t="s">
        <v>1078</v>
      </c>
      <c r="G99" s="14" t="str">
        <f>IF(ISERROR(VLOOKUP($A99,自动生成专业初选表!$A:$K,12,FALSE)),"",VLOOKUP($A99,自动生成专业初选表!$A:$K,12,FALSE))</f>
        <v/>
      </c>
      <c r="H99" s="14" t="str">
        <f>IF(ISERROR(VLOOKUP($A99,自动生成专业初选表!$A:$K,13,FALSE)),"",VLOOKUP($A99,自动生成专业初选表!$A:$K,13,FALSE))</f>
        <v/>
      </c>
      <c r="I99" s="26"/>
    </row>
    <row r="100" spans="1:9">
      <c r="A100" s="13">
        <v>96</v>
      </c>
      <c r="B100" s="22"/>
      <c r="C100" s="14" t="str">
        <f>IF(ISERROR(VLOOKUP($A100,自动生成专业初选表!$A:$K,4,FALSE)),"",VLOOKUP($A100,自动生成专业初选表!$A:$K,4,FALSE))</f>
        <v/>
      </c>
      <c r="D100" s="14" t="str">
        <f>IF(ISERROR(VLOOKUP($A100,自动生成专业初选表!$A:$K,5,FALSE)),"",VLOOKUP($A100,自动生成专业初选表!$A:$K,5,FALSE))</f>
        <v/>
      </c>
      <c r="E100" s="14" t="str">
        <f>IF(ISERROR(VLOOKUP($A100,自动生成专业初选表!$A:$K,11,FALSE)),"",VLOOKUP($A100,自动生成专业初选表!$A:$K,11,FALSE))</f>
        <v/>
      </c>
      <c r="F100" s="14" t="s">
        <v>1079</v>
      </c>
      <c r="G100" s="14" t="str">
        <f>IF(ISERROR(VLOOKUP($A100,自动生成专业初选表!$A:$K,12,FALSE)),"",VLOOKUP($A100,自动生成专业初选表!$A:$K,12,FALSE))</f>
        <v/>
      </c>
      <c r="H100" s="14" t="str">
        <f>IF(ISERROR(VLOOKUP($A100,自动生成专业初选表!$A:$K,13,FALSE)),"",VLOOKUP($A100,自动生成专业初选表!$A:$K,13,FALSE))</f>
        <v/>
      </c>
      <c r="I100" s="26"/>
    </row>
    <row r="101" spans="1:9">
      <c r="A101" s="15">
        <v>97</v>
      </c>
      <c r="B101" s="16" t="s">
        <v>1060</v>
      </c>
      <c r="C101" s="17" t="str">
        <f>IF(ISERROR(VLOOKUP($A101,自动生成专业初选表!$A:$K,4,FALSE)),"",VLOOKUP($A101,自动生成专业初选表!$A:$K,4,FALSE))</f>
        <v/>
      </c>
      <c r="D101" s="17" t="str">
        <f>IF(ISERROR(VLOOKUP($A101,自动生成专业初选表!$A:$K,5,FALSE)),"",VLOOKUP($A101,自动生成专业初选表!$A:$K,5,FALSE))</f>
        <v/>
      </c>
      <c r="E101" s="17" t="str">
        <f>IF(ISERROR(VLOOKUP($A101,自动生成专业初选表!$A:$K,11,FALSE)),"",VLOOKUP($A101,自动生成专业初选表!$A:$K,11,FALSE))</f>
        <v/>
      </c>
      <c r="F101" s="17" t="s">
        <v>1073</v>
      </c>
      <c r="G101" s="17" t="str">
        <f>IF(ISERROR(VLOOKUP($A101,自动生成专业初选表!$A:$K,12,FALSE)),"",VLOOKUP($A101,自动生成专业初选表!$A:$K,12,FALSE))</f>
        <v/>
      </c>
      <c r="H101" s="17" t="str">
        <f>IF(ISERROR(VLOOKUP($A101,自动生成专业初选表!$A:$K,13,FALSE)),"",VLOOKUP($A101,自动生成专业初选表!$A:$K,13,FALSE))</f>
        <v/>
      </c>
      <c r="I101" s="23" t="s">
        <v>1074</v>
      </c>
    </row>
    <row r="102" spans="1:9">
      <c r="A102" s="15">
        <v>98</v>
      </c>
      <c r="B102" s="18"/>
      <c r="C102" s="17" t="str">
        <f>IF(ISERROR(VLOOKUP($A102,自动生成专业初选表!$A:$K,4,FALSE)),"",VLOOKUP($A102,自动生成专业初选表!$A:$K,4,FALSE))</f>
        <v/>
      </c>
      <c r="D102" s="17" t="str">
        <f>IF(ISERROR(VLOOKUP($A102,自动生成专业初选表!$A:$K,5,FALSE)),"",VLOOKUP($A102,自动生成专业初选表!$A:$K,5,FALSE))</f>
        <v/>
      </c>
      <c r="E102" s="17" t="str">
        <f>IF(ISERROR(VLOOKUP($A102,自动生成专业初选表!$A:$K,11,FALSE)),"",VLOOKUP($A102,自动生成专业初选表!$A:$K,11,FALSE))</f>
        <v/>
      </c>
      <c r="F102" s="17" t="s">
        <v>1075</v>
      </c>
      <c r="G102" s="17" t="str">
        <f>IF(ISERROR(VLOOKUP($A102,自动生成专业初选表!$A:$K,12,FALSE)),"",VLOOKUP($A102,自动生成专业初选表!$A:$K,12,FALSE))</f>
        <v/>
      </c>
      <c r="H102" s="17" t="str">
        <f>IF(ISERROR(VLOOKUP($A102,自动生成专业初选表!$A:$K,13,FALSE)),"",VLOOKUP($A102,自动生成专业初选表!$A:$K,13,FALSE))</f>
        <v/>
      </c>
      <c r="I102" s="24"/>
    </row>
    <row r="103" spans="1:9">
      <c r="A103" s="15">
        <v>99</v>
      </c>
      <c r="B103" s="18"/>
      <c r="C103" s="17" t="str">
        <f>IF(ISERROR(VLOOKUP($A103,自动生成专业初选表!$A:$K,4,FALSE)),"",VLOOKUP($A103,自动生成专业初选表!$A:$K,4,FALSE))</f>
        <v/>
      </c>
      <c r="D103" s="17" t="str">
        <f>IF(ISERROR(VLOOKUP($A103,自动生成专业初选表!$A:$K,5,FALSE)),"",VLOOKUP($A103,自动生成专业初选表!$A:$K,5,FALSE))</f>
        <v/>
      </c>
      <c r="E103" s="17" t="str">
        <f>IF(ISERROR(VLOOKUP($A103,自动生成专业初选表!$A:$K,11,FALSE)),"",VLOOKUP($A103,自动生成专业初选表!$A:$K,11,FALSE))</f>
        <v/>
      </c>
      <c r="F103" s="17" t="s">
        <v>1076</v>
      </c>
      <c r="G103" s="17" t="str">
        <f>IF(ISERROR(VLOOKUP($A103,自动生成专业初选表!$A:$K,12,FALSE)),"",VLOOKUP($A103,自动生成专业初选表!$A:$K,12,FALSE))</f>
        <v/>
      </c>
      <c r="H103" s="17" t="str">
        <f>IF(ISERROR(VLOOKUP($A103,自动生成专业初选表!$A:$K,13,FALSE)),"",VLOOKUP($A103,自动生成专业初选表!$A:$K,13,FALSE))</f>
        <v/>
      </c>
      <c r="I103" s="24"/>
    </row>
    <row r="104" spans="1:9">
      <c r="A104" s="15">
        <v>100</v>
      </c>
      <c r="B104" s="18"/>
      <c r="C104" s="17" t="str">
        <f>IF(ISERROR(VLOOKUP($A104,自动生成专业初选表!$A:$K,4,FALSE)),"",VLOOKUP($A104,自动生成专业初选表!$A:$K,4,FALSE))</f>
        <v/>
      </c>
      <c r="D104" s="17" t="str">
        <f>IF(ISERROR(VLOOKUP($A104,自动生成专业初选表!$A:$K,5,FALSE)),"",VLOOKUP($A104,自动生成专业初选表!$A:$K,5,FALSE))</f>
        <v/>
      </c>
      <c r="E104" s="17" t="str">
        <f>IF(ISERROR(VLOOKUP($A104,自动生成专业初选表!$A:$K,11,FALSE)),"",VLOOKUP($A104,自动生成专业初选表!$A:$K,11,FALSE))</f>
        <v/>
      </c>
      <c r="F104" s="17" t="s">
        <v>1077</v>
      </c>
      <c r="G104" s="17" t="str">
        <f>IF(ISERROR(VLOOKUP($A104,自动生成专业初选表!$A:$K,12,FALSE)),"",VLOOKUP($A104,自动生成专业初选表!$A:$K,12,FALSE))</f>
        <v/>
      </c>
      <c r="H104" s="17" t="str">
        <f>IF(ISERROR(VLOOKUP($A104,自动生成专业初选表!$A:$K,13,FALSE)),"",VLOOKUP($A104,自动生成专业初选表!$A:$K,13,FALSE))</f>
        <v/>
      </c>
      <c r="I104" s="24"/>
    </row>
    <row r="105" spans="1:9">
      <c r="A105" s="15">
        <v>101</v>
      </c>
      <c r="B105" s="18"/>
      <c r="C105" s="17" t="str">
        <f>IF(ISERROR(VLOOKUP($A105,自动生成专业初选表!$A:$K,4,FALSE)),"",VLOOKUP($A105,自动生成专业初选表!$A:$K,4,FALSE))</f>
        <v/>
      </c>
      <c r="D105" s="17" t="str">
        <f>IF(ISERROR(VLOOKUP($A105,自动生成专业初选表!$A:$K,5,FALSE)),"",VLOOKUP($A105,自动生成专业初选表!$A:$K,5,FALSE))</f>
        <v/>
      </c>
      <c r="E105" s="17" t="str">
        <f>IF(ISERROR(VLOOKUP($A105,自动生成专业初选表!$A:$K,11,FALSE)),"",VLOOKUP($A105,自动生成专业初选表!$A:$K,11,FALSE))</f>
        <v/>
      </c>
      <c r="F105" s="17" t="s">
        <v>1078</v>
      </c>
      <c r="G105" s="17" t="str">
        <f>IF(ISERROR(VLOOKUP($A105,自动生成专业初选表!$A:$K,12,FALSE)),"",VLOOKUP($A105,自动生成专业初选表!$A:$K,12,FALSE))</f>
        <v/>
      </c>
      <c r="H105" s="17" t="str">
        <f>IF(ISERROR(VLOOKUP($A105,自动生成专业初选表!$A:$K,13,FALSE)),"",VLOOKUP($A105,自动生成专业初选表!$A:$K,13,FALSE))</f>
        <v/>
      </c>
      <c r="I105" s="24"/>
    </row>
    <row r="106" spans="1:9">
      <c r="A106" s="15">
        <v>102</v>
      </c>
      <c r="B106" s="19"/>
      <c r="C106" s="17" t="str">
        <f>IF(ISERROR(VLOOKUP($A106,自动生成专业初选表!$A:$K,4,FALSE)),"",VLOOKUP($A106,自动生成专业初选表!$A:$K,4,FALSE))</f>
        <v/>
      </c>
      <c r="D106" s="17" t="str">
        <f>IF(ISERROR(VLOOKUP($A106,自动生成专业初选表!$A:$K,5,FALSE)),"",VLOOKUP($A106,自动生成专业初选表!$A:$K,5,FALSE))</f>
        <v/>
      </c>
      <c r="E106" s="17" t="str">
        <f>IF(ISERROR(VLOOKUP($A106,自动生成专业初选表!$A:$K,11,FALSE)),"",VLOOKUP($A106,自动生成专业初选表!$A:$K,11,FALSE))</f>
        <v/>
      </c>
      <c r="F106" s="17" t="s">
        <v>1079</v>
      </c>
      <c r="G106" s="17" t="str">
        <f>IF(ISERROR(VLOOKUP($A106,自动生成专业初选表!$A:$K,12,FALSE)),"",VLOOKUP($A106,自动生成专业初选表!$A:$K,12,FALSE))</f>
        <v/>
      </c>
      <c r="H106" s="17" t="str">
        <f>IF(ISERROR(VLOOKUP($A106,自动生成专业初选表!$A:$K,13,FALSE)),"",VLOOKUP($A106,自动生成专业初选表!$A:$K,13,FALSE))</f>
        <v/>
      </c>
      <c r="I106" s="24"/>
    </row>
    <row r="107" spans="1:9">
      <c r="A107" s="13">
        <v>103</v>
      </c>
      <c r="B107" s="20" t="s">
        <v>1061</v>
      </c>
      <c r="C107" s="14" t="str">
        <f>IF(ISERROR(VLOOKUP($A107,自动生成专业初选表!$A:$K,4,FALSE)),"",VLOOKUP($A107,自动生成专业初选表!$A:$K,4,FALSE))</f>
        <v/>
      </c>
      <c r="D107" s="14" t="str">
        <f>IF(ISERROR(VLOOKUP($A107,自动生成专业初选表!$A:$K,5,FALSE)),"",VLOOKUP($A107,自动生成专业初选表!$A:$K,5,FALSE))</f>
        <v/>
      </c>
      <c r="E107" s="14" t="str">
        <f>IF(ISERROR(VLOOKUP($A107,自动生成专业初选表!$A:$K,11,FALSE)),"",VLOOKUP($A107,自动生成专业初选表!$A:$K,11,FALSE))</f>
        <v/>
      </c>
      <c r="F107" s="14" t="s">
        <v>1073</v>
      </c>
      <c r="G107" s="14" t="str">
        <f>IF(ISERROR(VLOOKUP($A107,自动生成专业初选表!$A:$K,12,FALSE)),"",VLOOKUP($A107,自动生成专业初选表!$A:$K,12,FALSE))</f>
        <v/>
      </c>
      <c r="H107" s="14" t="str">
        <f>IF(ISERROR(VLOOKUP($A107,自动生成专业初选表!$A:$K,13,FALSE)),"",VLOOKUP($A107,自动生成专业初选表!$A:$K,13,FALSE))</f>
        <v/>
      </c>
      <c r="I107" s="25" t="s">
        <v>1074</v>
      </c>
    </row>
    <row r="108" spans="1:9">
      <c r="A108" s="13">
        <v>104</v>
      </c>
      <c r="B108" s="21"/>
      <c r="C108" s="14" t="str">
        <f>IF(ISERROR(VLOOKUP($A108,自动生成专业初选表!$A:$K,4,FALSE)),"",VLOOKUP($A108,自动生成专业初选表!$A:$K,4,FALSE))</f>
        <v/>
      </c>
      <c r="D108" s="14" t="str">
        <f>IF(ISERROR(VLOOKUP($A108,自动生成专业初选表!$A:$K,5,FALSE)),"",VLOOKUP($A108,自动生成专业初选表!$A:$K,5,FALSE))</f>
        <v/>
      </c>
      <c r="E108" s="14" t="str">
        <f>IF(ISERROR(VLOOKUP($A108,自动生成专业初选表!$A:$K,11,FALSE)),"",VLOOKUP($A108,自动生成专业初选表!$A:$K,11,FALSE))</f>
        <v/>
      </c>
      <c r="F108" s="14" t="s">
        <v>1075</v>
      </c>
      <c r="G108" s="14" t="str">
        <f>IF(ISERROR(VLOOKUP($A108,自动生成专业初选表!$A:$K,12,FALSE)),"",VLOOKUP($A108,自动生成专业初选表!$A:$K,12,FALSE))</f>
        <v/>
      </c>
      <c r="H108" s="14" t="str">
        <f>IF(ISERROR(VLOOKUP($A108,自动生成专业初选表!$A:$K,13,FALSE)),"",VLOOKUP($A108,自动生成专业初选表!$A:$K,13,FALSE))</f>
        <v/>
      </c>
      <c r="I108" s="26"/>
    </row>
    <row r="109" spans="1:9">
      <c r="A109" s="13">
        <v>105</v>
      </c>
      <c r="B109" s="21"/>
      <c r="C109" s="14" t="str">
        <f>IF(ISERROR(VLOOKUP($A109,自动生成专业初选表!$A:$K,4,FALSE)),"",VLOOKUP($A109,自动生成专业初选表!$A:$K,4,FALSE))</f>
        <v/>
      </c>
      <c r="D109" s="14" t="str">
        <f>IF(ISERROR(VLOOKUP($A109,自动生成专业初选表!$A:$K,5,FALSE)),"",VLOOKUP($A109,自动生成专业初选表!$A:$K,5,FALSE))</f>
        <v/>
      </c>
      <c r="E109" s="14" t="str">
        <f>IF(ISERROR(VLOOKUP($A109,自动生成专业初选表!$A:$K,11,FALSE)),"",VLOOKUP($A109,自动生成专业初选表!$A:$K,11,FALSE))</f>
        <v/>
      </c>
      <c r="F109" s="14" t="s">
        <v>1076</v>
      </c>
      <c r="G109" s="14" t="str">
        <f>IF(ISERROR(VLOOKUP($A109,自动生成专业初选表!$A:$K,12,FALSE)),"",VLOOKUP($A109,自动生成专业初选表!$A:$K,12,FALSE))</f>
        <v/>
      </c>
      <c r="H109" s="14" t="str">
        <f>IF(ISERROR(VLOOKUP($A109,自动生成专业初选表!$A:$K,13,FALSE)),"",VLOOKUP($A109,自动生成专业初选表!$A:$K,13,FALSE))</f>
        <v/>
      </c>
      <c r="I109" s="26"/>
    </row>
    <row r="110" spans="1:9">
      <c r="A110" s="13">
        <v>106</v>
      </c>
      <c r="B110" s="21"/>
      <c r="C110" s="14" t="str">
        <f>IF(ISERROR(VLOOKUP($A110,自动生成专业初选表!$A:$K,4,FALSE)),"",VLOOKUP($A110,自动生成专业初选表!$A:$K,4,FALSE))</f>
        <v/>
      </c>
      <c r="D110" s="14" t="str">
        <f>IF(ISERROR(VLOOKUP($A110,自动生成专业初选表!$A:$K,5,FALSE)),"",VLOOKUP($A110,自动生成专业初选表!$A:$K,5,FALSE))</f>
        <v/>
      </c>
      <c r="E110" s="14" t="str">
        <f>IF(ISERROR(VLOOKUP($A110,自动生成专业初选表!$A:$K,11,FALSE)),"",VLOOKUP($A110,自动生成专业初选表!$A:$K,11,FALSE))</f>
        <v/>
      </c>
      <c r="F110" s="14" t="s">
        <v>1077</v>
      </c>
      <c r="G110" s="14" t="str">
        <f>IF(ISERROR(VLOOKUP($A110,自动生成专业初选表!$A:$K,12,FALSE)),"",VLOOKUP($A110,自动生成专业初选表!$A:$K,12,FALSE))</f>
        <v/>
      </c>
      <c r="H110" s="14" t="str">
        <f>IF(ISERROR(VLOOKUP($A110,自动生成专业初选表!$A:$K,13,FALSE)),"",VLOOKUP($A110,自动生成专业初选表!$A:$K,13,FALSE))</f>
        <v/>
      </c>
      <c r="I110" s="26"/>
    </row>
    <row r="111" spans="1:9">
      <c r="A111" s="13">
        <v>107</v>
      </c>
      <c r="B111" s="21"/>
      <c r="C111" s="14" t="str">
        <f>IF(ISERROR(VLOOKUP($A111,自动生成专业初选表!$A:$K,4,FALSE)),"",VLOOKUP($A111,自动生成专业初选表!$A:$K,4,FALSE))</f>
        <v/>
      </c>
      <c r="D111" s="14" t="str">
        <f>IF(ISERROR(VLOOKUP($A111,自动生成专业初选表!$A:$K,5,FALSE)),"",VLOOKUP($A111,自动生成专业初选表!$A:$K,5,FALSE))</f>
        <v/>
      </c>
      <c r="E111" s="14" t="str">
        <f>IF(ISERROR(VLOOKUP($A111,自动生成专业初选表!$A:$K,11,FALSE)),"",VLOOKUP($A111,自动生成专业初选表!$A:$K,11,FALSE))</f>
        <v/>
      </c>
      <c r="F111" s="14" t="s">
        <v>1078</v>
      </c>
      <c r="G111" s="14" t="str">
        <f>IF(ISERROR(VLOOKUP($A111,自动生成专业初选表!$A:$K,12,FALSE)),"",VLOOKUP($A111,自动生成专业初选表!$A:$K,12,FALSE))</f>
        <v/>
      </c>
      <c r="H111" s="14" t="str">
        <f>IF(ISERROR(VLOOKUP($A111,自动生成专业初选表!$A:$K,13,FALSE)),"",VLOOKUP($A111,自动生成专业初选表!$A:$K,13,FALSE))</f>
        <v/>
      </c>
      <c r="I111" s="26"/>
    </row>
    <row r="112" spans="1:9">
      <c r="A112" s="13">
        <v>108</v>
      </c>
      <c r="B112" s="22"/>
      <c r="C112" s="14" t="str">
        <f>IF(ISERROR(VLOOKUP($A112,自动生成专业初选表!$A:$K,4,FALSE)),"",VLOOKUP($A112,自动生成专业初选表!$A:$K,4,FALSE))</f>
        <v/>
      </c>
      <c r="D112" s="14" t="str">
        <f>IF(ISERROR(VLOOKUP($A112,自动生成专业初选表!$A:$K,5,FALSE)),"",VLOOKUP($A112,自动生成专业初选表!$A:$K,5,FALSE))</f>
        <v/>
      </c>
      <c r="E112" s="14" t="str">
        <f>IF(ISERROR(VLOOKUP($A112,自动生成专业初选表!$A:$K,11,FALSE)),"",VLOOKUP($A112,自动生成专业初选表!$A:$K,11,FALSE))</f>
        <v/>
      </c>
      <c r="F112" s="14" t="s">
        <v>1079</v>
      </c>
      <c r="G112" s="14" t="str">
        <f>IF(ISERROR(VLOOKUP($A112,自动生成专业初选表!$A:$K,12,FALSE)),"",VLOOKUP($A112,自动生成专业初选表!$A:$K,12,FALSE))</f>
        <v/>
      </c>
      <c r="H112" s="14" t="str">
        <f>IF(ISERROR(VLOOKUP($A112,自动生成专业初选表!$A:$K,13,FALSE)),"",VLOOKUP($A112,自动生成专业初选表!$A:$K,13,FALSE))</f>
        <v/>
      </c>
      <c r="I112" s="26"/>
    </row>
    <row r="113" spans="1:9">
      <c r="A113" s="15">
        <v>109</v>
      </c>
      <c r="B113" s="16" t="s">
        <v>1062</v>
      </c>
      <c r="C113" s="17" t="str">
        <f>IF(ISERROR(VLOOKUP($A113,自动生成专业初选表!$A:$K,4,FALSE)),"",VLOOKUP($A113,自动生成专业初选表!$A:$K,4,FALSE))</f>
        <v/>
      </c>
      <c r="D113" s="17" t="str">
        <f>IF(ISERROR(VLOOKUP($A113,自动生成专业初选表!$A:$K,5,FALSE)),"",VLOOKUP($A113,自动生成专业初选表!$A:$K,5,FALSE))</f>
        <v/>
      </c>
      <c r="E113" s="17" t="str">
        <f>IF(ISERROR(VLOOKUP($A113,自动生成专业初选表!$A:$K,11,FALSE)),"",VLOOKUP($A113,自动生成专业初选表!$A:$K,11,FALSE))</f>
        <v/>
      </c>
      <c r="F113" s="17" t="s">
        <v>1073</v>
      </c>
      <c r="G113" s="17" t="str">
        <f>IF(ISERROR(VLOOKUP($A113,自动生成专业初选表!$A:$K,12,FALSE)),"",VLOOKUP($A113,自动生成专业初选表!$A:$K,12,FALSE))</f>
        <v/>
      </c>
      <c r="H113" s="17" t="str">
        <f>IF(ISERROR(VLOOKUP($A113,自动生成专业初选表!$A:$K,13,FALSE)),"",VLOOKUP($A113,自动生成专业初选表!$A:$K,13,FALSE))</f>
        <v/>
      </c>
      <c r="I113" s="23" t="s">
        <v>1074</v>
      </c>
    </row>
    <row r="114" spans="1:9">
      <c r="A114" s="15">
        <v>110</v>
      </c>
      <c r="B114" s="18"/>
      <c r="C114" s="17" t="str">
        <f>IF(ISERROR(VLOOKUP($A114,自动生成专业初选表!$A:$K,4,FALSE)),"",VLOOKUP($A114,自动生成专业初选表!$A:$K,4,FALSE))</f>
        <v/>
      </c>
      <c r="D114" s="17" t="str">
        <f>IF(ISERROR(VLOOKUP($A114,自动生成专业初选表!$A:$K,5,FALSE)),"",VLOOKUP($A114,自动生成专业初选表!$A:$K,5,FALSE))</f>
        <v/>
      </c>
      <c r="E114" s="17" t="str">
        <f>IF(ISERROR(VLOOKUP($A114,自动生成专业初选表!$A:$K,11,FALSE)),"",VLOOKUP($A114,自动生成专业初选表!$A:$K,11,FALSE))</f>
        <v/>
      </c>
      <c r="F114" s="17" t="s">
        <v>1075</v>
      </c>
      <c r="G114" s="17" t="str">
        <f>IF(ISERROR(VLOOKUP($A114,自动生成专业初选表!$A:$K,12,FALSE)),"",VLOOKUP($A114,自动生成专业初选表!$A:$K,12,FALSE))</f>
        <v/>
      </c>
      <c r="H114" s="17" t="str">
        <f>IF(ISERROR(VLOOKUP($A114,自动生成专业初选表!$A:$K,13,FALSE)),"",VLOOKUP($A114,自动生成专业初选表!$A:$K,13,FALSE))</f>
        <v/>
      </c>
      <c r="I114" s="24"/>
    </row>
    <row r="115" spans="1:9">
      <c r="A115" s="15">
        <v>111</v>
      </c>
      <c r="B115" s="18"/>
      <c r="C115" s="17" t="str">
        <f>IF(ISERROR(VLOOKUP($A115,自动生成专业初选表!$A:$K,4,FALSE)),"",VLOOKUP($A115,自动生成专业初选表!$A:$K,4,FALSE))</f>
        <v/>
      </c>
      <c r="D115" s="17" t="str">
        <f>IF(ISERROR(VLOOKUP($A115,自动生成专业初选表!$A:$K,5,FALSE)),"",VLOOKUP($A115,自动生成专业初选表!$A:$K,5,FALSE))</f>
        <v/>
      </c>
      <c r="E115" s="17" t="str">
        <f>IF(ISERROR(VLOOKUP($A115,自动生成专业初选表!$A:$K,11,FALSE)),"",VLOOKUP($A115,自动生成专业初选表!$A:$K,11,FALSE))</f>
        <v/>
      </c>
      <c r="F115" s="17" t="s">
        <v>1076</v>
      </c>
      <c r="G115" s="17" t="str">
        <f>IF(ISERROR(VLOOKUP($A115,自动生成专业初选表!$A:$K,12,FALSE)),"",VLOOKUP($A115,自动生成专业初选表!$A:$K,12,FALSE))</f>
        <v/>
      </c>
      <c r="H115" s="17" t="str">
        <f>IF(ISERROR(VLOOKUP($A115,自动生成专业初选表!$A:$K,13,FALSE)),"",VLOOKUP($A115,自动生成专业初选表!$A:$K,13,FALSE))</f>
        <v/>
      </c>
      <c r="I115" s="24"/>
    </row>
    <row r="116" spans="1:9">
      <c r="A116" s="15">
        <v>112</v>
      </c>
      <c r="B116" s="18"/>
      <c r="C116" s="17" t="str">
        <f>IF(ISERROR(VLOOKUP($A116,自动生成专业初选表!$A:$K,4,FALSE)),"",VLOOKUP($A116,自动生成专业初选表!$A:$K,4,FALSE))</f>
        <v/>
      </c>
      <c r="D116" s="17" t="str">
        <f>IF(ISERROR(VLOOKUP($A116,自动生成专业初选表!$A:$K,5,FALSE)),"",VLOOKUP($A116,自动生成专业初选表!$A:$K,5,FALSE))</f>
        <v/>
      </c>
      <c r="E116" s="17" t="str">
        <f>IF(ISERROR(VLOOKUP($A116,自动生成专业初选表!$A:$K,11,FALSE)),"",VLOOKUP($A116,自动生成专业初选表!$A:$K,11,FALSE))</f>
        <v/>
      </c>
      <c r="F116" s="17" t="s">
        <v>1077</v>
      </c>
      <c r="G116" s="17" t="str">
        <f>IF(ISERROR(VLOOKUP($A116,自动生成专业初选表!$A:$K,12,FALSE)),"",VLOOKUP($A116,自动生成专业初选表!$A:$K,12,FALSE))</f>
        <v/>
      </c>
      <c r="H116" s="17" t="str">
        <f>IF(ISERROR(VLOOKUP($A116,自动生成专业初选表!$A:$K,13,FALSE)),"",VLOOKUP($A116,自动生成专业初选表!$A:$K,13,FALSE))</f>
        <v/>
      </c>
      <c r="I116" s="24"/>
    </row>
    <row r="117" spans="1:9">
      <c r="A117" s="15">
        <v>113</v>
      </c>
      <c r="B117" s="18"/>
      <c r="C117" s="17" t="str">
        <f>IF(ISERROR(VLOOKUP($A117,自动生成专业初选表!$A:$K,4,FALSE)),"",VLOOKUP($A117,自动生成专业初选表!$A:$K,4,FALSE))</f>
        <v/>
      </c>
      <c r="D117" s="17" t="str">
        <f>IF(ISERROR(VLOOKUP($A117,自动生成专业初选表!$A:$K,5,FALSE)),"",VLOOKUP($A117,自动生成专业初选表!$A:$K,5,FALSE))</f>
        <v/>
      </c>
      <c r="E117" s="17" t="str">
        <f>IF(ISERROR(VLOOKUP($A117,自动生成专业初选表!$A:$K,11,FALSE)),"",VLOOKUP($A117,自动生成专业初选表!$A:$K,11,FALSE))</f>
        <v/>
      </c>
      <c r="F117" s="17" t="s">
        <v>1078</v>
      </c>
      <c r="G117" s="17" t="str">
        <f>IF(ISERROR(VLOOKUP($A117,自动生成专业初选表!$A:$K,12,FALSE)),"",VLOOKUP($A117,自动生成专业初选表!$A:$K,12,FALSE))</f>
        <v/>
      </c>
      <c r="H117" s="17" t="str">
        <f>IF(ISERROR(VLOOKUP($A117,自动生成专业初选表!$A:$K,13,FALSE)),"",VLOOKUP($A117,自动生成专业初选表!$A:$K,13,FALSE))</f>
        <v/>
      </c>
      <c r="I117" s="24"/>
    </row>
    <row r="118" spans="1:9">
      <c r="A118" s="15">
        <v>114</v>
      </c>
      <c r="B118" s="19"/>
      <c r="C118" s="17" t="str">
        <f>IF(ISERROR(VLOOKUP($A118,自动生成专业初选表!$A:$K,4,FALSE)),"",VLOOKUP($A118,自动生成专业初选表!$A:$K,4,FALSE))</f>
        <v/>
      </c>
      <c r="D118" s="17" t="str">
        <f>IF(ISERROR(VLOOKUP($A118,自动生成专业初选表!$A:$K,5,FALSE)),"",VLOOKUP($A118,自动生成专业初选表!$A:$K,5,FALSE))</f>
        <v/>
      </c>
      <c r="E118" s="17" t="str">
        <f>IF(ISERROR(VLOOKUP($A118,自动生成专业初选表!$A:$K,11,FALSE)),"",VLOOKUP($A118,自动生成专业初选表!$A:$K,11,FALSE))</f>
        <v/>
      </c>
      <c r="F118" s="17" t="s">
        <v>1079</v>
      </c>
      <c r="G118" s="17" t="str">
        <f>IF(ISERROR(VLOOKUP($A118,自动生成专业初选表!$A:$K,12,FALSE)),"",VLOOKUP($A118,自动生成专业初选表!$A:$K,12,FALSE))</f>
        <v/>
      </c>
      <c r="H118" s="17" t="str">
        <f>IF(ISERROR(VLOOKUP($A118,自动生成专业初选表!$A:$K,13,FALSE)),"",VLOOKUP($A118,自动生成专业初选表!$A:$K,13,FALSE))</f>
        <v/>
      </c>
      <c r="I118" s="24"/>
    </row>
    <row r="119" spans="1:9">
      <c r="A119" s="13">
        <v>115</v>
      </c>
      <c r="B119" s="20" t="s">
        <v>1063</v>
      </c>
      <c r="C119" s="14" t="str">
        <f>IF(ISERROR(VLOOKUP($A119,自动生成专业初选表!$A:$K,4,FALSE)),"",VLOOKUP($A119,自动生成专业初选表!$A:$K,4,FALSE))</f>
        <v/>
      </c>
      <c r="D119" s="14" t="str">
        <f>IF(ISERROR(VLOOKUP($A119,自动生成专业初选表!$A:$K,5,FALSE)),"",VLOOKUP($A119,自动生成专业初选表!$A:$K,5,FALSE))</f>
        <v/>
      </c>
      <c r="E119" s="14" t="str">
        <f>IF(ISERROR(VLOOKUP($A119,自动生成专业初选表!$A:$K,11,FALSE)),"",VLOOKUP($A119,自动生成专业初选表!$A:$K,11,FALSE))</f>
        <v/>
      </c>
      <c r="F119" s="14" t="s">
        <v>1073</v>
      </c>
      <c r="G119" s="14" t="str">
        <f>IF(ISERROR(VLOOKUP($A119,自动生成专业初选表!$A:$K,12,FALSE)),"",VLOOKUP($A119,自动生成专业初选表!$A:$K,12,FALSE))</f>
        <v/>
      </c>
      <c r="H119" s="14" t="str">
        <f>IF(ISERROR(VLOOKUP($A119,自动生成专业初选表!$A:$K,13,FALSE)),"",VLOOKUP($A119,自动生成专业初选表!$A:$K,13,FALSE))</f>
        <v/>
      </c>
      <c r="I119" s="25" t="s">
        <v>1074</v>
      </c>
    </row>
    <row r="120" spans="1:9">
      <c r="A120" s="13">
        <v>116</v>
      </c>
      <c r="B120" s="21"/>
      <c r="C120" s="14" t="str">
        <f>IF(ISERROR(VLOOKUP($A120,自动生成专业初选表!$A:$K,4,FALSE)),"",VLOOKUP($A120,自动生成专业初选表!$A:$K,4,FALSE))</f>
        <v/>
      </c>
      <c r="D120" s="14" t="str">
        <f>IF(ISERROR(VLOOKUP($A120,自动生成专业初选表!$A:$K,5,FALSE)),"",VLOOKUP($A120,自动生成专业初选表!$A:$K,5,FALSE))</f>
        <v/>
      </c>
      <c r="E120" s="14" t="str">
        <f>IF(ISERROR(VLOOKUP($A120,自动生成专业初选表!$A:$K,11,FALSE)),"",VLOOKUP($A120,自动生成专业初选表!$A:$K,11,FALSE))</f>
        <v/>
      </c>
      <c r="F120" s="14" t="s">
        <v>1075</v>
      </c>
      <c r="G120" s="14" t="str">
        <f>IF(ISERROR(VLOOKUP($A120,自动生成专业初选表!$A:$K,12,FALSE)),"",VLOOKUP($A120,自动生成专业初选表!$A:$K,12,FALSE))</f>
        <v/>
      </c>
      <c r="H120" s="14" t="str">
        <f>IF(ISERROR(VLOOKUP($A120,自动生成专业初选表!$A:$K,13,FALSE)),"",VLOOKUP($A120,自动生成专业初选表!$A:$K,13,FALSE))</f>
        <v/>
      </c>
      <c r="I120" s="26"/>
    </row>
    <row r="121" spans="1:9">
      <c r="A121" s="13">
        <v>117</v>
      </c>
      <c r="B121" s="21"/>
      <c r="C121" s="14" t="str">
        <f>IF(ISERROR(VLOOKUP($A121,自动生成专业初选表!$A:$K,4,FALSE)),"",VLOOKUP($A121,自动生成专业初选表!$A:$K,4,FALSE))</f>
        <v/>
      </c>
      <c r="D121" s="14" t="str">
        <f>IF(ISERROR(VLOOKUP($A121,自动生成专业初选表!$A:$K,5,FALSE)),"",VLOOKUP($A121,自动生成专业初选表!$A:$K,5,FALSE))</f>
        <v/>
      </c>
      <c r="E121" s="14" t="str">
        <f>IF(ISERROR(VLOOKUP($A121,自动生成专业初选表!$A:$K,11,FALSE)),"",VLOOKUP($A121,自动生成专业初选表!$A:$K,11,FALSE))</f>
        <v/>
      </c>
      <c r="F121" s="14" t="s">
        <v>1076</v>
      </c>
      <c r="G121" s="14" t="str">
        <f>IF(ISERROR(VLOOKUP($A121,自动生成专业初选表!$A:$K,12,FALSE)),"",VLOOKUP($A121,自动生成专业初选表!$A:$K,12,FALSE))</f>
        <v/>
      </c>
      <c r="H121" s="14" t="str">
        <f>IF(ISERROR(VLOOKUP($A121,自动生成专业初选表!$A:$K,13,FALSE)),"",VLOOKUP($A121,自动生成专业初选表!$A:$K,13,FALSE))</f>
        <v/>
      </c>
      <c r="I121" s="26"/>
    </row>
    <row r="122" spans="1:9">
      <c r="A122" s="13">
        <v>118</v>
      </c>
      <c r="B122" s="21"/>
      <c r="C122" s="14" t="str">
        <f>IF(ISERROR(VLOOKUP($A122,自动生成专业初选表!$A:$K,4,FALSE)),"",VLOOKUP($A122,自动生成专业初选表!$A:$K,4,FALSE))</f>
        <v/>
      </c>
      <c r="D122" s="14" t="str">
        <f>IF(ISERROR(VLOOKUP($A122,自动生成专业初选表!$A:$K,5,FALSE)),"",VLOOKUP($A122,自动生成专业初选表!$A:$K,5,FALSE))</f>
        <v/>
      </c>
      <c r="E122" s="14" t="str">
        <f>IF(ISERROR(VLOOKUP($A122,自动生成专业初选表!$A:$K,11,FALSE)),"",VLOOKUP($A122,自动生成专业初选表!$A:$K,11,FALSE))</f>
        <v/>
      </c>
      <c r="F122" s="14" t="s">
        <v>1077</v>
      </c>
      <c r="G122" s="14" t="str">
        <f>IF(ISERROR(VLOOKUP($A122,自动生成专业初选表!$A:$K,12,FALSE)),"",VLOOKUP($A122,自动生成专业初选表!$A:$K,12,FALSE))</f>
        <v/>
      </c>
      <c r="H122" s="14" t="str">
        <f>IF(ISERROR(VLOOKUP($A122,自动生成专业初选表!$A:$K,13,FALSE)),"",VLOOKUP($A122,自动生成专业初选表!$A:$K,13,FALSE))</f>
        <v/>
      </c>
      <c r="I122" s="26"/>
    </row>
    <row r="123" spans="1:9">
      <c r="A123" s="13">
        <v>119</v>
      </c>
      <c r="B123" s="21"/>
      <c r="C123" s="14" t="str">
        <f>IF(ISERROR(VLOOKUP($A123,自动生成专业初选表!$A:$K,4,FALSE)),"",VLOOKUP($A123,自动生成专业初选表!$A:$K,4,FALSE))</f>
        <v/>
      </c>
      <c r="D123" s="14" t="str">
        <f>IF(ISERROR(VLOOKUP($A123,自动生成专业初选表!$A:$K,5,FALSE)),"",VLOOKUP($A123,自动生成专业初选表!$A:$K,5,FALSE))</f>
        <v/>
      </c>
      <c r="E123" s="14" t="str">
        <f>IF(ISERROR(VLOOKUP($A123,自动生成专业初选表!$A:$K,11,FALSE)),"",VLOOKUP($A123,自动生成专业初选表!$A:$K,11,FALSE))</f>
        <v/>
      </c>
      <c r="F123" s="14" t="s">
        <v>1078</v>
      </c>
      <c r="G123" s="14" t="str">
        <f>IF(ISERROR(VLOOKUP($A123,自动生成专业初选表!$A:$K,12,FALSE)),"",VLOOKUP($A123,自动生成专业初选表!$A:$K,12,FALSE))</f>
        <v/>
      </c>
      <c r="H123" s="14" t="str">
        <f>IF(ISERROR(VLOOKUP($A123,自动生成专业初选表!$A:$K,13,FALSE)),"",VLOOKUP($A123,自动生成专业初选表!$A:$K,13,FALSE))</f>
        <v/>
      </c>
      <c r="I123" s="26"/>
    </row>
    <row r="124" spans="1:9">
      <c r="A124" s="13">
        <v>120</v>
      </c>
      <c r="B124" s="22"/>
      <c r="C124" s="14" t="str">
        <f>IF(ISERROR(VLOOKUP($A124,自动生成专业初选表!$A:$K,4,FALSE)),"",VLOOKUP($A124,自动生成专业初选表!$A:$K,4,FALSE))</f>
        <v/>
      </c>
      <c r="D124" s="14" t="str">
        <f>IF(ISERROR(VLOOKUP($A124,自动生成专业初选表!$A:$K,5,FALSE)),"",VLOOKUP($A124,自动生成专业初选表!$A:$K,5,FALSE))</f>
        <v/>
      </c>
      <c r="E124" s="14" t="str">
        <f>IF(ISERROR(VLOOKUP($A124,自动生成专业初选表!$A:$K,11,FALSE)),"",VLOOKUP($A124,自动生成专业初选表!$A:$K,11,FALSE))</f>
        <v/>
      </c>
      <c r="F124" s="14" t="s">
        <v>1079</v>
      </c>
      <c r="G124" s="14" t="str">
        <f>IF(ISERROR(VLOOKUP($A124,自动生成专业初选表!$A:$K,12,FALSE)),"",VLOOKUP($A124,自动生成专业初选表!$A:$K,12,FALSE))</f>
        <v/>
      </c>
      <c r="H124" s="14" t="str">
        <f>IF(ISERROR(VLOOKUP($A124,自动生成专业初选表!$A:$K,13,FALSE)),"",VLOOKUP($A124,自动生成专业初选表!$A:$K,13,FALSE))</f>
        <v/>
      </c>
      <c r="I124" s="26"/>
    </row>
  </sheetData>
  <sheetProtection formatCells="0" insertHyperlinks="0" autoFilter="0"/>
  <mergeCells count="48">
    <mergeCell ref="B1:I1"/>
    <mergeCell ref="B2:I2"/>
    <mergeCell ref="C3:E3"/>
    <mergeCell ref="G3:H3"/>
    <mergeCell ref="A3:A4"/>
    <mergeCell ref="B3:B4"/>
    <mergeCell ref="B5:B10"/>
    <mergeCell ref="B11:B16"/>
    <mergeCell ref="B17:B22"/>
    <mergeCell ref="B23:B28"/>
    <mergeCell ref="B29:B34"/>
    <mergeCell ref="B35:B40"/>
    <mergeCell ref="B41:B46"/>
    <mergeCell ref="B47:B52"/>
    <mergeCell ref="B53:B58"/>
    <mergeCell ref="B59:B64"/>
    <mergeCell ref="B65:B70"/>
    <mergeCell ref="B71:B76"/>
    <mergeCell ref="B77:B82"/>
    <mergeCell ref="B83:B88"/>
    <mergeCell ref="B89:B94"/>
    <mergeCell ref="B95:B100"/>
    <mergeCell ref="B101:B106"/>
    <mergeCell ref="B107:B112"/>
    <mergeCell ref="B113:B118"/>
    <mergeCell ref="B119:B124"/>
    <mergeCell ref="F3:F4"/>
    <mergeCell ref="I3: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s>
  <dataValidations count="1">
    <dataValidation type="custom" allowBlank="1" showErrorMessage="1" errorTitle="拒绝重复输入" error="当前输入的内容，与本区域的其他单元格内容重复。" sqref="A$1:A$1048576" errorStyle="warning">
      <formula1>COUNTIF($A:$A,A1)&lt;2</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82"/>
  <sheetViews>
    <sheetView workbookViewId="0">
      <selection activeCell="J25" sqref="J25"/>
    </sheetView>
  </sheetViews>
  <sheetFormatPr defaultColWidth="8.89166666666667" defaultRowHeight="13.5" outlineLevelCol="6"/>
  <cols>
    <col min="2" max="2" width="34.6666666666667" customWidth="1"/>
  </cols>
  <sheetData>
    <row r="1" ht="18.75" spans="1:7">
      <c r="A1" s="6" t="s">
        <v>1080</v>
      </c>
      <c r="B1" s="6"/>
      <c r="C1" s="6"/>
      <c r="D1" s="6"/>
      <c r="E1" s="6"/>
      <c r="F1" s="6"/>
      <c r="G1" s="6"/>
    </row>
    <row r="2" spans="1:7">
      <c r="A2" s="7" t="s">
        <v>1081</v>
      </c>
      <c r="B2" s="7" t="s">
        <v>61</v>
      </c>
      <c r="C2" s="7" t="s">
        <v>62</v>
      </c>
      <c r="D2" s="7" t="s">
        <v>1082</v>
      </c>
      <c r="E2" s="7" t="s">
        <v>1041</v>
      </c>
      <c r="F2" s="7" t="s">
        <v>1083</v>
      </c>
      <c r="G2" s="7" t="s">
        <v>1084</v>
      </c>
    </row>
    <row r="3" spans="1:7">
      <c r="A3" s="8">
        <v>10831</v>
      </c>
      <c r="B3" s="7" t="s">
        <v>1085</v>
      </c>
      <c r="C3" s="8">
        <v>601</v>
      </c>
      <c r="D3" s="7">
        <v>193</v>
      </c>
      <c r="E3" s="7">
        <v>193</v>
      </c>
      <c r="F3" s="7">
        <v>395</v>
      </c>
      <c r="G3" s="8">
        <v>15092</v>
      </c>
    </row>
    <row r="4" spans="1:7">
      <c r="A4" s="8">
        <v>10831</v>
      </c>
      <c r="B4" s="7" t="s">
        <v>1085</v>
      </c>
      <c r="C4" s="8">
        <v>602</v>
      </c>
      <c r="D4" s="7">
        <v>19</v>
      </c>
      <c r="E4" s="7">
        <v>19</v>
      </c>
      <c r="F4" s="7">
        <v>391</v>
      </c>
      <c r="G4" s="8">
        <v>21355</v>
      </c>
    </row>
    <row r="5" spans="1:7">
      <c r="A5" s="8">
        <v>10831</v>
      </c>
      <c r="B5" s="7" t="s">
        <v>1085</v>
      </c>
      <c r="C5" s="8">
        <v>603</v>
      </c>
      <c r="D5" s="7">
        <v>742</v>
      </c>
      <c r="E5" s="7">
        <v>742</v>
      </c>
      <c r="F5" s="7">
        <v>395</v>
      </c>
      <c r="G5" s="8">
        <v>15110</v>
      </c>
    </row>
    <row r="6" spans="1:7">
      <c r="A6" s="8">
        <v>10833</v>
      </c>
      <c r="B6" s="7" t="s">
        <v>123</v>
      </c>
      <c r="C6" s="8">
        <v>603</v>
      </c>
      <c r="D6" s="7">
        <v>120</v>
      </c>
      <c r="E6" s="7">
        <v>120</v>
      </c>
      <c r="F6" s="7">
        <v>400</v>
      </c>
      <c r="G6" s="8">
        <v>8363</v>
      </c>
    </row>
    <row r="7" spans="1:7">
      <c r="A7" s="8">
        <v>10833</v>
      </c>
      <c r="B7" s="7" t="s">
        <v>123</v>
      </c>
      <c r="C7" s="8">
        <v>604</v>
      </c>
      <c r="D7" s="7">
        <v>120</v>
      </c>
      <c r="E7" s="7">
        <v>120</v>
      </c>
      <c r="F7" s="7">
        <v>397</v>
      </c>
      <c r="G7" s="8">
        <v>11595</v>
      </c>
    </row>
    <row r="8" spans="1:7">
      <c r="A8" s="8">
        <v>10833</v>
      </c>
      <c r="B8" s="7" t="s">
        <v>123</v>
      </c>
      <c r="C8" s="8">
        <v>605</v>
      </c>
      <c r="D8" s="7">
        <v>290</v>
      </c>
      <c r="E8" s="7">
        <v>290</v>
      </c>
      <c r="F8" s="7">
        <v>396</v>
      </c>
      <c r="G8" s="8">
        <v>13816</v>
      </c>
    </row>
    <row r="9" spans="1:7">
      <c r="A9" s="8">
        <v>10833</v>
      </c>
      <c r="B9" s="7" t="s">
        <v>123</v>
      </c>
      <c r="C9" s="8">
        <v>606</v>
      </c>
      <c r="D9" s="7">
        <v>80</v>
      </c>
      <c r="E9" s="7">
        <v>80</v>
      </c>
      <c r="F9" s="7">
        <v>395</v>
      </c>
      <c r="G9" s="8">
        <v>14572</v>
      </c>
    </row>
    <row r="10" spans="1:7">
      <c r="A10" s="8">
        <v>10833</v>
      </c>
      <c r="B10" s="7" t="s">
        <v>123</v>
      </c>
      <c r="C10" s="8">
        <v>607</v>
      </c>
      <c r="D10" s="7">
        <v>110</v>
      </c>
      <c r="E10" s="7">
        <v>110</v>
      </c>
      <c r="F10" s="7">
        <v>394</v>
      </c>
      <c r="G10" s="8">
        <v>16635</v>
      </c>
    </row>
    <row r="11" spans="1:7">
      <c r="A11" s="8">
        <v>10833</v>
      </c>
      <c r="B11" s="7" t="s">
        <v>123</v>
      </c>
      <c r="C11" s="8">
        <v>608</v>
      </c>
      <c r="D11" s="7">
        <v>280</v>
      </c>
      <c r="E11" s="7">
        <v>282</v>
      </c>
      <c r="F11" s="7">
        <v>395</v>
      </c>
      <c r="G11" s="8">
        <v>15058</v>
      </c>
    </row>
    <row r="12" spans="1:7">
      <c r="A12" s="8">
        <v>10833</v>
      </c>
      <c r="B12" s="7" t="s">
        <v>123</v>
      </c>
      <c r="C12" s="8">
        <v>609</v>
      </c>
      <c r="D12" s="7">
        <v>120</v>
      </c>
      <c r="E12" s="7">
        <v>120</v>
      </c>
      <c r="F12" s="7">
        <v>398</v>
      </c>
      <c r="G12" s="8">
        <v>10558</v>
      </c>
    </row>
    <row r="13" spans="1:7">
      <c r="A13" s="8">
        <v>10833</v>
      </c>
      <c r="B13" s="7" t="s">
        <v>123</v>
      </c>
      <c r="C13" s="8">
        <v>610</v>
      </c>
      <c r="D13" s="7">
        <v>60</v>
      </c>
      <c r="E13" s="7">
        <v>60</v>
      </c>
      <c r="F13" s="7">
        <v>398</v>
      </c>
      <c r="G13" s="8">
        <v>10849</v>
      </c>
    </row>
    <row r="14" spans="1:7">
      <c r="A14" s="8">
        <v>10833</v>
      </c>
      <c r="B14" s="7" t="s">
        <v>123</v>
      </c>
      <c r="C14" s="8">
        <v>611</v>
      </c>
      <c r="D14" s="7">
        <v>200</v>
      </c>
      <c r="E14" s="7">
        <v>200</v>
      </c>
      <c r="F14" s="7">
        <v>396</v>
      </c>
      <c r="G14" s="8">
        <v>14013</v>
      </c>
    </row>
    <row r="15" spans="1:7">
      <c r="A15" s="8">
        <v>10833</v>
      </c>
      <c r="B15" s="7" t="s">
        <v>123</v>
      </c>
      <c r="C15" s="8">
        <v>612</v>
      </c>
      <c r="D15" s="7">
        <v>80</v>
      </c>
      <c r="E15" s="7">
        <v>80</v>
      </c>
      <c r="F15" s="7">
        <v>392</v>
      </c>
      <c r="G15" s="8">
        <v>18934</v>
      </c>
    </row>
    <row r="16" spans="1:7">
      <c r="A16" s="8">
        <v>10833</v>
      </c>
      <c r="B16" s="7" t="s">
        <v>123</v>
      </c>
      <c r="C16" s="8">
        <v>613</v>
      </c>
      <c r="D16" s="7">
        <v>100</v>
      </c>
      <c r="E16" s="7">
        <v>100</v>
      </c>
      <c r="F16" s="7">
        <v>396</v>
      </c>
      <c r="G16" s="8">
        <v>14167</v>
      </c>
    </row>
    <row r="17" spans="1:7">
      <c r="A17" s="8">
        <v>10833</v>
      </c>
      <c r="B17" s="7" t="s">
        <v>123</v>
      </c>
      <c r="C17" s="8">
        <v>614</v>
      </c>
      <c r="D17" s="7">
        <v>40</v>
      </c>
      <c r="E17" s="7">
        <v>40</v>
      </c>
      <c r="F17" s="7">
        <v>386</v>
      </c>
      <c r="G17" s="8">
        <v>30021</v>
      </c>
    </row>
    <row r="18" spans="1:7">
      <c r="A18" s="8">
        <v>10833</v>
      </c>
      <c r="B18" s="7" t="s">
        <v>123</v>
      </c>
      <c r="C18" s="8">
        <v>615</v>
      </c>
      <c r="D18" s="7">
        <v>20</v>
      </c>
      <c r="E18" s="7">
        <v>20</v>
      </c>
      <c r="F18" s="7">
        <v>389</v>
      </c>
      <c r="G18" s="8">
        <v>24558</v>
      </c>
    </row>
    <row r="19" spans="1:7">
      <c r="A19" s="8">
        <v>10861</v>
      </c>
      <c r="B19" s="7" t="s">
        <v>359</v>
      </c>
      <c r="C19" s="8">
        <v>601</v>
      </c>
      <c r="D19" s="7">
        <v>1950</v>
      </c>
      <c r="E19" s="7">
        <v>1950</v>
      </c>
      <c r="F19" s="7">
        <v>365</v>
      </c>
      <c r="G19" s="8">
        <v>81121</v>
      </c>
    </row>
    <row r="20" spans="1:7">
      <c r="A20" s="8">
        <v>10861</v>
      </c>
      <c r="B20" s="7" t="s">
        <v>359</v>
      </c>
      <c r="C20" s="8">
        <v>602</v>
      </c>
      <c r="D20" s="7">
        <v>878</v>
      </c>
      <c r="E20" s="7">
        <v>878</v>
      </c>
      <c r="F20" s="7">
        <v>358</v>
      </c>
      <c r="G20" s="8">
        <v>99256</v>
      </c>
    </row>
    <row r="21" spans="1:7">
      <c r="A21" s="8">
        <v>10861</v>
      </c>
      <c r="B21" s="7" t="s">
        <v>359</v>
      </c>
      <c r="C21" s="8">
        <v>603</v>
      </c>
      <c r="D21" s="7">
        <v>36</v>
      </c>
      <c r="E21" s="7">
        <v>36</v>
      </c>
      <c r="F21" s="7">
        <v>344</v>
      </c>
      <c r="G21" s="8">
        <v>132252</v>
      </c>
    </row>
    <row r="22" spans="1:7">
      <c r="A22" s="8">
        <v>10861</v>
      </c>
      <c r="B22" s="7" t="s">
        <v>359</v>
      </c>
      <c r="C22" s="8">
        <v>604</v>
      </c>
      <c r="D22" s="7">
        <v>36</v>
      </c>
      <c r="E22" s="7">
        <v>36</v>
      </c>
      <c r="F22" s="7">
        <v>332</v>
      </c>
      <c r="G22" s="8">
        <v>158300</v>
      </c>
    </row>
    <row r="23" spans="1:7">
      <c r="A23" s="8">
        <v>10862</v>
      </c>
      <c r="B23" s="7" t="s">
        <v>278</v>
      </c>
      <c r="C23" s="8">
        <v>601</v>
      </c>
      <c r="D23" s="7">
        <v>1762</v>
      </c>
      <c r="E23" s="7">
        <v>1762</v>
      </c>
      <c r="F23" s="7">
        <v>371</v>
      </c>
      <c r="G23" s="8">
        <v>65900</v>
      </c>
    </row>
    <row r="24" spans="1:7">
      <c r="A24" s="8">
        <v>10862</v>
      </c>
      <c r="B24" s="7" t="s">
        <v>278</v>
      </c>
      <c r="C24" s="8">
        <v>602</v>
      </c>
      <c r="D24" s="7">
        <v>425</v>
      </c>
      <c r="E24" s="7">
        <v>425</v>
      </c>
      <c r="F24" s="7">
        <v>368</v>
      </c>
      <c r="G24" s="8">
        <v>74232</v>
      </c>
    </row>
    <row r="25" spans="1:7">
      <c r="A25" s="8">
        <v>10862</v>
      </c>
      <c r="B25" s="7" t="s">
        <v>278</v>
      </c>
      <c r="C25" s="8">
        <v>607</v>
      </c>
      <c r="D25" s="7">
        <v>83</v>
      </c>
      <c r="E25" s="7">
        <v>83</v>
      </c>
      <c r="F25" s="7">
        <v>362</v>
      </c>
      <c r="G25" s="8">
        <v>89912</v>
      </c>
    </row>
    <row r="26" spans="1:7">
      <c r="A26" s="8">
        <v>10862</v>
      </c>
      <c r="B26" s="7" t="s">
        <v>278</v>
      </c>
      <c r="C26" s="8">
        <v>608</v>
      </c>
      <c r="D26" s="7">
        <v>75</v>
      </c>
      <c r="E26" s="7">
        <v>75</v>
      </c>
      <c r="F26" s="7">
        <v>328</v>
      </c>
      <c r="G26" s="8">
        <v>165847</v>
      </c>
    </row>
    <row r="27" spans="1:7">
      <c r="A27" s="8">
        <v>10862</v>
      </c>
      <c r="B27" s="7" t="s">
        <v>278</v>
      </c>
      <c r="C27" s="8">
        <v>609</v>
      </c>
      <c r="D27" s="7">
        <v>95</v>
      </c>
      <c r="E27" s="7">
        <v>95</v>
      </c>
      <c r="F27" s="7">
        <v>348</v>
      </c>
      <c r="G27" s="8">
        <v>122405</v>
      </c>
    </row>
    <row r="28" spans="1:7">
      <c r="A28" s="8">
        <v>10862</v>
      </c>
      <c r="B28" s="7" t="s">
        <v>278</v>
      </c>
      <c r="C28" s="8">
        <v>610</v>
      </c>
      <c r="D28" s="7">
        <v>61</v>
      </c>
      <c r="E28" s="7">
        <v>61</v>
      </c>
      <c r="F28" s="7">
        <v>330</v>
      </c>
      <c r="G28" s="8">
        <v>162707</v>
      </c>
    </row>
    <row r="29" spans="1:7">
      <c r="A29" s="8">
        <v>10862</v>
      </c>
      <c r="B29" s="7" t="s">
        <v>278</v>
      </c>
      <c r="C29" s="8">
        <v>611</v>
      </c>
      <c r="D29" s="7">
        <v>20</v>
      </c>
      <c r="E29" s="7">
        <v>20</v>
      </c>
      <c r="F29" s="7">
        <v>328</v>
      </c>
      <c r="G29" s="8">
        <v>167307</v>
      </c>
    </row>
    <row r="30" spans="1:7">
      <c r="A30" s="8">
        <v>10965</v>
      </c>
      <c r="B30" s="7" t="s">
        <v>899</v>
      </c>
      <c r="C30" s="8">
        <v>601</v>
      </c>
      <c r="D30" s="7">
        <v>418</v>
      </c>
      <c r="E30" s="7">
        <v>418</v>
      </c>
      <c r="F30" s="7">
        <v>279</v>
      </c>
      <c r="G30" s="8">
        <v>260323</v>
      </c>
    </row>
    <row r="31" spans="1:7">
      <c r="A31" s="8">
        <v>11113</v>
      </c>
      <c r="B31" s="7" t="s">
        <v>93</v>
      </c>
      <c r="C31" s="8">
        <v>601</v>
      </c>
      <c r="D31" s="7">
        <v>545</v>
      </c>
      <c r="E31" s="7">
        <v>545</v>
      </c>
      <c r="F31" s="7">
        <v>409</v>
      </c>
      <c r="G31" s="8">
        <v>2276</v>
      </c>
    </row>
    <row r="32" spans="1:7">
      <c r="A32" s="8">
        <v>11113</v>
      </c>
      <c r="B32" s="7" t="s">
        <v>93</v>
      </c>
      <c r="C32" s="8">
        <v>602</v>
      </c>
      <c r="D32" s="7">
        <v>607</v>
      </c>
      <c r="E32" s="7">
        <v>608</v>
      </c>
      <c r="F32" s="7">
        <v>403</v>
      </c>
      <c r="G32" s="8">
        <v>5580</v>
      </c>
    </row>
    <row r="33" spans="1:7">
      <c r="A33" s="8">
        <v>11113</v>
      </c>
      <c r="B33" s="7" t="s">
        <v>93</v>
      </c>
      <c r="C33" s="8">
        <v>603</v>
      </c>
      <c r="D33" s="7">
        <v>851</v>
      </c>
      <c r="E33" s="7">
        <v>851</v>
      </c>
      <c r="F33" s="7">
        <v>401</v>
      </c>
      <c r="G33" s="8">
        <v>7328</v>
      </c>
    </row>
    <row r="34" spans="1:7">
      <c r="A34" s="8">
        <v>11113</v>
      </c>
      <c r="B34" s="7" t="s">
        <v>93</v>
      </c>
      <c r="C34" s="8">
        <v>604</v>
      </c>
      <c r="D34" s="7">
        <v>343</v>
      </c>
      <c r="E34" s="7">
        <v>343</v>
      </c>
      <c r="F34" s="7">
        <v>401</v>
      </c>
      <c r="G34" s="8">
        <v>7402</v>
      </c>
    </row>
    <row r="35" spans="1:7">
      <c r="A35" s="8">
        <v>11113</v>
      </c>
      <c r="B35" s="7" t="s">
        <v>93</v>
      </c>
      <c r="C35" s="8">
        <v>605</v>
      </c>
      <c r="D35" s="7">
        <v>114</v>
      </c>
      <c r="E35" s="7">
        <v>114</v>
      </c>
      <c r="F35" s="7">
        <v>398</v>
      </c>
      <c r="G35" s="8">
        <v>11322</v>
      </c>
    </row>
    <row r="36" spans="1:7">
      <c r="A36" s="8">
        <v>11113</v>
      </c>
      <c r="B36" s="7" t="s">
        <v>93</v>
      </c>
      <c r="C36" s="8">
        <v>606</v>
      </c>
      <c r="D36" s="7">
        <v>221</v>
      </c>
      <c r="E36" s="7">
        <v>221</v>
      </c>
      <c r="F36" s="7">
        <v>405</v>
      </c>
      <c r="G36" s="8">
        <v>4329</v>
      </c>
    </row>
    <row r="37" spans="1:7">
      <c r="A37" s="8">
        <v>11113</v>
      </c>
      <c r="B37" s="7" t="s">
        <v>93</v>
      </c>
      <c r="C37" s="8">
        <v>607</v>
      </c>
      <c r="D37" s="7">
        <v>258</v>
      </c>
      <c r="E37" s="7">
        <v>259</v>
      </c>
      <c r="F37" s="7">
        <v>403</v>
      </c>
      <c r="G37" s="8">
        <v>6133</v>
      </c>
    </row>
    <row r="38" spans="1:7">
      <c r="A38" s="8">
        <v>11113</v>
      </c>
      <c r="B38" s="7" t="s">
        <v>93</v>
      </c>
      <c r="C38" s="8">
        <v>608</v>
      </c>
      <c r="D38" s="7">
        <v>70</v>
      </c>
      <c r="E38" s="7">
        <v>70</v>
      </c>
      <c r="F38" s="7">
        <v>398</v>
      </c>
      <c r="G38" s="8">
        <v>11410</v>
      </c>
    </row>
    <row r="39" spans="1:7">
      <c r="A39" s="8">
        <v>11114</v>
      </c>
      <c r="B39" s="7" t="s">
        <v>618</v>
      </c>
      <c r="C39" s="8">
        <v>601</v>
      </c>
      <c r="D39" s="7">
        <v>1299</v>
      </c>
      <c r="E39" s="7">
        <v>1299</v>
      </c>
      <c r="F39" s="7">
        <v>362</v>
      </c>
      <c r="G39" s="8">
        <v>89491</v>
      </c>
    </row>
    <row r="40" spans="1:7">
      <c r="A40" s="8">
        <v>11114</v>
      </c>
      <c r="B40" s="7" t="s">
        <v>618</v>
      </c>
      <c r="C40" s="8">
        <v>602</v>
      </c>
      <c r="D40" s="7">
        <v>40</v>
      </c>
      <c r="E40" s="7">
        <v>40</v>
      </c>
      <c r="F40" s="7">
        <v>323</v>
      </c>
      <c r="G40" s="8">
        <v>175679</v>
      </c>
    </row>
    <row r="41" spans="1:7">
      <c r="A41" s="8">
        <v>11121</v>
      </c>
      <c r="B41" s="7" t="s">
        <v>776</v>
      </c>
      <c r="C41" s="8">
        <v>601</v>
      </c>
      <c r="D41" s="7">
        <v>309</v>
      </c>
      <c r="E41" s="7">
        <v>309</v>
      </c>
      <c r="F41" s="7">
        <v>316</v>
      </c>
      <c r="G41" s="8">
        <v>190834</v>
      </c>
    </row>
    <row r="42" spans="1:7">
      <c r="A42" s="8">
        <v>11121</v>
      </c>
      <c r="B42" s="7" t="s">
        <v>776</v>
      </c>
      <c r="C42" s="8">
        <v>602</v>
      </c>
      <c r="D42" s="7">
        <v>34</v>
      </c>
      <c r="E42" s="7">
        <v>34</v>
      </c>
      <c r="F42" s="7">
        <v>297</v>
      </c>
      <c r="G42" s="8">
        <v>226337</v>
      </c>
    </row>
    <row r="43" spans="1:7">
      <c r="A43" s="8">
        <v>12040</v>
      </c>
      <c r="B43" s="7" t="s">
        <v>179</v>
      </c>
      <c r="C43" s="8">
        <v>601</v>
      </c>
      <c r="D43" s="7">
        <v>160</v>
      </c>
      <c r="E43" s="7">
        <v>160</v>
      </c>
      <c r="F43" s="7">
        <v>378</v>
      </c>
      <c r="G43" s="8">
        <v>48798</v>
      </c>
    </row>
    <row r="44" spans="1:7">
      <c r="A44" s="8">
        <v>12040</v>
      </c>
      <c r="B44" s="7" t="s">
        <v>179</v>
      </c>
      <c r="C44" s="8">
        <v>602</v>
      </c>
      <c r="D44" s="7">
        <v>40</v>
      </c>
      <c r="E44" s="7">
        <v>40</v>
      </c>
      <c r="F44" s="7">
        <v>392</v>
      </c>
      <c r="G44" s="8">
        <v>20123</v>
      </c>
    </row>
    <row r="45" spans="1:7">
      <c r="A45" s="8">
        <v>12040</v>
      </c>
      <c r="B45" s="7" t="s">
        <v>179</v>
      </c>
      <c r="C45" s="8">
        <v>603</v>
      </c>
      <c r="D45" s="7">
        <v>140</v>
      </c>
      <c r="E45" s="7">
        <v>140</v>
      </c>
      <c r="F45" s="7">
        <v>384</v>
      </c>
      <c r="G45" s="8">
        <v>34229</v>
      </c>
    </row>
    <row r="46" spans="1:7">
      <c r="A46" s="8">
        <v>12040</v>
      </c>
      <c r="B46" s="7" t="s">
        <v>179</v>
      </c>
      <c r="C46" s="8">
        <v>604</v>
      </c>
      <c r="D46" s="7">
        <v>240</v>
      </c>
      <c r="E46" s="7">
        <v>240</v>
      </c>
      <c r="F46" s="7">
        <v>387</v>
      </c>
      <c r="G46" s="8">
        <v>29114</v>
      </c>
    </row>
    <row r="47" spans="1:7">
      <c r="A47" s="8">
        <v>12040</v>
      </c>
      <c r="B47" s="7" t="s">
        <v>179</v>
      </c>
      <c r="C47" s="8">
        <v>605</v>
      </c>
      <c r="D47" s="7">
        <v>120</v>
      </c>
      <c r="E47" s="7">
        <v>120</v>
      </c>
      <c r="F47" s="7">
        <v>387</v>
      </c>
      <c r="G47" s="8">
        <v>29178</v>
      </c>
    </row>
    <row r="48" spans="1:7">
      <c r="A48" s="8">
        <v>12046</v>
      </c>
      <c r="B48" s="7" t="s">
        <v>1086</v>
      </c>
      <c r="C48" s="8">
        <v>607</v>
      </c>
      <c r="D48" s="7">
        <v>20</v>
      </c>
      <c r="E48" s="7">
        <v>20</v>
      </c>
      <c r="F48" s="7">
        <v>392</v>
      </c>
      <c r="G48" s="8">
        <v>19495</v>
      </c>
    </row>
    <row r="49" spans="1:7">
      <c r="A49" s="8">
        <v>12060</v>
      </c>
      <c r="B49" s="7" t="s">
        <v>664</v>
      </c>
      <c r="C49" s="8">
        <v>601</v>
      </c>
      <c r="D49" s="7">
        <v>899</v>
      </c>
      <c r="E49" s="7">
        <v>900</v>
      </c>
      <c r="F49" s="7">
        <v>334</v>
      </c>
      <c r="G49" s="8">
        <v>154399</v>
      </c>
    </row>
    <row r="50" spans="1:7">
      <c r="A50" s="8">
        <v>12060</v>
      </c>
      <c r="B50" s="7" t="s">
        <v>664</v>
      </c>
      <c r="C50" s="8">
        <v>602</v>
      </c>
      <c r="D50" s="7">
        <v>441</v>
      </c>
      <c r="E50" s="7">
        <v>441</v>
      </c>
      <c r="F50" s="7">
        <v>328</v>
      </c>
      <c r="G50" s="8">
        <v>167118</v>
      </c>
    </row>
    <row r="51" spans="1:7">
      <c r="A51" s="8">
        <v>12322</v>
      </c>
      <c r="B51" s="7" t="s">
        <v>478</v>
      </c>
      <c r="C51" s="8">
        <v>601</v>
      </c>
      <c r="D51" s="7">
        <v>1211</v>
      </c>
      <c r="E51" s="7">
        <v>1213</v>
      </c>
      <c r="F51" s="7">
        <v>376</v>
      </c>
      <c r="G51" s="8">
        <v>53750</v>
      </c>
    </row>
    <row r="52" spans="1:7">
      <c r="A52" s="8">
        <v>12322</v>
      </c>
      <c r="B52" s="7" t="s">
        <v>478</v>
      </c>
      <c r="C52" s="8">
        <v>602</v>
      </c>
      <c r="D52" s="7">
        <v>30</v>
      </c>
      <c r="E52" s="7">
        <v>30</v>
      </c>
      <c r="F52" s="7">
        <v>372</v>
      </c>
      <c r="G52" s="8">
        <v>62844</v>
      </c>
    </row>
    <row r="53" spans="1:7">
      <c r="A53" s="8">
        <v>12322</v>
      </c>
      <c r="B53" s="7" t="s">
        <v>478</v>
      </c>
      <c r="C53" s="8">
        <v>603</v>
      </c>
      <c r="D53" s="7">
        <v>80</v>
      </c>
      <c r="E53" s="7">
        <v>80</v>
      </c>
      <c r="F53" s="7">
        <v>321</v>
      </c>
      <c r="G53" s="8">
        <v>179972</v>
      </c>
    </row>
    <row r="54" spans="1:7">
      <c r="A54" s="8">
        <v>12322</v>
      </c>
      <c r="B54" s="7" t="s">
        <v>478</v>
      </c>
      <c r="C54" s="8">
        <v>604</v>
      </c>
      <c r="D54" s="7">
        <v>10</v>
      </c>
      <c r="E54" s="7">
        <v>10</v>
      </c>
      <c r="F54" s="7">
        <v>319</v>
      </c>
      <c r="G54" s="8">
        <v>184941</v>
      </c>
    </row>
    <row r="55" spans="1:7">
      <c r="A55" s="8">
        <v>12322</v>
      </c>
      <c r="B55" s="7" t="s">
        <v>478</v>
      </c>
      <c r="C55" s="8">
        <v>606</v>
      </c>
      <c r="D55" s="7">
        <v>75</v>
      </c>
      <c r="E55" s="7">
        <v>75</v>
      </c>
      <c r="F55" s="7">
        <v>377</v>
      </c>
      <c r="G55" s="8">
        <v>52445</v>
      </c>
    </row>
    <row r="56" spans="1:7">
      <c r="A56" s="8">
        <v>12325</v>
      </c>
      <c r="B56" s="7" t="s">
        <v>853</v>
      </c>
      <c r="C56" s="8">
        <v>601</v>
      </c>
      <c r="D56" s="7">
        <v>977</v>
      </c>
      <c r="E56" s="7">
        <v>977</v>
      </c>
      <c r="F56" s="7">
        <v>265</v>
      </c>
      <c r="G56" s="8">
        <v>283801</v>
      </c>
    </row>
    <row r="57" spans="1:7">
      <c r="A57" s="8">
        <v>12325</v>
      </c>
      <c r="B57" s="7" t="s">
        <v>853</v>
      </c>
      <c r="C57" s="8">
        <v>603</v>
      </c>
      <c r="D57" s="7">
        <v>45</v>
      </c>
      <c r="E57" s="7">
        <v>45</v>
      </c>
      <c r="F57" s="7">
        <v>244</v>
      </c>
      <c r="G57" s="8">
        <v>314717</v>
      </c>
    </row>
    <row r="58" spans="1:7">
      <c r="A58" s="8">
        <v>12327</v>
      </c>
      <c r="B58" s="7" t="s">
        <v>203</v>
      </c>
      <c r="C58" s="8">
        <v>601</v>
      </c>
      <c r="D58" s="7">
        <v>350</v>
      </c>
      <c r="E58" s="7">
        <v>350</v>
      </c>
      <c r="F58" s="7">
        <v>386</v>
      </c>
      <c r="G58" s="8">
        <v>30274</v>
      </c>
    </row>
    <row r="59" spans="1:7">
      <c r="A59" s="8">
        <v>12327</v>
      </c>
      <c r="B59" s="7" t="s">
        <v>203</v>
      </c>
      <c r="C59" s="8">
        <v>602</v>
      </c>
      <c r="D59" s="7">
        <v>360</v>
      </c>
      <c r="E59" s="7">
        <v>360</v>
      </c>
      <c r="F59" s="7">
        <v>387</v>
      </c>
      <c r="G59" s="8">
        <v>27945</v>
      </c>
    </row>
    <row r="60" spans="1:7">
      <c r="A60" s="8">
        <v>12327</v>
      </c>
      <c r="B60" s="7" t="s">
        <v>203</v>
      </c>
      <c r="C60" s="8">
        <v>603</v>
      </c>
      <c r="D60" s="7">
        <v>195</v>
      </c>
      <c r="E60" s="7">
        <v>195</v>
      </c>
      <c r="F60" s="7">
        <v>383</v>
      </c>
      <c r="G60" s="8">
        <v>38047</v>
      </c>
    </row>
    <row r="61" spans="1:7">
      <c r="A61" s="8">
        <v>12327</v>
      </c>
      <c r="B61" s="7" t="s">
        <v>203</v>
      </c>
      <c r="C61" s="8">
        <v>604</v>
      </c>
      <c r="D61" s="7">
        <v>185</v>
      </c>
      <c r="E61" s="7">
        <v>185</v>
      </c>
      <c r="F61" s="7">
        <v>383</v>
      </c>
      <c r="G61" s="8">
        <v>36337</v>
      </c>
    </row>
    <row r="62" spans="1:7">
      <c r="A62" s="8">
        <v>12327</v>
      </c>
      <c r="B62" s="7" t="s">
        <v>203</v>
      </c>
      <c r="C62" s="8">
        <v>605</v>
      </c>
      <c r="D62" s="7">
        <v>145</v>
      </c>
      <c r="E62" s="7">
        <v>145</v>
      </c>
      <c r="F62" s="7">
        <v>388</v>
      </c>
      <c r="G62" s="8">
        <v>27522</v>
      </c>
    </row>
    <row r="63" spans="1:7">
      <c r="A63" s="8">
        <v>12327</v>
      </c>
      <c r="B63" s="7" t="s">
        <v>203</v>
      </c>
      <c r="C63" s="8">
        <v>606</v>
      </c>
      <c r="D63" s="7">
        <v>424</v>
      </c>
      <c r="E63" s="7">
        <v>424</v>
      </c>
      <c r="F63" s="7">
        <v>383</v>
      </c>
      <c r="G63" s="8">
        <v>38262</v>
      </c>
    </row>
    <row r="64" spans="1:7">
      <c r="A64" s="8">
        <v>12327</v>
      </c>
      <c r="B64" s="7" t="s">
        <v>203</v>
      </c>
      <c r="C64" s="8">
        <v>607</v>
      </c>
      <c r="D64" s="7">
        <v>160</v>
      </c>
      <c r="E64" s="7">
        <v>160</v>
      </c>
      <c r="F64" s="7">
        <v>378</v>
      </c>
      <c r="G64" s="8">
        <v>49467</v>
      </c>
    </row>
    <row r="65" spans="1:7">
      <c r="A65" s="8">
        <v>12327</v>
      </c>
      <c r="B65" s="7" t="s">
        <v>203</v>
      </c>
      <c r="C65" s="8">
        <v>608</v>
      </c>
      <c r="D65" s="7">
        <v>70</v>
      </c>
      <c r="E65" s="7">
        <v>70</v>
      </c>
      <c r="F65" s="7">
        <v>381</v>
      </c>
      <c r="G65" s="8">
        <v>41524</v>
      </c>
    </row>
    <row r="66" spans="1:7">
      <c r="A66" s="8">
        <v>12572</v>
      </c>
      <c r="B66" s="7" t="s">
        <v>191</v>
      </c>
      <c r="C66" s="8">
        <v>601</v>
      </c>
      <c r="D66" s="7">
        <v>650</v>
      </c>
      <c r="E66" s="7">
        <v>650</v>
      </c>
      <c r="F66" s="7">
        <v>387</v>
      </c>
      <c r="G66" s="8">
        <v>28148</v>
      </c>
    </row>
    <row r="67" spans="1:7">
      <c r="A67" s="8">
        <v>12572</v>
      </c>
      <c r="B67" s="7" t="s">
        <v>191</v>
      </c>
      <c r="C67" s="8">
        <v>602</v>
      </c>
      <c r="D67" s="7">
        <v>617</v>
      </c>
      <c r="E67" s="7">
        <v>617</v>
      </c>
      <c r="F67" s="7">
        <v>384</v>
      </c>
      <c r="G67" s="8">
        <v>34453</v>
      </c>
    </row>
    <row r="68" spans="1:7">
      <c r="A68" s="8">
        <v>12572</v>
      </c>
      <c r="B68" s="7" t="s">
        <v>191</v>
      </c>
      <c r="C68" s="8">
        <v>603</v>
      </c>
      <c r="D68" s="7">
        <v>460</v>
      </c>
      <c r="E68" s="7">
        <v>460</v>
      </c>
      <c r="F68" s="7">
        <v>389</v>
      </c>
      <c r="G68" s="8">
        <v>25840</v>
      </c>
    </row>
    <row r="69" spans="1:7">
      <c r="A69" s="8">
        <v>12572</v>
      </c>
      <c r="B69" s="7" t="s">
        <v>191</v>
      </c>
      <c r="C69" s="8">
        <v>604</v>
      </c>
      <c r="D69" s="7">
        <v>190</v>
      </c>
      <c r="E69" s="7">
        <v>190</v>
      </c>
      <c r="F69" s="7">
        <v>379</v>
      </c>
      <c r="G69" s="8">
        <v>45756</v>
      </c>
    </row>
    <row r="70" spans="1:7">
      <c r="A70" s="8">
        <v>12572</v>
      </c>
      <c r="B70" s="7" t="s">
        <v>191</v>
      </c>
      <c r="C70" s="8">
        <v>605</v>
      </c>
      <c r="D70" s="7">
        <v>153</v>
      </c>
      <c r="E70" s="7">
        <v>153</v>
      </c>
      <c r="F70" s="7">
        <v>380</v>
      </c>
      <c r="G70" s="8">
        <v>44968</v>
      </c>
    </row>
    <row r="71" spans="1:7">
      <c r="A71" s="8">
        <v>12572</v>
      </c>
      <c r="B71" s="7" t="s">
        <v>191</v>
      </c>
      <c r="C71" s="8">
        <v>606</v>
      </c>
      <c r="D71" s="7">
        <v>210</v>
      </c>
      <c r="E71" s="7">
        <v>210</v>
      </c>
      <c r="F71" s="7">
        <v>381</v>
      </c>
      <c r="G71" s="8">
        <v>41910</v>
      </c>
    </row>
    <row r="72" spans="1:7">
      <c r="A72" s="8">
        <v>12572</v>
      </c>
      <c r="B72" s="7" t="s">
        <v>191</v>
      </c>
      <c r="C72" s="8">
        <v>607</v>
      </c>
      <c r="D72" s="7">
        <v>295</v>
      </c>
      <c r="E72" s="7">
        <v>295</v>
      </c>
      <c r="F72" s="7">
        <v>384</v>
      </c>
      <c r="G72" s="8">
        <v>34388</v>
      </c>
    </row>
    <row r="73" spans="1:7">
      <c r="A73" s="8">
        <v>12572</v>
      </c>
      <c r="B73" s="7" t="s">
        <v>191</v>
      </c>
      <c r="C73" s="8">
        <v>608</v>
      </c>
      <c r="D73" s="7">
        <v>80</v>
      </c>
      <c r="E73" s="7">
        <v>80</v>
      </c>
      <c r="F73" s="7">
        <v>363</v>
      </c>
      <c r="G73" s="8">
        <v>86413</v>
      </c>
    </row>
    <row r="74" spans="1:7">
      <c r="A74" s="8">
        <v>12573</v>
      </c>
      <c r="B74" s="7" t="s">
        <v>371</v>
      </c>
      <c r="C74" s="8">
        <v>601</v>
      </c>
      <c r="D74" s="7">
        <v>1220</v>
      </c>
      <c r="E74" s="7">
        <v>1220</v>
      </c>
      <c r="F74" s="7">
        <v>375</v>
      </c>
      <c r="G74" s="8">
        <v>56478</v>
      </c>
    </row>
    <row r="75" spans="1:7">
      <c r="A75" s="8">
        <v>12573</v>
      </c>
      <c r="B75" s="7" t="s">
        <v>371</v>
      </c>
      <c r="C75" s="8">
        <v>602</v>
      </c>
      <c r="D75" s="7">
        <v>660</v>
      </c>
      <c r="E75" s="7">
        <v>660</v>
      </c>
      <c r="F75" s="7">
        <v>361</v>
      </c>
      <c r="G75" s="8">
        <v>91538</v>
      </c>
    </row>
    <row r="76" spans="1:7">
      <c r="A76" s="8">
        <v>12573</v>
      </c>
      <c r="B76" s="7" t="s">
        <v>371</v>
      </c>
      <c r="C76" s="8">
        <v>603</v>
      </c>
      <c r="D76" s="7">
        <v>140</v>
      </c>
      <c r="E76" s="7">
        <v>140</v>
      </c>
      <c r="F76" s="7">
        <v>322</v>
      </c>
      <c r="G76" s="8">
        <v>179500</v>
      </c>
    </row>
    <row r="77" spans="1:7">
      <c r="A77" s="8">
        <v>12575</v>
      </c>
      <c r="B77" s="7" t="s">
        <v>786</v>
      </c>
      <c r="C77" s="8">
        <v>601</v>
      </c>
      <c r="D77" s="7">
        <v>160</v>
      </c>
      <c r="E77" s="7">
        <v>160</v>
      </c>
      <c r="F77" s="7">
        <v>312</v>
      </c>
      <c r="G77" s="8">
        <v>198216</v>
      </c>
    </row>
    <row r="78" spans="1:7">
      <c r="A78" s="8">
        <v>12575</v>
      </c>
      <c r="B78" s="7" t="s">
        <v>786</v>
      </c>
      <c r="C78" s="8">
        <v>602</v>
      </c>
      <c r="D78" s="7">
        <v>80</v>
      </c>
      <c r="E78" s="7">
        <v>80</v>
      </c>
      <c r="F78" s="7">
        <v>293</v>
      </c>
      <c r="G78" s="8">
        <v>233535</v>
      </c>
    </row>
    <row r="79" spans="1:7">
      <c r="A79" s="8">
        <v>12576</v>
      </c>
      <c r="B79" s="7" t="s">
        <v>951</v>
      </c>
      <c r="C79" s="8">
        <v>601</v>
      </c>
      <c r="D79" s="7">
        <v>342</v>
      </c>
      <c r="E79" s="7">
        <v>342</v>
      </c>
      <c r="F79" s="7">
        <v>238</v>
      </c>
      <c r="G79" s="8">
        <v>322167</v>
      </c>
    </row>
    <row r="80" spans="1:7">
      <c r="A80" s="8">
        <v>12577</v>
      </c>
      <c r="B80" s="7" t="s">
        <v>391</v>
      </c>
      <c r="C80" s="8">
        <v>601</v>
      </c>
      <c r="D80" s="7">
        <v>1236</v>
      </c>
      <c r="E80" s="7">
        <v>1236</v>
      </c>
      <c r="F80" s="7">
        <v>364</v>
      </c>
      <c r="G80" s="8">
        <v>84651</v>
      </c>
    </row>
    <row r="81" spans="1:7">
      <c r="A81" s="8">
        <v>12578</v>
      </c>
      <c r="B81" s="7" t="s">
        <v>634</v>
      </c>
      <c r="C81" s="8">
        <v>601</v>
      </c>
      <c r="D81" s="7">
        <v>113</v>
      </c>
      <c r="E81" s="7">
        <v>113</v>
      </c>
      <c r="F81" s="7">
        <v>341</v>
      </c>
      <c r="G81" s="8">
        <v>138752</v>
      </c>
    </row>
    <row r="82" spans="1:7">
      <c r="A82" s="8">
        <v>12736</v>
      </c>
      <c r="B82" s="7" t="s">
        <v>572</v>
      </c>
      <c r="C82" s="8">
        <v>601</v>
      </c>
      <c r="D82" s="7">
        <v>2320</v>
      </c>
      <c r="E82" s="7">
        <v>2320</v>
      </c>
      <c r="F82" s="7">
        <v>353</v>
      </c>
      <c r="G82" s="8">
        <v>111367</v>
      </c>
    </row>
    <row r="83" spans="1:7">
      <c r="A83" s="8">
        <v>12736</v>
      </c>
      <c r="B83" s="7" t="s">
        <v>572</v>
      </c>
      <c r="C83" s="8">
        <v>602</v>
      </c>
      <c r="D83" s="7">
        <v>20</v>
      </c>
      <c r="E83" s="7">
        <v>20</v>
      </c>
      <c r="F83" s="7">
        <v>330</v>
      </c>
      <c r="G83" s="8">
        <v>162064</v>
      </c>
    </row>
    <row r="84" spans="1:7">
      <c r="A84" s="8">
        <v>12741</v>
      </c>
      <c r="B84" s="7" t="s">
        <v>581</v>
      </c>
      <c r="C84" s="8">
        <v>601</v>
      </c>
      <c r="D84" s="7">
        <v>1928</v>
      </c>
      <c r="E84" s="7">
        <v>1928</v>
      </c>
      <c r="F84" s="7">
        <v>357</v>
      </c>
      <c r="G84" s="8">
        <v>100534</v>
      </c>
    </row>
    <row r="85" spans="1:7">
      <c r="A85" s="8">
        <v>12741</v>
      </c>
      <c r="B85" s="7" t="s">
        <v>581</v>
      </c>
      <c r="C85" s="8">
        <v>602</v>
      </c>
      <c r="D85" s="7">
        <v>155</v>
      </c>
      <c r="E85" s="7">
        <v>155</v>
      </c>
      <c r="F85" s="7">
        <v>360</v>
      </c>
      <c r="G85" s="8">
        <v>94529</v>
      </c>
    </row>
    <row r="86" spans="1:7">
      <c r="A86" s="8">
        <v>12741</v>
      </c>
      <c r="B86" s="7" t="s">
        <v>581</v>
      </c>
      <c r="C86" s="8">
        <v>604</v>
      </c>
      <c r="D86" s="7">
        <v>656</v>
      </c>
      <c r="E86" s="7">
        <v>656</v>
      </c>
      <c r="F86" s="7">
        <v>350</v>
      </c>
      <c r="G86" s="8">
        <v>117903</v>
      </c>
    </row>
    <row r="87" spans="1:7">
      <c r="A87" s="8">
        <v>12741</v>
      </c>
      <c r="B87" s="7" t="s">
        <v>581</v>
      </c>
      <c r="C87" s="8">
        <v>605</v>
      </c>
      <c r="D87" s="7">
        <v>45</v>
      </c>
      <c r="E87" s="7">
        <v>45</v>
      </c>
      <c r="F87" s="7">
        <v>324</v>
      </c>
      <c r="G87" s="8">
        <v>174857</v>
      </c>
    </row>
    <row r="88" spans="1:7">
      <c r="A88" s="8">
        <v>12742</v>
      </c>
      <c r="B88" s="7" t="s">
        <v>469</v>
      </c>
      <c r="C88" s="8">
        <v>609</v>
      </c>
      <c r="D88" s="7">
        <v>207</v>
      </c>
      <c r="E88" s="7">
        <v>207</v>
      </c>
      <c r="F88" s="7">
        <v>342</v>
      </c>
      <c r="G88" s="8">
        <v>137586</v>
      </c>
    </row>
    <row r="89" spans="1:7">
      <c r="A89" s="8">
        <v>12742</v>
      </c>
      <c r="B89" s="7" t="s">
        <v>469</v>
      </c>
      <c r="C89" s="8">
        <v>610</v>
      </c>
      <c r="D89" s="7">
        <v>258</v>
      </c>
      <c r="E89" s="7">
        <v>259</v>
      </c>
      <c r="F89" s="7">
        <v>343</v>
      </c>
      <c r="G89" s="8">
        <v>134951</v>
      </c>
    </row>
    <row r="90" spans="1:7">
      <c r="A90" s="8">
        <v>12742</v>
      </c>
      <c r="B90" s="7" t="s">
        <v>469</v>
      </c>
      <c r="C90" s="8">
        <v>611</v>
      </c>
      <c r="D90" s="7">
        <v>80</v>
      </c>
      <c r="E90" s="7">
        <v>80</v>
      </c>
      <c r="F90" s="7">
        <v>311</v>
      </c>
      <c r="G90" s="8">
        <v>200864</v>
      </c>
    </row>
    <row r="91" spans="1:7">
      <c r="A91" s="8">
        <v>12742</v>
      </c>
      <c r="B91" s="7" t="s">
        <v>469</v>
      </c>
      <c r="C91" s="8">
        <v>612</v>
      </c>
      <c r="D91" s="7">
        <v>68</v>
      </c>
      <c r="E91" s="7">
        <v>68</v>
      </c>
      <c r="F91" s="7">
        <v>352</v>
      </c>
      <c r="G91" s="8">
        <v>113294</v>
      </c>
    </row>
    <row r="92" spans="1:7">
      <c r="A92" s="8">
        <v>12742</v>
      </c>
      <c r="B92" s="7" t="s">
        <v>469</v>
      </c>
      <c r="C92" s="8">
        <v>613</v>
      </c>
      <c r="D92" s="7">
        <v>99</v>
      </c>
      <c r="E92" s="7">
        <v>99</v>
      </c>
      <c r="F92" s="7">
        <v>346</v>
      </c>
      <c r="G92" s="8">
        <v>127837</v>
      </c>
    </row>
    <row r="93" spans="1:7">
      <c r="A93" s="8">
        <v>12743</v>
      </c>
      <c r="B93" s="7" t="s">
        <v>300</v>
      </c>
      <c r="C93" s="8">
        <v>605</v>
      </c>
      <c r="D93" s="7">
        <v>56</v>
      </c>
      <c r="E93" s="7">
        <v>56</v>
      </c>
      <c r="F93" s="7">
        <v>373</v>
      </c>
      <c r="G93" s="8">
        <v>60241</v>
      </c>
    </row>
    <row r="94" spans="1:7">
      <c r="A94" s="8">
        <v>12743</v>
      </c>
      <c r="B94" s="7" t="s">
        <v>300</v>
      </c>
      <c r="C94" s="8">
        <v>606</v>
      </c>
      <c r="D94" s="7">
        <v>56</v>
      </c>
      <c r="E94" s="7">
        <v>56</v>
      </c>
      <c r="F94" s="7">
        <v>372</v>
      </c>
      <c r="G94" s="8">
        <v>63003</v>
      </c>
    </row>
    <row r="95" spans="1:7">
      <c r="A95" s="8">
        <v>12743</v>
      </c>
      <c r="B95" s="7" t="s">
        <v>300</v>
      </c>
      <c r="C95" s="8">
        <v>607</v>
      </c>
      <c r="D95" s="7">
        <v>56</v>
      </c>
      <c r="E95" s="7">
        <v>56</v>
      </c>
      <c r="F95" s="7">
        <v>378</v>
      </c>
      <c r="G95" s="8">
        <v>47909</v>
      </c>
    </row>
    <row r="96" spans="1:7">
      <c r="A96" s="8">
        <v>12743</v>
      </c>
      <c r="B96" s="7" t="s">
        <v>300</v>
      </c>
      <c r="C96" s="8">
        <v>608</v>
      </c>
      <c r="D96" s="7">
        <v>50</v>
      </c>
      <c r="E96" s="7">
        <v>50</v>
      </c>
      <c r="F96" s="7">
        <v>371</v>
      </c>
      <c r="G96" s="8">
        <v>66032</v>
      </c>
    </row>
    <row r="97" spans="1:7">
      <c r="A97" s="8">
        <v>12743</v>
      </c>
      <c r="B97" s="7" t="s">
        <v>300</v>
      </c>
      <c r="C97" s="8">
        <v>609</v>
      </c>
      <c r="D97" s="7">
        <v>50</v>
      </c>
      <c r="E97" s="7">
        <v>50</v>
      </c>
      <c r="F97" s="7">
        <v>378</v>
      </c>
      <c r="G97" s="8">
        <v>47654</v>
      </c>
    </row>
    <row r="98" spans="1:7">
      <c r="A98" s="8">
        <v>12743</v>
      </c>
      <c r="B98" s="7" t="s">
        <v>300</v>
      </c>
      <c r="C98" s="8">
        <v>610</v>
      </c>
      <c r="D98" s="7">
        <v>34</v>
      </c>
      <c r="E98" s="7">
        <v>34</v>
      </c>
      <c r="F98" s="7">
        <v>362</v>
      </c>
      <c r="G98" s="8">
        <v>88371</v>
      </c>
    </row>
    <row r="99" spans="1:7">
      <c r="A99" s="8">
        <v>12743</v>
      </c>
      <c r="B99" s="7" t="s">
        <v>300</v>
      </c>
      <c r="C99" s="8">
        <v>611</v>
      </c>
      <c r="D99" s="7">
        <v>16</v>
      </c>
      <c r="E99" s="7">
        <v>16</v>
      </c>
      <c r="F99" s="7">
        <v>328</v>
      </c>
      <c r="G99" s="8">
        <v>166957</v>
      </c>
    </row>
    <row r="100" spans="1:7">
      <c r="A100" s="8">
        <v>12743</v>
      </c>
      <c r="B100" s="7" t="s">
        <v>300</v>
      </c>
      <c r="C100" s="8">
        <v>612</v>
      </c>
      <c r="D100" s="7">
        <v>54</v>
      </c>
      <c r="E100" s="7">
        <v>54</v>
      </c>
      <c r="F100" s="7">
        <v>371</v>
      </c>
      <c r="G100" s="8">
        <v>66110</v>
      </c>
    </row>
    <row r="101" spans="1:7">
      <c r="A101" s="8">
        <v>12743</v>
      </c>
      <c r="B101" s="7" t="s">
        <v>300</v>
      </c>
      <c r="C101" s="8">
        <v>613</v>
      </c>
      <c r="D101" s="7">
        <v>27</v>
      </c>
      <c r="E101" s="7">
        <v>27</v>
      </c>
      <c r="F101" s="7">
        <v>382</v>
      </c>
      <c r="G101" s="8">
        <v>38754</v>
      </c>
    </row>
    <row r="102" spans="1:7">
      <c r="A102" s="8">
        <v>12743</v>
      </c>
      <c r="B102" s="7" t="s">
        <v>300</v>
      </c>
      <c r="C102" s="8">
        <v>614</v>
      </c>
      <c r="D102" s="7">
        <v>83</v>
      </c>
      <c r="E102" s="7">
        <v>83</v>
      </c>
      <c r="F102" s="7">
        <v>358</v>
      </c>
      <c r="G102" s="8">
        <v>98400</v>
      </c>
    </row>
    <row r="103" spans="1:7">
      <c r="A103" s="8">
        <v>12743</v>
      </c>
      <c r="B103" s="7" t="s">
        <v>300</v>
      </c>
      <c r="C103" s="8">
        <v>615</v>
      </c>
      <c r="D103" s="7">
        <v>73</v>
      </c>
      <c r="E103" s="7">
        <v>73</v>
      </c>
      <c r="F103" s="7">
        <v>356</v>
      </c>
      <c r="G103" s="8">
        <v>103192</v>
      </c>
    </row>
    <row r="104" spans="1:7">
      <c r="A104" s="8">
        <v>12743</v>
      </c>
      <c r="B104" s="7" t="s">
        <v>300</v>
      </c>
      <c r="C104" s="8">
        <v>616</v>
      </c>
      <c r="D104" s="7">
        <v>15</v>
      </c>
      <c r="E104" s="7">
        <v>15</v>
      </c>
      <c r="F104" s="7">
        <v>368</v>
      </c>
      <c r="G104" s="8">
        <v>73601</v>
      </c>
    </row>
    <row r="105" spans="1:7">
      <c r="A105" s="8">
        <v>12749</v>
      </c>
      <c r="B105" s="7" t="s">
        <v>862</v>
      </c>
      <c r="C105" s="8">
        <v>601</v>
      </c>
      <c r="D105" s="7">
        <v>3184</v>
      </c>
      <c r="E105" s="7">
        <v>3184</v>
      </c>
      <c r="F105" s="7">
        <v>292</v>
      </c>
      <c r="G105" s="8">
        <v>236078</v>
      </c>
    </row>
    <row r="106" spans="1:7">
      <c r="A106" s="8">
        <v>12749</v>
      </c>
      <c r="B106" s="7" t="s">
        <v>862</v>
      </c>
      <c r="C106" s="8">
        <v>603</v>
      </c>
      <c r="D106" s="7">
        <v>50</v>
      </c>
      <c r="E106" s="7">
        <v>50</v>
      </c>
      <c r="F106" s="7">
        <v>199</v>
      </c>
      <c r="G106" s="8">
        <v>362471</v>
      </c>
    </row>
    <row r="107" spans="1:7">
      <c r="A107" s="8">
        <v>12765</v>
      </c>
      <c r="B107" s="7" t="s">
        <v>644</v>
      </c>
      <c r="C107" s="8">
        <v>601</v>
      </c>
      <c r="D107" s="7">
        <v>348</v>
      </c>
      <c r="E107" s="7">
        <v>348</v>
      </c>
      <c r="F107" s="7">
        <v>335</v>
      </c>
      <c r="G107" s="8">
        <v>151183</v>
      </c>
    </row>
    <row r="108" spans="1:7">
      <c r="A108" s="8">
        <v>12765</v>
      </c>
      <c r="B108" s="7" t="s">
        <v>644</v>
      </c>
      <c r="C108" s="8">
        <v>607</v>
      </c>
      <c r="D108" s="7">
        <v>358</v>
      </c>
      <c r="E108" s="7">
        <v>358</v>
      </c>
      <c r="F108" s="7">
        <v>330</v>
      </c>
      <c r="G108" s="8">
        <v>162851</v>
      </c>
    </row>
    <row r="109" spans="1:7">
      <c r="A109" s="8">
        <v>12765</v>
      </c>
      <c r="B109" s="7" t="s">
        <v>644</v>
      </c>
      <c r="C109" s="8">
        <v>609</v>
      </c>
      <c r="D109" s="7">
        <v>40</v>
      </c>
      <c r="E109" s="7">
        <v>40</v>
      </c>
      <c r="F109" s="7">
        <v>300</v>
      </c>
      <c r="G109" s="8">
        <v>220367</v>
      </c>
    </row>
    <row r="110" spans="1:7">
      <c r="A110" s="8">
        <v>12770</v>
      </c>
      <c r="B110" s="7" t="s">
        <v>446</v>
      </c>
      <c r="C110" s="8">
        <v>601</v>
      </c>
      <c r="D110" s="7">
        <v>1226</v>
      </c>
      <c r="E110" s="7">
        <v>1226</v>
      </c>
      <c r="F110" s="7">
        <v>332</v>
      </c>
      <c r="G110" s="8">
        <v>157609</v>
      </c>
    </row>
    <row r="111" spans="1:7">
      <c r="A111" s="8">
        <v>12770</v>
      </c>
      <c r="B111" s="7" t="s">
        <v>446</v>
      </c>
      <c r="C111" s="8">
        <v>602</v>
      </c>
      <c r="D111" s="7">
        <v>260</v>
      </c>
      <c r="E111" s="7">
        <v>260</v>
      </c>
      <c r="F111" s="7">
        <v>347</v>
      </c>
      <c r="G111" s="8">
        <v>126290</v>
      </c>
    </row>
    <row r="112" spans="1:7">
      <c r="A112" s="8">
        <v>12770</v>
      </c>
      <c r="B112" s="7" t="s">
        <v>446</v>
      </c>
      <c r="C112" s="8">
        <v>603</v>
      </c>
      <c r="D112" s="7">
        <v>464</v>
      </c>
      <c r="E112" s="7">
        <v>464</v>
      </c>
      <c r="F112" s="7">
        <v>329</v>
      </c>
      <c r="G112" s="8">
        <v>164100</v>
      </c>
    </row>
    <row r="113" spans="1:7">
      <c r="A113" s="8">
        <v>12771</v>
      </c>
      <c r="B113" s="7" t="s">
        <v>719</v>
      </c>
      <c r="C113" s="8">
        <v>601</v>
      </c>
      <c r="D113" s="7">
        <v>1054</v>
      </c>
      <c r="E113" s="7">
        <v>1054</v>
      </c>
      <c r="F113" s="7">
        <v>334</v>
      </c>
      <c r="G113" s="8">
        <v>153920</v>
      </c>
    </row>
    <row r="114" spans="1:7">
      <c r="A114" s="8">
        <v>12772</v>
      </c>
      <c r="B114" s="7" t="s">
        <v>561</v>
      </c>
      <c r="C114" s="8">
        <v>601</v>
      </c>
      <c r="D114" s="7">
        <v>280</v>
      </c>
      <c r="E114" s="7">
        <v>280</v>
      </c>
      <c r="F114" s="7">
        <v>374</v>
      </c>
      <c r="G114" s="8">
        <v>57888</v>
      </c>
    </row>
    <row r="115" spans="1:7">
      <c r="A115" s="8">
        <v>12772</v>
      </c>
      <c r="B115" s="7" t="s">
        <v>561</v>
      </c>
      <c r="C115" s="8">
        <v>602</v>
      </c>
      <c r="D115" s="7">
        <v>586</v>
      </c>
      <c r="E115" s="7">
        <v>586</v>
      </c>
      <c r="F115" s="7">
        <v>340</v>
      </c>
      <c r="G115" s="8">
        <v>140841</v>
      </c>
    </row>
    <row r="116" spans="1:7">
      <c r="A116" s="8">
        <v>12772</v>
      </c>
      <c r="B116" s="7" t="s">
        <v>561</v>
      </c>
      <c r="C116" s="8">
        <v>603</v>
      </c>
      <c r="D116" s="7">
        <v>375</v>
      </c>
      <c r="E116" s="7">
        <v>375</v>
      </c>
      <c r="F116" s="7">
        <v>355</v>
      </c>
      <c r="G116" s="8">
        <v>105503</v>
      </c>
    </row>
    <row r="117" spans="1:7">
      <c r="A117" s="8">
        <v>12772</v>
      </c>
      <c r="B117" s="7" t="s">
        <v>561</v>
      </c>
      <c r="C117" s="8">
        <v>610</v>
      </c>
      <c r="D117" s="7">
        <v>360</v>
      </c>
      <c r="E117" s="7">
        <v>360</v>
      </c>
      <c r="F117" s="7">
        <v>347</v>
      </c>
      <c r="G117" s="8">
        <v>125115</v>
      </c>
    </row>
    <row r="118" spans="1:7">
      <c r="A118" s="8">
        <v>12953</v>
      </c>
      <c r="B118" s="7" t="s">
        <v>420</v>
      </c>
      <c r="C118" s="8">
        <v>601</v>
      </c>
      <c r="D118" s="7">
        <v>270</v>
      </c>
      <c r="E118" s="7">
        <v>271</v>
      </c>
      <c r="F118" s="7">
        <v>356</v>
      </c>
      <c r="G118" s="8">
        <v>104206</v>
      </c>
    </row>
    <row r="119" spans="1:7">
      <c r="A119" s="8">
        <v>12953</v>
      </c>
      <c r="B119" s="7" t="s">
        <v>420</v>
      </c>
      <c r="C119" s="8">
        <v>602</v>
      </c>
      <c r="D119" s="7">
        <v>275</v>
      </c>
      <c r="E119" s="7">
        <v>275</v>
      </c>
      <c r="F119" s="7">
        <v>351</v>
      </c>
      <c r="G119" s="8">
        <v>116436</v>
      </c>
    </row>
    <row r="120" spans="1:7">
      <c r="A120" s="8">
        <v>12953</v>
      </c>
      <c r="B120" s="7" t="s">
        <v>420</v>
      </c>
      <c r="C120" s="8">
        <v>603</v>
      </c>
      <c r="D120" s="7">
        <v>415</v>
      </c>
      <c r="E120" s="7">
        <v>415</v>
      </c>
      <c r="F120" s="7">
        <v>356</v>
      </c>
      <c r="G120" s="8">
        <v>102812</v>
      </c>
    </row>
    <row r="121" spans="1:7">
      <c r="A121" s="8">
        <v>12954</v>
      </c>
      <c r="B121" s="7" t="s">
        <v>729</v>
      </c>
      <c r="C121" s="8">
        <v>605</v>
      </c>
      <c r="D121" s="7">
        <v>2063</v>
      </c>
      <c r="E121" s="7">
        <v>2063</v>
      </c>
      <c r="F121" s="7">
        <v>329</v>
      </c>
      <c r="G121" s="8">
        <v>164398</v>
      </c>
    </row>
    <row r="122" spans="1:7">
      <c r="A122" s="8">
        <v>12956</v>
      </c>
      <c r="B122" s="7" t="s">
        <v>709</v>
      </c>
      <c r="C122" s="8">
        <v>601</v>
      </c>
      <c r="D122" s="7">
        <v>629</v>
      </c>
      <c r="E122" s="7">
        <v>629</v>
      </c>
      <c r="F122" s="7">
        <v>335</v>
      </c>
      <c r="G122" s="8">
        <v>151444</v>
      </c>
    </row>
    <row r="123" spans="1:7">
      <c r="A123" s="8">
        <v>12957</v>
      </c>
      <c r="B123" s="7" t="s">
        <v>1087</v>
      </c>
      <c r="C123" s="8">
        <v>601</v>
      </c>
      <c r="D123" s="7">
        <v>28</v>
      </c>
      <c r="E123" s="7">
        <v>28</v>
      </c>
      <c r="F123" s="7">
        <v>400</v>
      </c>
      <c r="G123" s="8">
        <v>9192</v>
      </c>
    </row>
    <row r="124" spans="1:7">
      <c r="A124" s="8">
        <v>12957</v>
      </c>
      <c r="B124" s="7" t="s">
        <v>1087</v>
      </c>
      <c r="C124" s="8">
        <v>602</v>
      </c>
      <c r="D124" s="7">
        <v>172</v>
      </c>
      <c r="E124" s="7">
        <v>174</v>
      </c>
      <c r="F124" s="7">
        <v>402</v>
      </c>
      <c r="G124" s="8">
        <v>6626</v>
      </c>
    </row>
    <row r="125" spans="1:7">
      <c r="A125" s="8">
        <v>12957</v>
      </c>
      <c r="B125" s="7" t="s">
        <v>1087</v>
      </c>
      <c r="C125" s="8">
        <v>603</v>
      </c>
      <c r="D125" s="7">
        <v>409</v>
      </c>
      <c r="E125" s="7">
        <v>410</v>
      </c>
      <c r="F125" s="7">
        <v>398</v>
      </c>
      <c r="G125" s="8">
        <v>11510</v>
      </c>
    </row>
    <row r="126" spans="1:7">
      <c r="A126" s="8">
        <v>12957</v>
      </c>
      <c r="B126" s="7" t="s">
        <v>1087</v>
      </c>
      <c r="C126" s="8">
        <v>604</v>
      </c>
      <c r="D126" s="7">
        <v>786</v>
      </c>
      <c r="E126" s="7">
        <v>786</v>
      </c>
      <c r="F126" s="7">
        <v>399</v>
      </c>
      <c r="G126" s="8">
        <v>10324</v>
      </c>
    </row>
    <row r="127" spans="1:7">
      <c r="A127" s="8">
        <v>12957</v>
      </c>
      <c r="B127" s="7" t="s">
        <v>1087</v>
      </c>
      <c r="C127" s="8">
        <v>605</v>
      </c>
      <c r="D127" s="7">
        <v>25</v>
      </c>
      <c r="E127" s="7">
        <v>25</v>
      </c>
      <c r="F127" s="7">
        <v>397</v>
      </c>
      <c r="G127" s="8">
        <v>11856</v>
      </c>
    </row>
    <row r="128" spans="1:7">
      <c r="A128" s="8">
        <v>12957</v>
      </c>
      <c r="B128" s="7" t="s">
        <v>1087</v>
      </c>
      <c r="C128" s="8">
        <v>606</v>
      </c>
      <c r="D128" s="7">
        <v>73</v>
      </c>
      <c r="E128" s="7">
        <v>73</v>
      </c>
      <c r="F128" s="7">
        <v>398</v>
      </c>
      <c r="G128" s="8">
        <v>11459</v>
      </c>
    </row>
    <row r="129" spans="1:7">
      <c r="A129" s="8">
        <v>12958</v>
      </c>
      <c r="B129" s="7" t="s">
        <v>498</v>
      </c>
      <c r="C129" s="8">
        <v>601</v>
      </c>
      <c r="D129" s="7">
        <v>441</v>
      </c>
      <c r="E129" s="7">
        <v>441</v>
      </c>
      <c r="F129" s="7">
        <v>357</v>
      </c>
      <c r="G129" s="8">
        <v>101794</v>
      </c>
    </row>
    <row r="130" spans="1:7">
      <c r="A130" s="8">
        <v>12958</v>
      </c>
      <c r="B130" s="7" t="s">
        <v>498</v>
      </c>
      <c r="C130" s="8">
        <v>602</v>
      </c>
      <c r="D130" s="7">
        <v>258</v>
      </c>
      <c r="E130" s="7">
        <v>258</v>
      </c>
      <c r="F130" s="7">
        <v>353</v>
      </c>
      <c r="G130" s="8">
        <v>109870</v>
      </c>
    </row>
    <row r="131" spans="1:7">
      <c r="A131" s="8">
        <v>12958</v>
      </c>
      <c r="B131" s="7" t="s">
        <v>498</v>
      </c>
      <c r="C131" s="8">
        <v>603</v>
      </c>
      <c r="D131" s="7">
        <v>170</v>
      </c>
      <c r="E131" s="7">
        <v>170</v>
      </c>
      <c r="F131" s="7">
        <v>347</v>
      </c>
      <c r="G131" s="8">
        <v>126190</v>
      </c>
    </row>
    <row r="132" spans="1:7">
      <c r="A132" s="8">
        <v>12958</v>
      </c>
      <c r="B132" s="7" t="s">
        <v>498</v>
      </c>
      <c r="C132" s="8">
        <v>604</v>
      </c>
      <c r="D132" s="7">
        <v>285</v>
      </c>
      <c r="E132" s="7">
        <v>285</v>
      </c>
      <c r="F132" s="7">
        <v>351</v>
      </c>
      <c r="G132" s="8">
        <v>115933</v>
      </c>
    </row>
    <row r="133" spans="1:7">
      <c r="A133" s="8">
        <v>12958</v>
      </c>
      <c r="B133" s="7" t="s">
        <v>498</v>
      </c>
      <c r="C133" s="8">
        <v>605</v>
      </c>
      <c r="D133" s="7">
        <v>223</v>
      </c>
      <c r="E133" s="7">
        <v>223</v>
      </c>
      <c r="F133" s="7">
        <v>355</v>
      </c>
      <c r="G133" s="8">
        <v>105070</v>
      </c>
    </row>
    <row r="134" spans="1:7">
      <c r="A134" s="8">
        <v>12958</v>
      </c>
      <c r="B134" s="7" t="s">
        <v>498</v>
      </c>
      <c r="C134" s="8">
        <v>606</v>
      </c>
      <c r="D134" s="7">
        <v>181</v>
      </c>
      <c r="E134" s="7">
        <v>181</v>
      </c>
      <c r="F134" s="7">
        <v>356</v>
      </c>
      <c r="G134" s="8">
        <v>103643</v>
      </c>
    </row>
    <row r="135" spans="1:7">
      <c r="A135" s="8">
        <v>12959</v>
      </c>
      <c r="B135" s="7" t="s">
        <v>267</v>
      </c>
      <c r="C135" s="8">
        <v>601</v>
      </c>
      <c r="D135" s="7">
        <v>1792</v>
      </c>
      <c r="E135" s="7">
        <v>1792</v>
      </c>
      <c r="F135" s="7">
        <v>380</v>
      </c>
      <c r="G135" s="8">
        <v>45126</v>
      </c>
    </row>
    <row r="136" spans="1:7">
      <c r="A136" s="8">
        <v>12960</v>
      </c>
      <c r="B136" s="7" t="s">
        <v>381</v>
      </c>
      <c r="C136" s="8">
        <v>601</v>
      </c>
      <c r="D136" s="7">
        <v>570</v>
      </c>
      <c r="E136" s="7">
        <v>570</v>
      </c>
      <c r="F136" s="7">
        <v>368</v>
      </c>
      <c r="G136" s="8">
        <v>72412</v>
      </c>
    </row>
    <row r="137" spans="1:7">
      <c r="A137" s="8">
        <v>12960</v>
      </c>
      <c r="B137" s="7" t="s">
        <v>381</v>
      </c>
      <c r="C137" s="8">
        <v>602</v>
      </c>
      <c r="D137" s="7">
        <v>90</v>
      </c>
      <c r="E137" s="7">
        <v>90</v>
      </c>
      <c r="F137" s="7">
        <v>360</v>
      </c>
      <c r="G137" s="8">
        <v>93377</v>
      </c>
    </row>
    <row r="138" spans="1:7">
      <c r="A138" s="8">
        <v>12961</v>
      </c>
      <c r="B138" s="7" t="s">
        <v>932</v>
      </c>
      <c r="C138" s="8">
        <v>601</v>
      </c>
      <c r="D138" s="7">
        <v>1478</v>
      </c>
      <c r="E138" s="7">
        <v>1478</v>
      </c>
      <c r="F138" s="7">
        <v>255</v>
      </c>
      <c r="G138" s="8">
        <v>299842</v>
      </c>
    </row>
    <row r="139" spans="1:7">
      <c r="A139" s="8">
        <v>12962</v>
      </c>
      <c r="B139" s="7" t="s">
        <v>691</v>
      </c>
      <c r="C139" s="8">
        <v>601</v>
      </c>
      <c r="D139" s="7">
        <v>2824</v>
      </c>
      <c r="E139" s="7">
        <v>2825</v>
      </c>
      <c r="F139" s="7">
        <v>347</v>
      </c>
      <c r="G139" s="8">
        <v>126347</v>
      </c>
    </row>
    <row r="140" spans="1:7">
      <c r="A140" s="8">
        <v>12962</v>
      </c>
      <c r="B140" s="7" t="s">
        <v>691</v>
      </c>
      <c r="C140" s="8">
        <v>602</v>
      </c>
      <c r="D140" s="7">
        <v>20</v>
      </c>
      <c r="E140" s="7">
        <v>20</v>
      </c>
      <c r="F140" s="7">
        <v>332</v>
      </c>
      <c r="G140" s="8">
        <v>158694</v>
      </c>
    </row>
    <row r="141" spans="1:7">
      <c r="A141" s="8">
        <v>12962</v>
      </c>
      <c r="B141" s="7" t="s">
        <v>691</v>
      </c>
      <c r="C141" s="8">
        <v>612</v>
      </c>
      <c r="D141" s="7">
        <v>35</v>
      </c>
      <c r="E141" s="7">
        <v>35</v>
      </c>
      <c r="F141" s="7">
        <v>347</v>
      </c>
      <c r="G141" s="8">
        <v>125185</v>
      </c>
    </row>
    <row r="142" spans="1:7">
      <c r="A142" s="8">
        <v>13707</v>
      </c>
      <c r="B142" s="7" t="s">
        <v>402</v>
      </c>
      <c r="C142" s="8">
        <v>609</v>
      </c>
      <c r="D142" s="7">
        <v>7</v>
      </c>
      <c r="E142" s="7">
        <v>7</v>
      </c>
      <c r="F142" s="7">
        <v>381</v>
      </c>
      <c r="G142" s="8">
        <v>41420</v>
      </c>
    </row>
    <row r="143" spans="1:7">
      <c r="A143" s="8">
        <v>13707</v>
      </c>
      <c r="B143" s="7" t="s">
        <v>402</v>
      </c>
      <c r="C143" s="8">
        <v>610</v>
      </c>
      <c r="D143" s="7">
        <v>119</v>
      </c>
      <c r="E143" s="7">
        <v>119</v>
      </c>
      <c r="F143" s="7">
        <v>360</v>
      </c>
      <c r="G143" s="8">
        <v>94465</v>
      </c>
    </row>
    <row r="144" spans="1:7">
      <c r="A144" s="8">
        <v>13707</v>
      </c>
      <c r="B144" s="7" t="s">
        <v>402</v>
      </c>
      <c r="C144" s="8">
        <v>616</v>
      </c>
      <c r="D144" s="7">
        <v>7</v>
      </c>
      <c r="E144" s="7">
        <v>7</v>
      </c>
      <c r="F144" s="7">
        <v>363</v>
      </c>
      <c r="G144" s="8">
        <v>87389</v>
      </c>
    </row>
    <row r="145" spans="1:7">
      <c r="A145" s="8">
        <v>13708</v>
      </c>
      <c r="B145" s="7" t="s">
        <v>411</v>
      </c>
      <c r="C145" s="8">
        <v>603</v>
      </c>
      <c r="D145" s="7">
        <v>40</v>
      </c>
      <c r="E145" s="7">
        <v>40</v>
      </c>
      <c r="F145" s="7">
        <v>360</v>
      </c>
      <c r="G145" s="8">
        <v>94324</v>
      </c>
    </row>
    <row r="146" spans="1:7">
      <c r="A146" s="8">
        <v>13709</v>
      </c>
      <c r="B146" s="7" t="s">
        <v>429</v>
      </c>
      <c r="C146" s="8">
        <v>601</v>
      </c>
      <c r="D146" s="7">
        <v>323</v>
      </c>
      <c r="E146" s="7">
        <v>323</v>
      </c>
      <c r="F146" s="7">
        <v>360</v>
      </c>
      <c r="G146" s="8">
        <v>93377</v>
      </c>
    </row>
    <row r="147" spans="1:7">
      <c r="A147" s="8">
        <v>13709</v>
      </c>
      <c r="B147" s="7" t="s">
        <v>429</v>
      </c>
      <c r="C147" s="8">
        <v>602</v>
      </c>
      <c r="D147" s="7">
        <v>123</v>
      </c>
      <c r="E147" s="7">
        <v>123</v>
      </c>
      <c r="F147" s="7">
        <v>356</v>
      </c>
      <c r="G147" s="8">
        <v>103798</v>
      </c>
    </row>
    <row r="148" spans="1:7">
      <c r="A148" s="8">
        <v>13709</v>
      </c>
      <c r="B148" s="7" t="s">
        <v>429</v>
      </c>
      <c r="C148" s="8">
        <v>603</v>
      </c>
      <c r="D148" s="7">
        <v>308</v>
      </c>
      <c r="E148" s="7">
        <v>308</v>
      </c>
      <c r="F148" s="7">
        <v>348</v>
      </c>
      <c r="G148" s="8">
        <v>123707</v>
      </c>
    </row>
    <row r="149" spans="1:7">
      <c r="A149" s="8">
        <v>13709</v>
      </c>
      <c r="B149" s="7" t="s">
        <v>429</v>
      </c>
      <c r="C149" s="8">
        <v>604</v>
      </c>
      <c r="D149" s="7">
        <v>30</v>
      </c>
      <c r="E149" s="7">
        <v>30</v>
      </c>
      <c r="F149" s="7">
        <v>315</v>
      </c>
      <c r="G149" s="8">
        <v>192021</v>
      </c>
    </row>
    <row r="150" spans="1:7">
      <c r="A150" s="8">
        <v>13709</v>
      </c>
      <c r="B150" s="7" t="s">
        <v>429</v>
      </c>
      <c r="C150" s="8">
        <v>605</v>
      </c>
      <c r="D150" s="7">
        <v>30</v>
      </c>
      <c r="E150" s="7">
        <v>30</v>
      </c>
      <c r="F150" s="7">
        <v>312</v>
      </c>
      <c r="G150" s="8">
        <v>198695</v>
      </c>
    </row>
    <row r="151" spans="1:7">
      <c r="A151" s="8">
        <v>13709</v>
      </c>
      <c r="B151" s="7" t="s">
        <v>429</v>
      </c>
      <c r="C151" s="8">
        <v>606</v>
      </c>
      <c r="D151" s="7">
        <v>20</v>
      </c>
      <c r="E151" s="7">
        <v>20</v>
      </c>
      <c r="F151" s="7">
        <v>305</v>
      </c>
      <c r="G151" s="8">
        <v>211240</v>
      </c>
    </row>
    <row r="152" spans="1:7">
      <c r="A152" s="8">
        <v>13710</v>
      </c>
      <c r="B152" s="7" t="s">
        <v>458</v>
      </c>
      <c r="C152" s="8">
        <v>603</v>
      </c>
      <c r="D152" s="7">
        <v>547</v>
      </c>
      <c r="E152" s="7">
        <v>547</v>
      </c>
      <c r="F152" s="7">
        <v>354</v>
      </c>
      <c r="G152" s="8">
        <v>108550</v>
      </c>
    </row>
    <row r="153" spans="1:7">
      <c r="A153" s="8">
        <v>13710</v>
      </c>
      <c r="B153" s="7" t="s">
        <v>458</v>
      </c>
      <c r="C153" s="8">
        <v>604</v>
      </c>
      <c r="D153" s="7">
        <v>150</v>
      </c>
      <c r="E153" s="7">
        <v>150</v>
      </c>
      <c r="F153" s="7">
        <v>349</v>
      </c>
      <c r="G153" s="8">
        <v>121330</v>
      </c>
    </row>
    <row r="154" spans="1:7">
      <c r="A154" s="8">
        <v>13711</v>
      </c>
      <c r="B154" s="7" t="s">
        <v>236</v>
      </c>
      <c r="C154" s="8">
        <v>601</v>
      </c>
      <c r="D154" s="7">
        <v>521</v>
      </c>
      <c r="E154" s="7">
        <v>521</v>
      </c>
      <c r="F154" s="7">
        <v>347</v>
      </c>
      <c r="G154" s="8">
        <v>125411</v>
      </c>
    </row>
    <row r="155" spans="1:7">
      <c r="A155" s="8">
        <v>13711</v>
      </c>
      <c r="B155" s="7" t="s">
        <v>236</v>
      </c>
      <c r="C155" s="8">
        <v>603</v>
      </c>
      <c r="D155" s="7">
        <v>18</v>
      </c>
      <c r="E155" s="7">
        <v>18</v>
      </c>
      <c r="F155" s="7">
        <v>362</v>
      </c>
      <c r="G155" s="8">
        <v>88202</v>
      </c>
    </row>
    <row r="156" spans="1:7">
      <c r="A156" s="8">
        <v>13711</v>
      </c>
      <c r="B156" s="7" t="s">
        <v>236</v>
      </c>
      <c r="C156" s="8">
        <v>604</v>
      </c>
      <c r="D156" s="7">
        <v>45</v>
      </c>
      <c r="E156" s="7">
        <v>45</v>
      </c>
      <c r="F156" s="7">
        <v>381</v>
      </c>
      <c r="G156" s="8">
        <v>41946</v>
      </c>
    </row>
    <row r="157" spans="1:7">
      <c r="A157" s="8">
        <v>13711</v>
      </c>
      <c r="B157" s="7" t="s">
        <v>236</v>
      </c>
      <c r="C157" s="8">
        <v>605</v>
      </c>
      <c r="D157" s="7">
        <v>50</v>
      </c>
      <c r="E157" s="7">
        <v>50</v>
      </c>
      <c r="F157" s="7">
        <v>380</v>
      </c>
      <c r="G157" s="8">
        <v>44650</v>
      </c>
    </row>
    <row r="158" spans="1:7">
      <c r="A158" s="8">
        <v>13711</v>
      </c>
      <c r="B158" s="7" t="s">
        <v>236</v>
      </c>
      <c r="C158" s="8">
        <v>606</v>
      </c>
      <c r="D158" s="7">
        <v>15</v>
      </c>
      <c r="E158" s="7">
        <v>15</v>
      </c>
      <c r="F158" s="7">
        <v>349</v>
      </c>
      <c r="G158" s="8">
        <v>121556</v>
      </c>
    </row>
    <row r="159" spans="1:7">
      <c r="A159" s="8">
        <v>13711</v>
      </c>
      <c r="B159" s="7" t="s">
        <v>236</v>
      </c>
      <c r="C159" s="8">
        <v>607</v>
      </c>
      <c r="D159" s="7">
        <v>757</v>
      </c>
      <c r="E159" s="7">
        <v>757</v>
      </c>
      <c r="F159" s="7">
        <v>348</v>
      </c>
      <c r="G159" s="8">
        <v>122419</v>
      </c>
    </row>
    <row r="160" spans="1:7">
      <c r="A160" s="8">
        <v>13711</v>
      </c>
      <c r="B160" s="7" t="s">
        <v>236</v>
      </c>
      <c r="C160" s="8">
        <v>611</v>
      </c>
      <c r="D160" s="7">
        <v>20</v>
      </c>
      <c r="E160" s="7">
        <v>20</v>
      </c>
      <c r="F160" s="7">
        <v>381</v>
      </c>
      <c r="G160" s="8">
        <v>40664</v>
      </c>
    </row>
    <row r="161" spans="1:7">
      <c r="A161" s="8">
        <v>13712</v>
      </c>
      <c r="B161" s="7" t="s">
        <v>600</v>
      </c>
      <c r="C161" s="8">
        <v>601</v>
      </c>
      <c r="D161" s="7">
        <v>110</v>
      </c>
      <c r="E161" s="7">
        <v>110</v>
      </c>
      <c r="F161" s="7">
        <v>334</v>
      </c>
      <c r="G161" s="8">
        <v>153077</v>
      </c>
    </row>
    <row r="162" spans="1:7">
      <c r="A162" s="8">
        <v>13712</v>
      </c>
      <c r="B162" s="7" t="s">
        <v>600</v>
      </c>
      <c r="C162" s="8">
        <v>602</v>
      </c>
      <c r="D162" s="7">
        <v>170</v>
      </c>
      <c r="E162" s="7">
        <v>170</v>
      </c>
      <c r="F162" s="7">
        <v>334</v>
      </c>
      <c r="G162" s="8">
        <v>153195</v>
      </c>
    </row>
    <row r="163" spans="1:7">
      <c r="A163" s="8">
        <v>13712</v>
      </c>
      <c r="B163" s="7" t="s">
        <v>600</v>
      </c>
      <c r="C163" s="8">
        <v>603</v>
      </c>
      <c r="D163" s="7">
        <v>155</v>
      </c>
      <c r="E163" s="7">
        <v>155</v>
      </c>
      <c r="F163" s="7">
        <v>342</v>
      </c>
      <c r="G163" s="8">
        <v>136089</v>
      </c>
    </row>
    <row r="164" spans="1:7">
      <c r="A164" s="8">
        <v>13712</v>
      </c>
      <c r="B164" s="7" t="s">
        <v>600</v>
      </c>
      <c r="C164" s="8">
        <v>604</v>
      </c>
      <c r="D164" s="7">
        <v>165</v>
      </c>
      <c r="E164" s="7">
        <v>165</v>
      </c>
      <c r="F164" s="7">
        <v>344</v>
      </c>
      <c r="G164" s="8">
        <v>131308</v>
      </c>
    </row>
    <row r="165" spans="1:7">
      <c r="A165" s="8">
        <v>13712</v>
      </c>
      <c r="B165" s="7" t="s">
        <v>600</v>
      </c>
      <c r="C165" s="8">
        <v>605</v>
      </c>
      <c r="D165" s="7">
        <v>275</v>
      </c>
      <c r="E165" s="7">
        <v>275</v>
      </c>
      <c r="F165" s="7">
        <v>340</v>
      </c>
      <c r="G165" s="8">
        <v>141709</v>
      </c>
    </row>
    <row r="166" spans="1:7">
      <c r="A166" s="8">
        <v>13712</v>
      </c>
      <c r="B166" s="7" t="s">
        <v>600</v>
      </c>
      <c r="C166" s="8">
        <v>606</v>
      </c>
      <c r="D166" s="7">
        <v>205</v>
      </c>
      <c r="E166" s="7">
        <v>205</v>
      </c>
      <c r="F166" s="7">
        <v>332</v>
      </c>
      <c r="G166" s="8">
        <v>158051</v>
      </c>
    </row>
    <row r="167" spans="1:7">
      <c r="A167" s="8">
        <v>13712</v>
      </c>
      <c r="B167" s="7" t="s">
        <v>600</v>
      </c>
      <c r="C167" s="8">
        <v>607</v>
      </c>
      <c r="D167" s="7">
        <v>145</v>
      </c>
      <c r="E167" s="7">
        <v>145</v>
      </c>
      <c r="F167" s="7">
        <v>330</v>
      </c>
      <c r="G167" s="8">
        <v>162014</v>
      </c>
    </row>
    <row r="168" spans="1:7">
      <c r="A168" s="8">
        <v>13712</v>
      </c>
      <c r="B168" s="7" t="s">
        <v>600</v>
      </c>
      <c r="C168" s="8">
        <v>608</v>
      </c>
      <c r="D168" s="7">
        <v>129</v>
      </c>
      <c r="E168" s="7">
        <v>129</v>
      </c>
      <c r="F168" s="7">
        <v>330</v>
      </c>
      <c r="G168" s="8">
        <v>163035</v>
      </c>
    </row>
    <row r="169" spans="1:7">
      <c r="A169" s="8">
        <v>13713</v>
      </c>
      <c r="B169" s="7" t="s">
        <v>288</v>
      </c>
      <c r="C169" s="8">
        <v>601</v>
      </c>
      <c r="D169" s="7">
        <v>772</v>
      </c>
      <c r="E169" s="7">
        <v>773</v>
      </c>
      <c r="F169" s="7">
        <v>377</v>
      </c>
      <c r="G169" s="8">
        <v>50061</v>
      </c>
    </row>
    <row r="170" spans="1:7">
      <c r="A170" s="8">
        <v>13713</v>
      </c>
      <c r="B170" s="7" t="s">
        <v>288</v>
      </c>
      <c r="C170" s="8">
        <v>602</v>
      </c>
      <c r="D170" s="7">
        <v>538</v>
      </c>
      <c r="E170" s="7">
        <v>538</v>
      </c>
      <c r="F170" s="7">
        <v>375</v>
      </c>
      <c r="G170" s="8">
        <v>56100</v>
      </c>
    </row>
    <row r="171" spans="1:7">
      <c r="A171" s="8">
        <v>13713</v>
      </c>
      <c r="B171" s="7" t="s">
        <v>288</v>
      </c>
      <c r="C171" s="8">
        <v>603</v>
      </c>
      <c r="D171" s="7">
        <v>24</v>
      </c>
      <c r="E171" s="7">
        <v>24</v>
      </c>
      <c r="F171" s="7">
        <v>371</v>
      </c>
      <c r="G171" s="8">
        <v>66081</v>
      </c>
    </row>
    <row r="172" spans="1:7">
      <c r="A172" s="8">
        <v>13715</v>
      </c>
      <c r="B172" s="7" t="s">
        <v>834</v>
      </c>
      <c r="C172" s="8">
        <v>601</v>
      </c>
      <c r="D172" s="7">
        <v>567</v>
      </c>
      <c r="E172" s="7">
        <v>567</v>
      </c>
      <c r="F172" s="7">
        <v>266</v>
      </c>
      <c r="G172" s="8">
        <v>282852</v>
      </c>
    </row>
    <row r="173" spans="1:7">
      <c r="A173" s="8">
        <v>13715</v>
      </c>
      <c r="B173" s="7" t="s">
        <v>834</v>
      </c>
      <c r="C173" s="8">
        <v>602</v>
      </c>
      <c r="D173" s="7">
        <v>105</v>
      </c>
      <c r="E173" s="7">
        <v>105</v>
      </c>
      <c r="F173" s="7">
        <v>239</v>
      </c>
      <c r="G173" s="8">
        <v>321050</v>
      </c>
    </row>
    <row r="174" spans="1:7">
      <c r="A174" s="8">
        <v>13715</v>
      </c>
      <c r="B174" s="7" t="s">
        <v>834</v>
      </c>
      <c r="C174" s="8">
        <v>603</v>
      </c>
      <c r="D174" s="7">
        <v>60</v>
      </c>
      <c r="E174" s="7">
        <v>60</v>
      </c>
      <c r="F174" s="7">
        <v>277</v>
      </c>
      <c r="G174" s="8">
        <v>262638</v>
      </c>
    </row>
    <row r="175" spans="1:7">
      <c r="A175" s="8">
        <v>13715</v>
      </c>
      <c r="B175" s="7" t="s">
        <v>834</v>
      </c>
      <c r="C175" s="8">
        <v>604</v>
      </c>
      <c r="D175" s="7">
        <v>60</v>
      </c>
      <c r="E175" s="7">
        <v>60</v>
      </c>
      <c r="F175" s="7">
        <v>193</v>
      </c>
      <c r="G175" s="8">
        <v>367907</v>
      </c>
    </row>
    <row r="176" spans="1:7">
      <c r="A176" s="8">
        <v>13715</v>
      </c>
      <c r="B176" s="7" t="s">
        <v>834</v>
      </c>
      <c r="C176" s="8">
        <v>605</v>
      </c>
      <c r="D176" s="7">
        <v>35</v>
      </c>
      <c r="E176" s="7">
        <v>35</v>
      </c>
      <c r="F176" s="7">
        <v>204</v>
      </c>
      <c r="G176" s="8">
        <v>358449</v>
      </c>
    </row>
    <row r="177" spans="1:7">
      <c r="A177" s="8">
        <v>13716</v>
      </c>
      <c r="B177" s="7" t="s">
        <v>980</v>
      </c>
      <c r="C177" s="8">
        <v>601</v>
      </c>
      <c r="D177" s="7">
        <v>2920</v>
      </c>
      <c r="E177" s="7">
        <v>2920</v>
      </c>
      <c r="F177" s="7">
        <v>230</v>
      </c>
      <c r="G177" s="8">
        <v>332379</v>
      </c>
    </row>
    <row r="178" spans="1:7">
      <c r="A178" s="8">
        <v>13716</v>
      </c>
      <c r="B178" s="7" t="s">
        <v>980</v>
      </c>
      <c r="C178" s="8">
        <v>604</v>
      </c>
      <c r="D178" s="7">
        <v>100</v>
      </c>
      <c r="E178" s="7">
        <v>100</v>
      </c>
      <c r="F178" s="7">
        <v>203</v>
      </c>
      <c r="G178" s="8">
        <v>359512</v>
      </c>
    </row>
    <row r="179" spans="1:7">
      <c r="A179" s="8">
        <v>13717</v>
      </c>
      <c r="B179" s="7" t="s">
        <v>765</v>
      </c>
      <c r="C179" s="8">
        <v>601</v>
      </c>
      <c r="D179" s="7">
        <v>291</v>
      </c>
      <c r="E179" s="7">
        <v>291</v>
      </c>
      <c r="F179" s="7">
        <v>317</v>
      </c>
      <c r="G179" s="8">
        <v>188638</v>
      </c>
    </row>
    <row r="180" spans="1:7">
      <c r="A180" s="8">
        <v>13717</v>
      </c>
      <c r="B180" s="7" t="s">
        <v>765</v>
      </c>
      <c r="C180" s="8">
        <v>602</v>
      </c>
      <c r="D180" s="7">
        <v>35</v>
      </c>
      <c r="E180" s="7">
        <v>35</v>
      </c>
      <c r="F180" s="7">
        <v>271</v>
      </c>
      <c r="G180" s="8">
        <v>273774</v>
      </c>
    </row>
    <row r="181" spans="1:7">
      <c r="A181" s="8">
        <v>13717</v>
      </c>
      <c r="B181" s="7" t="s">
        <v>765</v>
      </c>
      <c r="C181" s="8">
        <v>603</v>
      </c>
      <c r="D181" s="7">
        <v>30</v>
      </c>
      <c r="E181" s="7">
        <v>30</v>
      </c>
      <c r="F181" s="7">
        <v>225</v>
      </c>
      <c r="G181" s="8">
        <v>337521</v>
      </c>
    </row>
    <row r="182" spans="1:7">
      <c r="A182" s="8">
        <v>13718</v>
      </c>
      <c r="B182" s="7" t="s">
        <v>871</v>
      </c>
      <c r="C182" s="8">
        <v>603</v>
      </c>
      <c r="D182" s="7">
        <v>763</v>
      </c>
      <c r="E182" s="7">
        <v>763</v>
      </c>
      <c r="F182" s="7">
        <v>291</v>
      </c>
      <c r="G182" s="8">
        <v>238550</v>
      </c>
    </row>
    <row r="183" spans="1:7">
      <c r="A183" s="8">
        <v>13718</v>
      </c>
      <c r="B183" s="7" t="s">
        <v>871</v>
      </c>
      <c r="C183" s="8">
        <v>604</v>
      </c>
      <c r="D183" s="7">
        <v>15</v>
      </c>
      <c r="E183" s="7">
        <v>15</v>
      </c>
      <c r="F183" s="7">
        <v>248</v>
      </c>
      <c r="G183" s="8">
        <v>309033</v>
      </c>
    </row>
    <row r="184" spans="1:7">
      <c r="A184" s="8">
        <v>13720</v>
      </c>
      <c r="B184" s="7" t="s">
        <v>1088</v>
      </c>
      <c r="C184" s="8">
        <v>601</v>
      </c>
      <c r="D184" s="7">
        <v>50</v>
      </c>
      <c r="E184" s="7">
        <v>50</v>
      </c>
      <c r="F184" s="7">
        <v>325</v>
      </c>
      <c r="G184" s="8">
        <v>172182</v>
      </c>
    </row>
    <row r="185" spans="1:7">
      <c r="A185" s="8">
        <v>13721</v>
      </c>
      <c r="B185" s="7" t="s">
        <v>826</v>
      </c>
      <c r="C185" s="8">
        <v>601</v>
      </c>
      <c r="D185" s="7">
        <v>513</v>
      </c>
      <c r="E185" s="7">
        <v>513</v>
      </c>
      <c r="F185" s="7">
        <v>252</v>
      </c>
      <c r="G185" s="8">
        <v>303402</v>
      </c>
    </row>
    <row r="186" spans="1:7">
      <c r="A186" s="8">
        <v>13721</v>
      </c>
      <c r="B186" s="7" t="s">
        <v>826</v>
      </c>
      <c r="C186" s="8">
        <v>602</v>
      </c>
      <c r="D186" s="7">
        <v>65</v>
      </c>
      <c r="E186" s="7">
        <v>65</v>
      </c>
      <c r="F186" s="7">
        <v>227</v>
      </c>
      <c r="G186" s="8">
        <v>335295</v>
      </c>
    </row>
    <row r="187" spans="1:7">
      <c r="A187" s="8">
        <v>13810</v>
      </c>
      <c r="B187" s="10" t="s">
        <v>144</v>
      </c>
      <c r="C187" s="8">
        <v>601</v>
      </c>
      <c r="D187" s="7">
        <v>2100</v>
      </c>
      <c r="E187" s="7">
        <v>2100</v>
      </c>
      <c r="F187" s="7">
        <v>389</v>
      </c>
      <c r="G187" s="8">
        <v>24265</v>
      </c>
    </row>
    <row r="188" spans="1:7">
      <c r="A188" s="8">
        <v>13912</v>
      </c>
      <c r="B188" s="7" t="s">
        <v>817</v>
      </c>
      <c r="C188" s="8">
        <v>601</v>
      </c>
      <c r="D188" s="7">
        <v>501</v>
      </c>
      <c r="E188" s="7">
        <v>501</v>
      </c>
      <c r="F188" s="7">
        <v>275</v>
      </c>
      <c r="G188" s="8">
        <v>266645</v>
      </c>
    </row>
    <row r="189" spans="1:7">
      <c r="A189" s="8">
        <v>13919</v>
      </c>
      <c r="B189" s="7" t="s">
        <v>348</v>
      </c>
      <c r="C189" s="8">
        <v>601</v>
      </c>
      <c r="D189" s="7">
        <v>550</v>
      </c>
      <c r="E189" s="7">
        <v>550</v>
      </c>
      <c r="F189" s="7">
        <v>370</v>
      </c>
      <c r="G189" s="8">
        <v>68945</v>
      </c>
    </row>
    <row r="190" spans="1:7">
      <c r="A190" s="8">
        <v>13919</v>
      </c>
      <c r="B190" s="7" t="s">
        <v>348</v>
      </c>
      <c r="C190" s="8">
        <v>602</v>
      </c>
      <c r="D190" s="7">
        <v>450</v>
      </c>
      <c r="E190" s="7">
        <v>450</v>
      </c>
      <c r="F190" s="7">
        <v>364</v>
      </c>
      <c r="G190" s="8">
        <v>83288</v>
      </c>
    </row>
    <row r="191" spans="1:7">
      <c r="A191" s="8">
        <v>13919</v>
      </c>
      <c r="B191" s="7" t="s">
        <v>348</v>
      </c>
      <c r="C191" s="8">
        <v>603</v>
      </c>
      <c r="D191" s="7">
        <v>270</v>
      </c>
      <c r="E191" s="7">
        <v>270</v>
      </c>
      <c r="F191" s="7">
        <v>364</v>
      </c>
      <c r="G191" s="8">
        <v>84930</v>
      </c>
    </row>
    <row r="192" spans="1:7">
      <c r="A192" s="8">
        <v>13919</v>
      </c>
      <c r="B192" s="7" t="s">
        <v>348</v>
      </c>
      <c r="C192" s="8">
        <v>604</v>
      </c>
      <c r="D192" s="7">
        <v>295</v>
      </c>
      <c r="E192" s="7">
        <v>295</v>
      </c>
      <c r="F192" s="7">
        <v>368</v>
      </c>
      <c r="G192" s="8">
        <v>73366</v>
      </c>
    </row>
    <row r="193" spans="1:7">
      <c r="A193" s="8">
        <v>13919</v>
      </c>
      <c r="B193" s="7" t="s">
        <v>348</v>
      </c>
      <c r="C193" s="8">
        <v>605</v>
      </c>
      <c r="D193" s="7">
        <v>110</v>
      </c>
      <c r="E193" s="7">
        <v>110</v>
      </c>
      <c r="F193" s="7">
        <v>363</v>
      </c>
      <c r="G193" s="8">
        <v>86976</v>
      </c>
    </row>
    <row r="194" spans="1:7">
      <c r="A194" s="8">
        <v>13919</v>
      </c>
      <c r="B194" s="7" t="s">
        <v>348</v>
      </c>
      <c r="C194" s="8">
        <v>606</v>
      </c>
      <c r="D194" s="7">
        <v>300</v>
      </c>
      <c r="E194" s="7">
        <v>300</v>
      </c>
      <c r="F194" s="7">
        <v>350</v>
      </c>
      <c r="G194" s="8">
        <v>117902</v>
      </c>
    </row>
    <row r="195" spans="1:7">
      <c r="A195" s="8">
        <v>13927</v>
      </c>
      <c r="B195" s="7" t="s">
        <v>961</v>
      </c>
      <c r="C195" s="8">
        <v>601</v>
      </c>
      <c r="D195" s="7">
        <v>2960</v>
      </c>
      <c r="E195" s="7">
        <v>2960</v>
      </c>
      <c r="F195" s="7">
        <v>232</v>
      </c>
      <c r="G195" s="8">
        <v>329093</v>
      </c>
    </row>
    <row r="196" spans="1:7">
      <c r="A196" s="8">
        <v>13928</v>
      </c>
      <c r="B196" s="7" t="s">
        <v>807</v>
      </c>
      <c r="C196" s="8">
        <v>601</v>
      </c>
      <c r="D196" s="7">
        <v>2249</v>
      </c>
      <c r="E196" s="7">
        <v>2249</v>
      </c>
      <c r="F196" s="7">
        <v>266</v>
      </c>
      <c r="G196" s="8">
        <v>282280</v>
      </c>
    </row>
    <row r="197" spans="1:7">
      <c r="A197" s="8">
        <v>13929</v>
      </c>
      <c r="B197" s="7" t="s">
        <v>338</v>
      </c>
      <c r="C197" s="8">
        <v>601</v>
      </c>
      <c r="D197" s="7">
        <v>1850</v>
      </c>
      <c r="E197" s="7">
        <v>1850</v>
      </c>
      <c r="F197" s="7">
        <v>369</v>
      </c>
      <c r="G197" s="8">
        <v>71332</v>
      </c>
    </row>
    <row r="198" spans="1:7">
      <c r="A198" s="8">
        <v>13930</v>
      </c>
      <c r="B198" s="7" t="s">
        <v>525</v>
      </c>
      <c r="C198" s="8">
        <v>601</v>
      </c>
      <c r="D198" s="7">
        <v>3480</v>
      </c>
      <c r="E198" s="7">
        <v>3480</v>
      </c>
      <c r="F198" s="7">
        <v>350</v>
      </c>
      <c r="G198" s="8">
        <v>117855</v>
      </c>
    </row>
    <row r="199" spans="1:7">
      <c r="A199" s="8">
        <v>13930</v>
      </c>
      <c r="B199" s="7" t="s">
        <v>525</v>
      </c>
      <c r="C199" s="8">
        <v>602</v>
      </c>
      <c r="D199" s="7">
        <v>70</v>
      </c>
      <c r="E199" s="7">
        <v>70</v>
      </c>
      <c r="F199" s="7">
        <v>329</v>
      </c>
      <c r="G199" s="8">
        <v>163529</v>
      </c>
    </row>
    <row r="200" spans="1:7">
      <c r="A200" s="8">
        <v>13943</v>
      </c>
      <c r="B200" s="7" t="s">
        <v>212</v>
      </c>
      <c r="C200" s="8">
        <v>601</v>
      </c>
      <c r="D200" s="7">
        <v>315</v>
      </c>
      <c r="E200" s="7">
        <v>315</v>
      </c>
      <c r="F200" s="7">
        <v>382</v>
      </c>
      <c r="G200" s="8">
        <v>38901</v>
      </c>
    </row>
    <row r="201" spans="1:7">
      <c r="A201" s="8">
        <v>13943</v>
      </c>
      <c r="B201" s="7" t="s">
        <v>212</v>
      </c>
      <c r="C201" s="8">
        <v>602</v>
      </c>
      <c r="D201" s="7">
        <v>226</v>
      </c>
      <c r="E201" s="7">
        <v>226</v>
      </c>
      <c r="F201" s="7">
        <v>384</v>
      </c>
      <c r="G201" s="8">
        <v>34063</v>
      </c>
    </row>
    <row r="202" spans="1:7">
      <c r="A202" s="8">
        <v>13943</v>
      </c>
      <c r="B202" s="7" t="s">
        <v>212</v>
      </c>
      <c r="C202" s="8">
        <v>603</v>
      </c>
      <c r="D202" s="7">
        <v>303</v>
      </c>
      <c r="E202" s="7">
        <v>303</v>
      </c>
      <c r="F202" s="7">
        <v>380</v>
      </c>
      <c r="G202" s="8">
        <v>44360</v>
      </c>
    </row>
    <row r="203" spans="1:7">
      <c r="A203" s="8">
        <v>13943</v>
      </c>
      <c r="B203" s="7" t="s">
        <v>212</v>
      </c>
      <c r="C203" s="8">
        <v>604</v>
      </c>
      <c r="D203" s="7">
        <v>27</v>
      </c>
      <c r="E203" s="7">
        <v>27</v>
      </c>
      <c r="F203" s="7">
        <v>372</v>
      </c>
      <c r="G203" s="8">
        <v>63003</v>
      </c>
    </row>
    <row r="204" spans="1:7">
      <c r="A204" s="8">
        <v>14063</v>
      </c>
      <c r="B204" s="7" t="s">
        <v>534</v>
      </c>
      <c r="C204" s="8">
        <v>601</v>
      </c>
      <c r="D204" s="7">
        <v>3236</v>
      </c>
      <c r="E204" s="7">
        <v>3236</v>
      </c>
      <c r="F204" s="7">
        <v>362</v>
      </c>
      <c r="G204" s="8">
        <v>87889</v>
      </c>
    </row>
    <row r="205" spans="1:7">
      <c r="A205" s="8">
        <v>14063</v>
      </c>
      <c r="B205" s="7" t="s">
        <v>534</v>
      </c>
      <c r="C205" s="8">
        <v>602</v>
      </c>
      <c r="D205" s="7">
        <v>50</v>
      </c>
      <c r="E205" s="7">
        <v>50</v>
      </c>
      <c r="F205" s="7">
        <v>325</v>
      </c>
      <c r="G205" s="8">
        <v>172844</v>
      </c>
    </row>
    <row r="206" spans="1:7">
      <c r="A206" s="8">
        <v>14065</v>
      </c>
      <c r="B206" s="7" t="s">
        <v>310</v>
      </c>
      <c r="C206" s="8">
        <v>601</v>
      </c>
      <c r="D206" s="7">
        <v>590</v>
      </c>
      <c r="E206" s="7">
        <v>590</v>
      </c>
      <c r="F206" s="7">
        <v>366</v>
      </c>
      <c r="G206" s="8">
        <v>78010</v>
      </c>
    </row>
    <row r="207" spans="1:7">
      <c r="A207" s="8">
        <v>14065</v>
      </c>
      <c r="B207" s="7" t="s">
        <v>310</v>
      </c>
      <c r="C207" s="8">
        <v>602</v>
      </c>
      <c r="D207" s="7">
        <v>50</v>
      </c>
      <c r="E207" s="7">
        <v>50</v>
      </c>
      <c r="F207" s="7">
        <v>371</v>
      </c>
      <c r="G207" s="8">
        <v>66320</v>
      </c>
    </row>
    <row r="208" spans="1:7">
      <c r="A208" s="8">
        <v>14065</v>
      </c>
      <c r="B208" s="7" t="s">
        <v>310</v>
      </c>
      <c r="C208" s="8">
        <v>603</v>
      </c>
      <c r="D208" s="7">
        <v>50</v>
      </c>
      <c r="E208" s="7">
        <v>50</v>
      </c>
      <c r="F208" s="7">
        <v>374</v>
      </c>
      <c r="G208" s="8">
        <v>59720</v>
      </c>
    </row>
    <row r="209" spans="1:7">
      <c r="A209" s="8">
        <v>14065</v>
      </c>
      <c r="B209" s="7" t="s">
        <v>310</v>
      </c>
      <c r="C209" s="8">
        <v>604</v>
      </c>
      <c r="D209" s="7">
        <v>200</v>
      </c>
      <c r="E209" s="7">
        <v>200</v>
      </c>
      <c r="F209" s="7">
        <v>374</v>
      </c>
      <c r="G209" s="8">
        <v>58286</v>
      </c>
    </row>
    <row r="210" spans="1:7">
      <c r="A210" s="8">
        <v>14065</v>
      </c>
      <c r="B210" s="7" t="s">
        <v>310</v>
      </c>
      <c r="C210" s="8">
        <v>605</v>
      </c>
      <c r="D210" s="7">
        <v>260</v>
      </c>
      <c r="E210" s="7">
        <v>260</v>
      </c>
      <c r="F210" s="7">
        <v>373</v>
      </c>
      <c r="G210" s="8">
        <v>60186</v>
      </c>
    </row>
    <row r="211" spans="1:7">
      <c r="A211" s="8">
        <v>14065</v>
      </c>
      <c r="B211" s="7" t="s">
        <v>310</v>
      </c>
      <c r="C211" s="8">
        <v>614</v>
      </c>
      <c r="D211" s="7">
        <v>50</v>
      </c>
      <c r="E211" s="7">
        <v>50</v>
      </c>
      <c r="F211" s="7">
        <v>364</v>
      </c>
      <c r="G211" s="8">
        <v>82738</v>
      </c>
    </row>
    <row r="212" spans="1:7">
      <c r="A212" s="8">
        <v>14066</v>
      </c>
      <c r="B212" s="7" t="s">
        <v>223</v>
      </c>
      <c r="C212" s="8">
        <v>601</v>
      </c>
      <c r="D212" s="7">
        <v>80</v>
      </c>
      <c r="E212" s="7">
        <v>80</v>
      </c>
      <c r="F212" s="7">
        <v>385</v>
      </c>
      <c r="G212" s="8">
        <v>33194</v>
      </c>
    </row>
    <row r="213" spans="1:7">
      <c r="A213" s="8">
        <v>14066</v>
      </c>
      <c r="B213" s="7" t="s">
        <v>223</v>
      </c>
      <c r="C213" s="8">
        <v>602</v>
      </c>
      <c r="D213" s="7">
        <v>140</v>
      </c>
      <c r="E213" s="7">
        <v>140</v>
      </c>
      <c r="F213" s="7">
        <v>382</v>
      </c>
      <c r="G213" s="8">
        <v>39176</v>
      </c>
    </row>
    <row r="214" spans="1:7">
      <c r="A214" s="8">
        <v>14066</v>
      </c>
      <c r="B214" s="7" t="s">
        <v>223</v>
      </c>
      <c r="C214" s="8">
        <v>603</v>
      </c>
      <c r="D214" s="7">
        <v>20</v>
      </c>
      <c r="E214" s="7">
        <v>20</v>
      </c>
      <c r="F214" s="7">
        <v>385</v>
      </c>
      <c r="G214" s="8">
        <v>32379</v>
      </c>
    </row>
    <row r="215" spans="1:7">
      <c r="A215" s="8">
        <v>14066</v>
      </c>
      <c r="B215" s="7" t="s">
        <v>223</v>
      </c>
      <c r="C215" s="8">
        <v>604</v>
      </c>
      <c r="D215" s="7">
        <v>116</v>
      </c>
      <c r="E215" s="7">
        <v>116</v>
      </c>
      <c r="F215" s="7">
        <v>380</v>
      </c>
      <c r="G215" s="8">
        <v>44360</v>
      </c>
    </row>
    <row r="216" spans="1:7">
      <c r="A216" s="8">
        <v>14066</v>
      </c>
      <c r="B216" s="7" t="s">
        <v>223</v>
      </c>
      <c r="C216" s="8">
        <v>605</v>
      </c>
      <c r="D216" s="7">
        <v>30</v>
      </c>
      <c r="E216" s="7">
        <v>30</v>
      </c>
      <c r="F216" s="7">
        <v>384</v>
      </c>
      <c r="G216" s="8">
        <v>35632</v>
      </c>
    </row>
    <row r="217" spans="1:7">
      <c r="A217" s="8">
        <v>14066</v>
      </c>
      <c r="B217" s="7" t="s">
        <v>223</v>
      </c>
      <c r="C217" s="8">
        <v>606</v>
      </c>
      <c r="D217" s="7">
        <v>20</v>
      </c>
      <c r="E217" s="7">
        <v>20</v>
      </c>
      <c r="F217" s="7">
        <v>382</v>
      </c>
      <c r="G217" s="8">
        <v>39465</v>
      </c>
    </row>
    <row r="218" spans="1:7">
      <c r="A218" s="8">
        <v>14066</v>
      </c>
      <c r="B218" s="7" t="s">
        <v>223</v>
      </c>
      <c r="C218" s="8">
        <v>607</v>
      </c>
      <c r="D218" s="7">
        <v>44</v>
      </c>
      <c r="E218" s="7">
        <v>44</v>
      </c>
      <c r="F218" s="7">
        <v>312</v>
      </c>
      <c r="G218" s="8">
        <v>198202</v>
      </c>
    </row>
    <row r="219" spans="1:7">
      <c r="A219" s="8">
        <v>14123</v>
      </c>
      <c r="B219" s="7" t="s">
        <v>881</v>
      </c>
      <c r="C219" s="8">
        <v>601</v>
      </c>
      <c r="D219" s="7">
        <v>650</v>
      </c>
      <c r="E219" s="7">
        <v>650</v>
      </c>
      <c r="F219" s="7">
        <v>287</v>
      </c>
      <c r="G219" s="8">
        <v>244636</v>
      </c>
    </row>
    <row r="220" spans="1:7">
      <c r="A220" s="8">
        <v>14125</v>
      </c>
      <c r="B220" s="7" t="s">
        <v>843</v>
      </c>
      <c r="C220" s="8">
        <v>603</v>
      </c>
      <c r="D220" s="7">
        <v>2505</v>
      </c>
      <c r="E220" s="7">
        <v>2506</v>
      </c>
      <c r="F220" s="7">
        <v>268</v>
      </c>
      <c r="G220" s="8">
        <v>279226</v>
      </c>
    </row>
    <row r="221" spans="1:7">
      <c r="A221" s="8">
        <v>14125</v>
      </c>
      <c r="B221" s="7" t="s">
        <v>843</v>
      </c>
      <c r="C221" s="8">
        <v>604</v>
      </c>
      <c r="D221" s="7">
        <v>20</v>
      </c>
      <c r="E221" s="7">
        <v>20</v>
      </c>
      <c r="F221" s="7">
        <v>231</v>
      </c>
      <c r="G221" s="8">
        <v>330685</v>
      </c>
    </row>
    <row r="222" spans="1:7">
      <c r="A222" s="8">
        <v>14126</v>
      </c>
      <c r="B222" s="7" t="s">
        <v>998</v>
      </c>
      <c r="C222" s="8">
        <v>601</v>
      </c>
      <c r="D222" s="7">
        <v>1690</v>
      </c>
      <c r="E222" s="7">
        <v>1690</v>
      </c>
      <c r="F222" s="7">
        <v>217</v>
      </c>
      <c r="G222" s="8">
        <v>346206</v>
      </c>
    </row>
    <row r="223" spans="1:7">
      <c r="A223" s="8">
        <v>14136</v>
      </c>
      <c r="B223" s="7" t="s">
        <v>796</v>
      </c>
      <c r="C223" s="8">
        <v>601</v>
      </c>
      <c r="D223" s="7">
        <v>2750</v>
      </c>
      <c r="E223" s="7">
        <v>2750</v>
      </c>
      <c r="F223" s="7">
        <v>311</v>
      </c>
      <c r="G223" s="8">
        <v>199628</v>
      </c>
    </row>
    <row r="224" spans="1:7">
      <c r="A224" s="8">
        <v>14136</v>
      </c>
      <c r="B224" s="7" t="s">
        <v>796</v>
      </c>
      <c r="C224" s="8">
        <v>605</v>
      </c>
      <c r="D224" s="7">
        <v>540</v>
      </c>
      <c r="E224" s="7">
        <v>540</v>
      </c>
      <c r="F224" s="7">
        <v>286</v>
      </c>
      <c r="G224" s="8">
        <v>247391</v>
      </c>
    </row>
    <row r="225" spans="1:7">
      <c r="A225" s="8">
        <v>14263</v>
      </c>
      <c r="B225" s="7" t="s">
        <v>254</v>
      </c>
      <c r="C225" s="8">
        <v>601</v>
      </c>
      <c r="D225" s="7">
        <v>80</v>
      </c>
      <c r="E225" s="7">
        <v>80</v>
      </c>
      <c r="F225" s="7">
        <v>369</v>
      </c>
      <c r="G225" s="8">
        <v>71422</v>
      </c>
    </row>
    <row r="226" spans="1:7">
      <c r="A226" s="8">
        <v>14263</v>
      </c>
      <c r="B226" s="7" t="s">
        <v>254</v>
      </c>
      <c r="C226" s="8">
        <v>602</v>
      </c>
      <c r="D226" s="7">
        <v>410</v>
      </c>
      <c r="E226" s="7">
        <v>410</v>
      </c>
      <c r="F226" s="7">
        <v>382</v>
      </c>
      <c r="G226" s="8">
        <v>40043</v>
      </c>
    </row>
    <row r="227" spans="1:7">
      <c r="A227" s="8">
        <v>14263</v>
      </c>
      <c r="B227" s="7" t="s">
        <v>254</v>
      </c>
      <c r="C227" s="8">
        <v>603</v>
      </c>
      <c r="D227" s="7">
        <v>750</v>
      </c>
      <c r="E227" s="7">
        <v>751</v>
      </c>
      <c r="F227" s="7">
        <v>384</v>
      </c>
      <c r="G227" s="8">
        <v>35272</v>
      </c>
    </row>
    <row r="228" spans="1:7">
      <c r="A228" s="8">
        <v>14263</v>
      </c>
      <c r="B228" s="7" t="s">
        <v>254</v>
      </c>
      <c r="C228" s="8">
        <v>605</v>
      </c>
      <c r="D228" s="7">
        <v>26</v>
      </c>
      <c r="E228" s="7">
        <v>26</v>
      </c>
      <c r="F228" s="7">
        <v>389</v>
      </c>
      <c r="G228" s="8">
        <v>25567</v>
      </c>
    </row>
    <row r="229" spans="1:7">
      <c r="A229" s="8">
        <v>14263</v>
      </c>
      <c r="B229" s="7" t="s">
        <v>254</v>
      </c>
      <c r="C229" s="8">
        <v>606</v>
      </c>
      <c r="D229" s="7">
        <v>75</v>
      </c>
      <c r="E229" s="7">
        <v>75</v>
      </c>
      <c r="F229" s="7">
        <v>387</v>
      </c>
      <c r="G229" s="8">
        <v>28244</v>
      </c>
    </row>
    <row r="230" spans="1:7">
      <c r="A230" s="8">
        <v>14263</v>
      </c>
      <c r="B230" s="7" t="s">
        <v>254</v>
      </c>
      <c r="C230" s="8">
        <v>607</v>
      </c>
      <c r="D230" s="7">
        <v>652</v>
      </c>
      <c r="E230" s="7">
        <v>652</v>
      </c>
      <c r="F230" s="7">
        <v>380</v>
      </c>
      <c r="G230" s="8">
        <v>45227</v>
      </c>
    </row>
    <row r="231" spans="1:7">
      <c r="A231" s="8">
        <v>14263</v>
      </c>
      <c r="B231" s="7" t="s">
        <v>254</v>
      </c>
      <c r="C231" s="8">
        <v>610</v>
      </c>
      <c r="D231" s="7">
        <v>26</v>
      </c>
      <c r="E231" s="7">
        <v>26</v>
      </c>
      <c r="F231" s="7">
        <v>382</v>
      </c>
      <c r="G231" s="8">
        <v>39013</v>
      </c>
    </row>
    <row r="232" spans="1:7">
      <c r="A232" s="8">
        <v>14265</v>
      </c>
      <c r="B232" s="7" t="s">
        <v>916</v>
      </c>
      <c r="C232" s="8">
        <v>601</v>
      </c>
      <c r="D232" s="7">
        <v>6800</v>
      </c>
      <c r="E232" s="7">
        <v>6800</v>
      </c>
      <c r="F232" s="7">
        <v>259</v>
      </c>
      <c r="G232" s="8">
        <v>293144</v>
      </c>
    </row>
    <row r="233" spans="1:7">
      <c r="A233" s="8">
        <v>14266</v>
      </c>
      <c r="B233" s="7" t="s">
        <v>890</v>
      </c>
      <c r="C233" s="8">
        <v>601</v>
      </c>
      <c r="D233" s="7">
        <v>2900</v>
      </c>
      <c r="E233" s="7">
        <v>2900</v>
      </c>
      <c r="F233" s="7">
        <v>238</v>
      </c>
      <c r="G233" s="8">
        <v>321636</v>
      </c>
    </row>
    <row r="234" spans="1:7">
      <c r="A234" s="8">
        <v>14266</v>
      </c>
      <c r="B234" s="7" t="s">
        <v>890</v>
      </c>
      <c r="C234" s="8">
        <v>602</v>
      </c>
      <c r="D234" s="7">
        <v>4000</v>
      </c>
      <c r="E234" s="7">
        <v>4000</v>
      </c>
      <c r="F234" s="7">
        <v>254</v>
      </c>
      <c r="G234" s="8">
        <v>301411</v>
      </c>
    </row>
    <row r="235" spans="1:7">
      <c r="A235" s="8">
        <v>14268</v>
      </c>
      <c r="B235" s="7" t="s">
        <v>970</v>
      </c>
      <c r="C235" s="8">
        <v>601</v>
      </c>
      <c r="D235" s="7">
        <v>2093</v>
      </c>
      <c r="E235" s="7">
        <v>2093</v>
      </c>
      <c r="F235" s="7">
        <v>232</v>
      </c>
      <c r="G235" s="8">
        <v>329318</v>
      </c>
    </row>
    <row r="236" spans="1:7">
      <c r="A236" s="8">
        <v>14268</v>
      </c>
      <c r="B236" s="7" t="s">
        <v>970</v>
      </c>
      <c r="C236" s="8">
        <v>602</v>
      </c>
      <c r="D236" s="7">
        <v>85</v>
      </c>
      <c r="E236" s="7">
        <v>85</v>
      </c>
      <c r="F236" s="7">
        <v>230</v>
      </c>
      <c r="G236" s="8">
        <v>332333</v>
      </c>
    </row>
    <row r="237" spans="1:7">
      <c r="A237" s="8">
        <v>14311</v>
      </c>
      <c r="B237" s="7" t="s">
        <v>654</v>
      </c>
      <c r="C237" s="8">
        <v>601</v>
      </c>
      <c r="D237" s="7">
        <v>379</v>
      </c>
      <c r="E237" s="7">
        <v>379</v>
      </c>
      <c r="F237" s="7">
        <v>343</v>
      </c>
      <c r="G237" s="8">
        <v>134181</v>
      </c>
    </row>
    <row r="238" spans="1:7">
      <c r="A238" s="8">
        <v>14311</v>
      </c>
      <c r="B238" s="7" t="s">
        <v>654</v>
      </c>
      <c r="C238" s="8">
        <v>602</v>
      </c>
      <c r="D238" s="7">
        <v>1294</v>
      </c>
      <c r="E238" s="7">
        <v>1294</v>
      </c>
      <c r="F238" s="7">
        <v>343</v>
      </c>
      <c r="G238" s="8">
        <v>134024</v>
      </c>
    </row>
    <row r="239" spans="1:7">
      <c r="A239" s="8">
        <v>14362</v>
      </c>
      <c r="B239" s="7" t="s">
        <v>1006</v>
      </c>
      <c r="C239" s="8">
        <v>613</v>
      </c>
      <c r="D239" s="7">
        <v>1330</v>
      </c>
      <c r="E239" s="7">
        <v>1330</v>
      </c>
      <c r="F239" s="7">
        <v>225</v>
      </c>
      <c r="G239" s="8">
        <v>337678</v>
      </c>
    </row>
    <row r="240" spans="1:7">
      <c r="A240" s="8">
        <v>14363</v>
      </c>
      <c r="B240" s="7" t="s">
        <v>942</v>
      </c>
      <c r="C240" s="8">
        <v>601</v>
      </c>
      <c r="D240" s="7">
        <v>2870</v>
      </c>
      <c r="E240" s="7">
        <v>2870</v>
      </c>
      <c r="F240" s="7">
        <v>246</v>
      </c>
      <c r="G240" s="8">
        <v>311869</v>
      </c>
    </row>
    <row r="241" spans="1:7">
      <c r="A241" s="8">
        <v>14363</v>
      </c>
      <c r="B241" s="7" t="s">
        <v>942</v>
      </c>
      <c r="C241" s="8">
        <v>602</v>
      </c>
      <c r="D241" s="7">
        <v>40</v>
      </c>
      <c r="E241" s="7">
        <v>40</v>
      </c>
      <c r="F241" s="7">
        <v>231</v>
      </c>
      <c r="G241" s="8">
        <v>330480</v>
      </c>
    </row>
    <row r="242" spans="1:7">
      <c r="A242" s="8">
        <v>14408</v>
      </c>
      <c r="B242" s="7" t="s">
        <v>328</v>
      </c>
      <c r="C242" s="8">
        <v>601</v>
      </c>
      <c r="D242" s="7">
        <v>801</v>
      </c>
      <c r="E242" s="7">
        <v>801</v>
      </c>
      <c r="F242" s="7">
        <v>374</v>
      </c>
      <c r="G242" s="8">
        <v>59362</v>
      </c>
    </row>
    <row r="243" spans="1:7">
      <c r="A243" s="8">
        <v>14427</v>
      </c>
      <c r="B243" s="7" t="s">
        <v>924</v>
      </c>
      <c r="C243" s="8">
        <v>601</v>
      </c>
      <c r="D243" s="7">
        <v>786</v>
      </c>
      <c r="E243" s="7">
        <v>786</v>
      </c>
      <c r="F243" s="7">
        <v>256</v>
      </c>
      <c r="G243" s="8">
        <v>297801</v>
      </c>
    </row>
    <row r="244" spans="1:7">
      <c r="A244" s="8">
        <v>14509</v>
      </c>
      <c r="B244" s="7" t="s">
        <v>490</v>
      </c>
      <c r="C244" s="8">
        <v>601</v>
      </c>
      <c r="D244" s="7">
        <v>1530</v>
      </c>
      <c r="E244" s="7">
        <v>1532</v>
      </c>
      <c r="F244" s="7">
        <v>338</v>
      </c>
      <c r="G244" s="8">
        <v>145017</v>
      </c>
    </row>
    <row r="245" spans="1:7">
      <c r="A245" s="8">
        <v>14509</v>
      </c>
      <c r="B245" s="7" t="s">
        <v>490</v>
      </c>
      <c r="C245" s="8">
        <v>602</v>
      </c>
      <c r="D245" s="7">
        <v>445</v>
      </c>
      <c r="E245" s="7">
        <v>445</v>
      </c>
      <c r="F245" s="7">
        <v>343</v>
      </c>
      <c r="G245" s="8">
        <v>135381</v>
      </c>
    </row>
    <row r="246" spans="1:7">
      <c r="A246" s="8">
        <v>14509</v>
      </c>
      <c r="B246" s="7" t="s">
        <v>490</v>
      </c>
      <c r="C246" s="8">
        <v>603</v>
      </c>
      <c r="D246" s="7">
        <v>579</v>
      </c>
      <c r="E246" s="7">
        <v>579</v>
      </c>
      <c r="F246" s="7">
        <v>346</v>
      </c>
      <c r="G246" s="8">
        <v>126635</v>
      </c>
    </row>
    <row r="247" spans="1:7">
      <c r="A247" s="8">
        <v>14509</v>
      </c>
      <c r="B247" s="7" t="s">
        <v>490</v>
      </c>
      <c r="C247" s="8">
        <v>604</v>
      </c>
      <c r="D247" s="7">
        <v>479</v>
      </c>
      <c r="E247" s="7">
        <v>479</v>
      </c>
      <c r="F247" s="7">
        <v>345</v>
      </c>
      <c r="G247" s="8">
        <v>129251</v>
      </c>
    </row>
    <row r="248" spans="1:7">
      <c r="A248" s="8">
        <v>14510</v>
      </c>
      <c r="B248" s="7" t="s">
        <v>609</v>
      </c>
      <c r="C248" s="8">
        <v>601</v>
      </c>
      <c r="D248" s="7">
        <v>1654</v>
      </c>
      <c r="E248" s="7">
        <v>1654</v>
      </c>
      <c r="F248" s="7">
        <v>338</v>
      </c>
      <c r="G248" s="8">
        <v>144908</v>
      </c>
    </row>
    <row r="249" spans="1:7">
      <c r="A249" s="8">
        <v>14511</v>
      </c>
      <c r="B249" s="7" t="s">
        <v>990</v>
      </c>
      <c r="C249" s="8">
        <v>601</v>
      </c>
      <c r="D249" s="7">
        <v>1475</v>
      </c>
      <c r="E249" s="7">
        <v>1475</v>
      </c>
      <c r="F249" s="7">
        <v>226</v>
      </c>
      <c r="G249" s="8">
        <v>336262</v>
      </c>
    </row>
    <row r="250" spans="1:7">
      <c r="A250" s="8">
        <v>14556</v>
      </c>
      <c r="B250" s="7" t="s">
        <v>319</v>
      </c>
      <c r="C250" s="8">
        <v>601</v>
      </c>
      <c r="D250" s="7">
        <v>1313</v>
      </c>
      <c r="E250" s="7">
        <v>1313</v>
      </c>
      <c r="F250" s="7">
        <v>345</v>
      </c>
      <c r="G250" s="8">
        <v>130254</v>
      </c>
    </row>
    <row r="251" spans="1:7">
      <c r="A251" s="8">
        <v>14556</v>
      </c>
      <c r="B251" s="7" t="s">
        <v>319</v>
      </c>
      <c r="C251" s="8">
        <v>602</v>
      </c>
      <c r="D251" s="7">
        <v>98</v>
      </c>
      <c r="E251" s="7">
        <v>98</v>
      </c>
      <c r="F251" s="7">
        <v>325</v>
      </c>
      <c r="G251" s="8">
        <v>172242</v>
      </c>
    </row>
    <row r="252" spans="1:7">
      <c r="A252" s="8">
        <v>14556</v>
      </c>
      <c r="B252" s="7" t="s">
        <v>319</v>
      </c>
      <c r="C252" s="8">
        <v>603</v>
      </c>
      <c r="D252" s="7">
        <v>87</v>
      </c>
      <c r="E252" s="7">
        <v>87</v>
      </c>
      <c r="F252" s="7">
        <v>377</v>
      </c>
      <c r="G252" s="8">
        <v>50595</v>
      </c>
    </row>
    <row r="253" spans="1:7">
      <c r="A253" s="8">
        <v>14572</v>
      </c>
      <c r="B253" s="7" t="s">
        <v>1015</v>
      </c>
      <c r="C253" s="8">
        <v>605</v>
      </c>
      <c r="D253" s="7">
        <v>2176</v>
      </c>
      <c r="E253" s="7">
        <v>2176</v>
      </c>
      <c r="F253" s="7">
        <v>201</v>
      </c>
      <c r="G253" s="8">
        <v>360968</v>
      </c>
    </row>
    <row r="254" spans="1:7">
      <c r="A254" s="8">
        <v>14587</v>
      </c>
      <c r="B254" s="7" t="s">
        <v>757</v>
      </c>
      <c r="C254" s="8">
        <v>601</v>
      </c>
      <c r="D254" s="7">
        <v>1674</v>
      </c>
      <c r="E254" s="7">
        <v>1675</v>
      </c>
      <c r="F254" s="7">
        <v>325</v>
      </c>
      <c r="G254" s="8">
        <v>172167</v>
      </c>
    </row>
    <row r="255" spans="1:7">
      <c r="A255" s="8">
        <v>14592</v>
      </c>
      <c r="B255" s="7" t="s">
        <v>246</v>
      </c>
      <c r="C255" s="8">
        <v>601</v>
      </c>
      <c r="D255" s="7">
        <v>847</v>
      </c>
      <c r="E255" s="7">
        <v>847</v>
      </c>
      <c r="F255" s="7">
        <v>384</v>
      </c>
      <c r="G255" s="8">
        <v>36259</v>
      </c>
    </row>
    <row r="256" spans="1:7">
      <c r="A256" s="8">
        <v>14592</v>
      </c>
      <c r="B256" s="7" t="s">
        <v>246</v>
      </c>
      <c r="C256" s="8">
        <v>602</v>
      </c>
      <c r="D256" s="7">
        <v>185</v>
      </c>
      <c r="E256" s="7">
        <v>185</v>
      </c>
      <c r="F256" s="7">
        <v>316</v>
      </c>
      <c r="G256" s="8">
        <v>190006</v>
      </c>
    </row>
    <row r="257" spans="1:7">
      <c r="A257" s="8">
        <v>14609</v>
      </c>
      <c r="B257" s="7" t="s">
        <v>591</v>
      </c>
      <c r="C257" s="8">
        <v>601</v>
      </c>
      <c r="D257" s="7">
        <v>1120</v>
      </c>
      <c r="E257" s="7">
        <v>1120</v>
      </c>
      <c r="F257" s="7">
        <v>349</v>
      </c>
      <c r="G257" s="8">
        <v>120744</v>
      </c>
    </row>
    <row r="258" spans="1:7">
      <c r="A258" s="8">
        <v>14610</v>
      </c>
      <c r="B258" s="7" t="s">
        <v>510</v>
      </c>
      <c r="C258" s="8">
        <v>601</v>
      </c>
      <c r="D258" s="7">
        <v>1508</v>
      </c>
      <c r="E258" s="7">
        <v>1508</v>
      </c>
      <c r="F258" s="7">
        <v>364</v>
      </c>
      <c r="G258" s="8">
        <v>84789</v>
      </c>
    </row>
    <row r="259" spans="1:7">
      <c r="A259" s="8">
        <v>14638</v>
      </c>
      <c r="B259" s="7" t="s">
        <v>674</v>
      </c>
      <c r="C259" s="8">
        <v>601</v>
      </c>
      <c r="D259" s="7">
        <v>110</v>
      </c>
      <c r="E259" s="7">
        <v>110</v>
      </c>
      <c r="F259" s="7">
        <v>343</v>
      </c>
      <c r="G259" s="8">
        <v>134373</v>
      </c>
    </row>
    <row r="260" spans="1:7">
      <c r="A260" s="8">
        <v>14638</v>
      </c>
      <c r="B260" s="7" t="s">
        <v>674</v>
      </c>
      <c r="C260" s="8">
        <v>602</v>
      </c>
      <c r="D260" s="7">
        <v>824</v>
      </c>
      <c r="E260" s="7">
        <v>824</v>
      </c>
      <c r="F260" s="7">
        <v>328</v>
      </c>
      <c r="G260" s="8">
        <v>166363</v>
      </c>
    </row>
    <row r="261" spans="1:7">
      <c r="A261" s="8">
        <v>14664</v>
      </c>
      <c r="B261" s="7" t="s">
        <v>438</v>
      </c>
      <c r="C261" s="8">
        <v>601</v>
      </c>
      <c r="D261" s="7">
        <v>428</v>
      </c>
      <c r="E261" s="7">
        <v>428</v>
      </c>
      <c r="F261" s="7">
        <v>335</v>
      </c>
      <c r="G261" s="8">
        <v>152659</v>
      </c>
    </row>
    <row r="262" spans="1:7">
      <c r="A262" s="8">
        <v>14664</v>
      </c>
      <c r="B262" s="7" t="s">
        <v>438</v>
      </c>
      <c r="C262" s="8">
        <v>602</v>
      </c>
      <c r="D262" s="7">
        <v>105</v>
      </c>
      <c r="E262" s="7">
        <v>105</v>
      </c>
      <c r="F262" s="7">
        <v>334</v>
      </c>
      <c r="G262" s="8">
        <v>153242</v>
      </c>
    </row>
    <row r="263" spans="1:7">
      <c r="A263" s="8">
        <v>14664</v>
      </c>
      <c r="B263" s="7" t="s">
        <v>438</v>
      </c>
      <c r="C263" s="8">
        <v>603</v>
      </c>
      <c r="D263" s="7">
        <v>135</v>
      </c>
      <c r="E263" s="7">
        <v>135</v>
      </c>
      <c r="F263" s="7">
        <v>374</v>
      </c>
      <c r="G263" s="8">
        <v>58087</v>
      </c>
    </row>
    <row r="264" spans="1:7">
      <c r="A264" s="8">
        <v>14664</v>
      </c>
      <c r="B264" s="7" t="s">
        <v>438</v>
      </c>
      <c r="C264" s="8">
        <v>604</v>
      </c>
      <c r="D264" s="7">
        <v>90</v>
      </c>
      <c r="E264" s="7">
        <v>90</v>
      </c>
      <c r="F264" s="7">
        <v>343</v>
      </c>
      <c r="G264" s="8">
        <v>135359</v>
      </c>
    </row>
    <row r="265" spans="1:7">
      <c r="A265" s="8">
        <v>14667</v>
      </c>
      <c r="B265" s="7" t="s">
        <v>626</v>
      </c>
      <c r="C265" s="8">
        <v>601</v>
      </c>
      <c r="D265" s="7">
        <v>1027</v>
      </c>
      <c r="E265" s="7">
        <v>1027</v>
      </c>
      <c r="F265" s="7">
        <v>342</v>
      </c>
      <c r="G265" s="8">
        <v>137448</v>
      </c>
    </row>
    <row r="266" spans="1:7">
      <c r="A266" s="8">
        <v>14667</v>
      </c>
      <c r="B266" s="7" t="s">
        <v>626</v>
      </c>
      <c r="C266" s="8">
        <v>602</v>
      </c>
      <c r="D266" s="7">
        <v>801</v>
      </c>
      <c r="E266" s="7">
        <v>801</v>
      </c>
      <c r="F266" s="7">
        <v>340</v>
      </c>
      <c r="G266" s="8">
        <v>141321</v>
      </c>
    </row>
    <row r="267" spans="1:7">
      <c r="A267" s="8">
        <v>14667</v>
      </c>
      <c r="B267" s="7" t="s">
        <v>626</v>
      </c>
      <c r="C267" s="8">
        <v>604</v>
      </c>
      <c r="D267" s="7">
        <v>165</v>
      </c>
      <c r="E267" s="7">
        <v>165</v>
      </c>
      <c r="F267" s="7">
        <v>332</v>
      </c>
      <c r="G267" s="8">
        <v>157703</v>
      </c>
    </row>
    <row r="268" spans="1:7">
      <c r="A268" s="8">
        <v>14667</v>
      </c>
      <c r="B268" s="7" t="s">
        <v>626</v>
      </c>
      <c r="C268" s="8">
        <v>606</v>
      </c>
      <c r="D268" s="7">
        <v>355</v>
      </c>
      <c r="E268" s="7">
        <v>355</v>
      </c>
      <c r="F268" s="7">
        <v>338</v>
      </c>
      <c r="G268" s="8">
        <v>145847</v>
      </c>
    </row>
    <row r="269" spans="1:7">
      <c r="A269" s="8">
        <v>14756</v>
      </c>
      <c r="B269" s="7" t="s">
        <v>519</v>
      </c>
      <c r="C269" s="8">
        <v>601</v>
      </c>
      <c r="D269" s="7">
        <v>475</v>
      </c>
      <c r="E269" s="7">
        <v>475</v>
      </c>
      <c r="F269" s="7">
        <v>352</v>
      </c>
      <c r="G269" s="8">
        <v>112913</v>
      </c>
    </row>
    <row r="270" spans="1:7">
      <c r="A270" s="8">
        <v>14757</v>
      </c>
      <c r="B270" s="7" t="s">
        <v>749</v>
      </c>
      <c r="C270" s="8">
        <v>601</v>
      </c>
      <c r="D270" s="7">
        <v>213</v>
      </c>
      <c r="E270" s="7">
        <v>213</v>
      </c>
      <c r="F270" s="7">
        <v>360</v>
      </c>
      <c r="G270" s="8">
        <v>95047</v>
      </c>
    </row>
    <row r="271" spans="1:7">
      <c r="A271" s="8">
        <v>14758</v>
      </c>
      <c r="B271" s="7" t="s">
        <v>682</v>
      </c>
      <c r="C271" s="8">
        <v>601</v>
      </c>
      <c r="D271" s="7">
        <v>400</v>
      </c>
      <c r="E271" s="7">
        <v>400</v>
      </c>
      <c r="F271" s="7">
        <v>336</v>
      </c>
      <c r="G271" s="8">
        <v>149954</v>
      </c>
    </row>
    <row r="272" spans="1:7">
      <c r="A272" s="8">
        <v>14758</v>
      </c>
      <c r="B272" s="7" t="s">
        <v>682</v>
      </c>
      <c r="C272" s="8">
        <v>602</v>
      </c>
      <c r="D272" s="7">
        <v>400</v>
      </c>
      <c r="E272" s="7">
        <v>400</v>
      </c>
      <c r="F272" s="7">
        <v>336</v>
      </c>
      <c r="G272" s="8">
        <v>149786</v>
      </c>
    </row>
    <row r="273" spans="1:7">
      <c r="A273" s="8">
        <v>14758</v>
      </c>
      <c r="B273" s="7" t="s">
        <v>682</v>
      </c>
      <c r="C273" s="8">
        <v>603</v>
      </c>
      <c r="D273" s="7">
        <v>400</v>
      </c>
      <c r="E273" s="7">
        <v>400</v>
      </c>
      <c r="F273" s="7">
        <v>334</v>
      </c>
      <c r="G273" s="8">
        <v>154009</v>
      </c>
    </row>
    <row r="274" spans="1:7">
      <c r="A274" s="8">
        <v>14758</v>
      </c>
      <c r="B274" s="7" t="s">
        <v>682</v>
      </c>
      <c r="C274" s="8">
        <v>604</v>
      </c>
      <c r="D274" s="7">
        <v>400</v>
      </c>
      <c r="E274" s="7">
        <v>400</v>
      </c>
      <c r="F274" s="7">
        <v>333</v>
      </c>
      <c r="G274" s="8">
        <v>155526</v>
      </c>
    </row>
    <row r="275" spans="1:7">
      <c r="A275" s="8">
        <v>14758</v>
      </c>
      <c r="B275" s="7" t="s">
        <v>682</v>
      </c>
      <c r="C275" s="8">
        <v>605</v>
      </c>
      <c r="D275" s="7">
        <v>400</v>
      </c>
      <c r="E275" s="7">
        <v>400</v>
      </c>
      <c r="F275" s="7">
        <v>326</v>
      </c>
      <c r="G275" s="8">
        <v>171282</v>
      </c>
    </row>
    <row r="276" spans="1:7">
      <c r="A276" s="8">
        <v>14759</v>
      </c>
      <c r="B276" s="7" t="s">
        <v>552</v>
      </c>
      <c r="C276" s="8">
        <v>601</v>
      </c>
      <c r="D276" s="7">
        <v>542</v>
      </c>
      <c r="E276" s="7">
        <v>542</v>
      </c>
      <c r="F276" s="7">
        <v>357</v>
      </c>
      <c r="G276" s="8">
        <v>102065</v>
      </c>
    </row>
    <row r="277" spans="1:7">
      <c r="A277" s="8">
        <v>14760</v>
      </c>
      <c r="B277" s="7" t="s">
        <v>544</v>
      </c>
      <c r="C277" s="8">
        <v>601</v>
      </c>
      <c r="D277" s="7">
        <v>748</v>
      </c>
      <c r="E277" s="7">
        <v>748</v>
      </c>
      <c r="F277" s="7">
        <v>353</v>
      </c>
      <c r="G277" s="8">
        <v>109825</v>
      </c>
    </row>
    <row r="278" spans="1:7">
      <c r="A278" s="8">
        <v>14760</v>
      </c>
      <c r="B278" s="7" t="s">
        <v>544</v>
      </c>
      <c r="C278" s="8">
        <v>602</v>
      </c>
      <c r="D278" s="7">
        <v>93</v>
      </c>
      <c r="E278" s="7">
        <v>93</v>
      </c>
      <c r="F278" s="7">
        <v>346</v>
      </c>
      <c r="G278" s="8">
        <v>127117</v>
      </c>
    </row>
    <row r="279" spans="1:7">
      <c r="A279" s="8">
        <v>14761</v>
      </c>
      <c r="B279" s="7" t="s">
        <v>908</v>
      </c>
      <c r="C279" s="8">
        <v>601</v>
      </c>
      <c r="D279" s="7">
        <v>644</v>
      </c>
      <c r="E279" s="7">
        <v>644</v>
      </c>
      <c r="F279" s="7">
        <v>268</v>
      </c>
      <c r="G279" s="8">
        <v>278588</v>
      </c>
    </row>
    <row r="280" spans="1:7">
      <c r="A280" s="8">
        <v>14761</v>
      </c>
      <c r="B280" s="7" t="s">
        <v>908</v>
      </c>
      <c r="C280" s="8">
        <v>603</v>
      </c>
      <c r="D280" s="7">
        <v>36</v>
      </c>
      <c r="E280" s="7">
        <v>37</v>
      </c>
      <c r="F280" s="7">
        <v>261</v>
      </c>
      <c r="G280" s="8">
        <v>290001</v>
      </c>
    </row>
    <row r="281" spans="1:7">
      <c r="A281" s="8">
        <v>50853</v>
      </c>
      <c r="B281" s="7" t="s">
        <v>740</v>
      </c>
      <c r="C281" s="8">
        <v>601</v>
      </c>
      <c r="D281" s="7">
        <v>1682</v>
      </c>
      <c r="E281" s="7">
        <v>1682</v>
      </c>
      <c r="F281" s="7">
        <v>326</v>
      </c>
      <c r="G281" s="8">
        <v>169578</v>
      </c>
    </row>
    <row r="282" spans="1:7">
      <c r="A282" s="8">
        <v>50853</v>
      </c>
      <c r="B282" s="7" t="s">
        <v>740</v>
      </c>
      <c r="C282" s="8">
        <v>602</v>
      </c>
      <c r="D282" s="7">
        <v>296</v>
      </c>
      <c r="E282" s="7">
        <v>296</v>
      </c>
      <c r="F282" s="7">
        <v>325</v>
      </c>
      <c r="G282" s="8">
        <v>173012</v>
      </c>
    </row>
  </sheetData>
  <sheetProtection formatCells="0" insertHyperlinks="0" autoFilter="0"/>
  <mergeCells count="1">
    <mergeCell ref="A1:G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42"/>
  <sheetViews>
    <sheetView workbookViewId="0">
      <selection activeCell="J21" sqref="J21"/>
    </sheetView>
  </sheetViews>
  <sheetFormatPr defaultColWidth="8.89166666666667" defaultRowHeight="13.5" outlineLevelCol="6"/>
  <cols>
    <col min="2" max="2" width="45.775" customWidth="1"/>
  </cols>
  <sheetData>
    <row r="1" ht="20.25" spans="1:7">
      <c r="A1" s="1" t="s">
        <v>1089</v>
      </c>
      <c r="B1" s="2"/>
      <c r="C1" s="2"/>
      <c r="D1" s="2"/>
      <c r="E1" s="2"/>
      <c r="F1" s="2"/>
      <c r="G1" s="2"/>
    </row>
    <row r="2" ht="27" spans="1:7">
      <c r="A2" s="9" t="s">
        <v>1090</v>
      </c>
      <c r="B2" s="9" t="s">
        <v>1091</v>
      </c>
      <c r="C2" s="9" t="s">
        <v>1092</v>
      </c>
      <c r="D2" s="9" t="s">
        <v>1093</v>
      </c>
      <c r="E2" s="9" t="s">
        <v>1094</v>
      </c>
      <c r="F2" s="9" t="s">
        <v>1095</v>
      </c>
      <c r="G2" s="9" t="s">
        <v>1096</v>
      </c>
    </row>
    <row r="3" spans="1:7">
      <c r="A3" s="4">
        <v>10831</v>
      </c>
      <c r="B3" s="5" t="s">
        <v>1097</v>
      </c>
      <c r="C3" s="4">
        <v>601</v>
      </c>
      <c r="D3" s="4">
        <v>191</v>
      </c>
      <c r="E3" s="4">
        <v>191</v>
      </c>
      <c r="F3" s="4">
        <v>382</v>
      </c>
      <c r="G3" s="4">
        <v>17684</v>
      </c>
    </row>
    <row r="4" spans="1:7">
      <c r="A4" s="4">
        <v>10831</v>
      </c>
      <c r="B4" s="5" t="s">
        <v>1097</v>
      </c>
      <c r="C4" s="4">
        <v>602</v>
      </c>
      <c r="D4" s="4">
        <v>8</v>
      </c>
      <c r="E4" s="4">
        <v>8</v>
      </c>
      <c r="F4" s="4">
        <v>380</v>
      </c>
      <c r="G4" s="4">
        <v>20476</v>
      </c>
    </row>
    <row r="5" spans="1:7">
      <c r="A5" s="4">
        <v>10831</v>
      </c>
      <c r="B5" s="5" t="s">
        <v>1097</v>
      </c>
      <c r="C5" s="4">
        <v>603</v>
      </c>
      <c r="D5" s="4">
        <v>728</v>
      </c>
      <c r="E5" s="4">
        <v>728</v>
      </c>
      <c r="F5" s="4">
        <v>380</v>
      </c>
      <c r="G5" s="4">
        <v>19355</v>
      </c>
    </row>
    <row r="6" spans="1:7">
      <c r="A6" s="4">
        <v>10833</v>
      </c>
      <c r="B6" s="5" t="s">
        <v>1098</v>
      </c>
      <c r="C6" s="4">
        <v>603</v>
      </c>
      <c r="D6" s="4">
        <v>175</v>
      </c>
      <c r="E6" s="4">
        <v>175</v>
      </c>
      <c r="F6" s="4">
        <v>388</v>
      </c>
      <c r="G6" s="4">
        <v>11128</v>
      </c>
    </row>
    <row r="7" spans="1:7">
      <c r="A7" s="4">
        <v>10833</v>
      </c>
      <c r="B7" s="5" t="s">
        <v>1098</v>
      </c>
      <c r="C7" s="4">
        <v>604</v>
      </c>
      <c r="D7" s="4">
        <v>175</v>
      </c>
      <c r="E7" s="4">
        <v>175</v>
      </c>
      <c r="F7" s="4">
        <v>382</v>
      </c>
      <c r="G7" s="4">
        <v>16982</v>
      </c>
    </row>
    <row r="8" spans="1:7">
      <c r="A8" s="4">
        <v>10833</v>
      </c>
      <c r="B8" s="5" t="s">
        <v>1098</v>
      </c>
      <c r="C8" s="4">
        <v>605</v>
      </c>
      <c r="D8" s="4">
        <v>60</v>
      </c>
      <c r="E8" s="4">
        <v>60</v>
      </c>
      <c r="F8" s="4">
        <v>386</v>
      </c>
      <c r="G8" s="4">
        <v>13260</v>
      </c>
    </row>
    <row r="9" spans="1:7">
      <c r="A9" s="4">
        <v>10833</v>
      </c>
      <c r="B9" s="5" t="s">
        <v>1098</v>
      </c>
      <c r="C9" s="4">
        <v>606</v>
      </c>
      <c r="D9" s="4">
        <v>55</v>
      </c>
      <c r="E9" s="4">
        <v>55</v>
      </c>
      <c r="F9" s="4">
        <v>381</v>
      </c>
      <c r="G9" s="4">
        <v>18492</v>
      </c>
    </row>
    <row r="10" spans="1:7">
      <c r="A10" s="4">
        <v>10833</v>
      </c>
      <c r="B10" s="5" t="s">
        <v>1098</v>
      </c>
      <c r="C10" s="4">
        <v>607</v>
      </c>
      <c r="D10" s="4">
        <v>120</v>
      </c>
      <c r="E10" s="4">
        <v>120</v>
      </c>
      <c r="F10" s="4">
        <v>384</v>
      </c>
      <c r="G10" s="4">
        <v>15402</v>
      </c>
    </row>
    <row r="11" spans="1:7">
      <c r="A11" s="4">
        <v>10833</v>
      </c>
      <c r="B11" s="5" t="s">
        <v>1098</v>
      </c>
      <c r="C11" s="4">
        <v>608</v>
      </c>
      <c r="D11" s="4">
        <v>235</v>
      </c>
      <c r="E11" s="4">
        <v>235</v>
      </c>
      <c r="F11" s="4">
        <v>383</v>
      </c>
      <c r="G11" s="4">
        <v>16943</v>
      </c>
    </row>
    <row r="12" spans="1:7">
      <c r="A12" s="4">
        <v>10833</v>
      </c>
      <c r="B12" s="5" t="s">
        <v>1098</v>
      </c>
      <c r="C12" s="4">
        <v>609</v>
      </c>
      <c r="D12" s="4">
        <v>85</v>
      </c>
      <c r="E12" s="4">
        <v>85</v>
      </c>
      <c r="F12" s="4">
        <v>386</v>
      </c>
      <c r="G12" s="4">
        <v>13427</v>
      </c>
    </row>
    <row r="13" spans="1:7">
      <c r="A13" s="4">
        <v>10833</v>
      </c>
      <c r="B13" s="5" t="s">
        <v>1098</v>
      </c>
      <c r="C13" s="4">
        <v>610</v>
      </c>
      <c r="D13" s="4">
        <v>200</v>
      </c>
      <c r="E13" s="4">
        <v>200</v>
      </c>
      <c r="F13" s="4">
        <v>381</v>
      </c>
      <c r="G13" s="4">
        <v>18320</v>
      </c>
    </row>
    <row r="14" spans="1:7">
      <c r="A14" s="4">
        <v>10861</v>
      </c>
      <c r="B14" s="5" t="s">
        <v>1099</v>
      </c>
      <c r="C14" s="4">
        <v>601</v>
      </c>
      <c r="D14" s="4">
        <v>861</v>
      </c>
      <c r="E14" s="4">
        <v>861</v>
      </c>
      <c r="F14" s="4">
        <v>352</v>
      </c>
      <c r="G14" s="4">
        <v>68483</v>
      </c>
    </row>
    <row r="15" spans="1:7">
      <c r="A15" s="4">
        <v>10861</v>
      </c>
      <c r="B15" s="5" t="s">
        <v>1099</v>
      </c>
      <c r="C15" s="4">
        <v>602</v>
      </c>
      <c r="D15" s="4">
        <v>546</v>
      </c>
      <c r="E15" s="4">
        <v>546</v>
      </c>
      <c r="F15" s="4">
        <v>339</v>
      </c>
      <c r="G15" s="4">
        <v>97131</v>
      </c>
    </row>
    <row r="16" spans="1:7">
      <c r="A16" s="4">
        <v>10861</v>
      </c>
      <c r="B16" s="5" t="s">
        <v>1099</v>
      </c>
      <c r="C16" s="4">
        <v>603</v>
      </c>
      <c r="D16" s="4">
        <v>15</v>
      </c>
      <c r="E16" s="4">
        <v>15</v>
      </c>
      <c r="F16" s="4">
        <v>321</v>
      </c>
      <c r="G16" s="4">
        <v>136653</v>
      </c>
    </row>
    <row r="17" spans="1:7">
      <c r="A17" s="4">
        <v>10861</v>
      </c>
      <c r="B17" s="5" t="s">
        <v>1099</v>
      </c>
      <c r="C17" s="4">
        <v>604</v>
      </c>
      <c r="D17" s="4">
        <v>15</v>
      </c>
      <c r="E17" s="4">
        <v>15</v>
      </c>
      <c r="F17" s="4">
        <v>316</v>
      </c>
      <c r="G17" s="4">
        <v>149253</v>
      </c>
    </row>
    <row r="18" spans="1:7">
      <c r="A18" s="4">
        <v>10861</v>
      </c>
      <c r="B18" s="5" t="s">
        <v>1099</v>
      </c>
      <c r="C18" s="4">
        <v>605</v>
      </c>
      <c r="D18" s="4">
        <v>25</v>
      </c>
      <c r="E18" s="4">
        <v>25</v>
      </c>
      <c r="F18" s="4">
        <v>305</v>
      </c>
      <c r="G18" s="4">
        <v>173732</v>
      </c>
    </row>
    <row r="19" spans="1:7">
      <c r="A19" s="4">
        <v>10861</v>
      </c>
      <c r="B19" s="5" t="s">
        <v>1099</v>
      </c>
      <c r="C19" s="4">
        <v>606</v>
      </c>
      <c r="D19" s="4">
        <v>38</v>
      </c>
      <c r="E19" s="4">
        <v>38</v>
      </c>
      <c r="F19" s="4">
        <v>226</v>
      </c>
      <c r="G19" s="4">
        <v>324821</v>
      </c>
    </row>
    <row r="20" spans="1:7">
      <c r="A20" s="4">
        <v>10862</v>
      </c>
      <c r="B20" s="5" t="s">
        <v>1100</v>
      </c>
      <c r="C20" s="4">
        <v>601</v>
      </c>
      <c r="D20" s="4">
        <v>206</v>
      </c>
      <c r="E20" s="4">
        <v>206</v>
      </c>
      <c r="F20" s="4">
        <v>356</v>
      </c>
      <c r="G20" s="4">
        <v>60003</v>
      </c>
    </row>
    <row r="21" spans="1:7">
      <c r="A21" s="4">
        <v>10862</v>
      </c>
      <c r="B21" s="5" t="s">
        <v>1100</v>
      </c>
      <c r="C21" s="4">
        <v>602</v>
      </c>
      <c r="D21" s="4">
        <v>190</v>
      </c>
      <c r="E21" s="4">
        <v>190</v>
      </c>
      <c r="F21" s="4">
        <v>354</v>
      </c>
      <c r="G21" s="4">
        <v>63362</v>
      </c>
    </row>
    <row r="22" spans="1:7">
      <c r="A22" s="4">
        <v>10862</v>
      </c>
      <c r="B22" s="5" t="s">
        <v>1100</v>
      </c>
      <c r="C22" s="4">
        <v>603</v>
      </c>
      <c r="D22" s="4">
        <v>147</v>
      </c>
      <c r="E22" s="4">
        <v>147</v>
      </c>
      <c r="F22" s="4">
        <v>312</v>
      </c>
      <c r="G22" s="4">
        <v>157658</v>
      </c>
    </row>
    <row r="23" spans="1:7">
      <c r="A23" s="4">
        <v>10862</v>
      </c>
      <c r="B23" s="5" t="s">
        <v>1100</v>
      </c>
      <c r="C23" s="4">
        <v>604</v>
      </c>
      <c r="D23" s="4">
        <v>185</v>
      </c>
      <c r="E23" s="4">
        <v>185</v>
      </c>
      <c r="F23" s="4">
        <v>352</v>
      </c>
      <c r="G23" s="4">
        <v>67270</v>
      </c>
    </row>
    <row r="24" spans="1:7">
      <c r="A24" s="4">
        <v>10862</v>
      </c>
      <c r="B24" s="5" t="s">
        <v>1100</v>
      </c>
      <c r="C24" s="4">
        <v>605</v>
      </c>
      <c r="D24" s="4">
        <v>67</v>
      </c>
      <c r="E24" s="4">
        <v>67</v>
      </c>
      <c r="F24" s="4">
        <v>360</v>
      </c>
      <c r="G24" s="4">
        <v>52501</v>
      </c>
    </row>
    <row r="25" spans="1:7">
      <c r="A25" s="4">
        <v>10862</v>
      </c>
      <c r="B25" s="5" t="s">
        <v>1100</v>
      </c>
      <c r="C25" s="4">
        <v>606</v>
      </c>
      <c r="D25" s="4">
        <v>85</v>
      </c>
      <c r="E25" s="4">
        <v>85</v>
      </c>
      <c r="F25" s="4">
        <v>303</v>
      </c>
      <c r="G25" s="4">
        <v>177222</v>
      </c>
    </row>
    <row r="26" spans="1:7">
      <c r="A26" s="4">
        <v>10862</v>
      </c>
      <c r="B26" s="5" t="s">
        <v>1100</v>
      </c>
      <c r="C26" s="4">
        <v>607</v>
      </c>
      <c r="D26" s="4">
        <v>148</v>
      </c>
      <c r="E26" s="4">
        <v>148</v>
      </c>
      <c r="F26" s="4">
        <v>325</v>
      </c>
      <c r="G26" s="4">
        <v>127015</v>
      </c>
    </row>
    <row r="27" spans="1:7">
      <c r="A27" s="4">
        <v>10862</v>
      </c>
      <c r="B27" s="5" t="s">
        <v>1100</v>
      </c>
      <c r="C27" s="4">
        <v>608</v>
      </c>
      <c r="D27" s="4">
        <v>220</v>
      </c>
      <c r="E27" s="4">
        <v>220</v>
      </c>
      <c r="F27" s="4">
        <v>355</v>
      </c>
      <c r="G27" s="4">
        <v>61805</v>
      </c>
    </row>
    <row r="28" spans="1:7">
      <c r="A28" s="4">
        <v>10862</v>
      </c>
      <c r="B28" s="5" t="s">
        <v>1100</v>
      </c>
      <c r="C28" s="4">
        <v>609</v>
      </c>
      <c r="D28" s="4">
        <v>170</v>
      </c>
      <c r="E28" s="4">
        <v>170</v>
      </c>
      <c r="F28" s="4">
        <v>338</v>
      </c>
      <c r="G28" s="4">
        <v>99628</v>
      </c>
    </row>
    <row r="29" spans="1:7">
      <c r="A29" s="4">
        <v>10862</v>
      </c>
      <c r="B29" s="5" t="s">
        <v>1100</v>
      </c>
      <c r="C29" s="4">
        <v>610</v>
      </c>
      <c r="D29" s="4">
        <v>151</v>
      </c>
      <c r="E29" s="4">
        <v>151</v>
      </c>
      <c r="F29" s="4">
        <v>333</v>
      </c>
      <c r="G29" s="4">
        <v>110746</v>
      </c>
    </row>
    <row r="30" spans="1:7">
      <c r="A30" s="4">
        <v>10862</v>
      </c>
      <c r="B30" s="5" t="s">
        <v>1100</v>
      </c>
      <c r="C30" s="4">
        <v>611</v>
      </c>
      <c r="D30" s="4">
        <v>45</v>
      </c>
      <c r="E30" s="4">
        <v>45</v>
      </c>
      <c r="F30" s="4">
        <v>308</v>
      </c>
      <c r="G30" s="4">
        <v>167347</v>
      </c>
    </row>
    <row r="31" spans="1:7">
      <c r="A31" s="4">
        <v>10862</v>
      </c>
      <c r="B31" s="5" t="s">
        <v>1100</v>
      </c>
      <c r="C31" s="4">
        <v>612</v>
      </c>
      <c r="D31" s="4">
        <v>77</v>
      </c>
      <c r="E31" s="4">
        <v>77</v>
      </c>
      <c r="F31" s="4">
        <v>315</v>
      </c>
      <c r="G31" s="4">
        <v>150816</v>
      </c>
    </row>
    <row r="32" spans="1:7">
      <c r="A32" s="4">
        <v>10862</v>
      </c>
      <c r="B32" s="5" t="s">
        <v>1100</v>
      </c>
      <c r="C32" s="4">
        <v>613</v>
      </c>
      <c r="D32" s="4">
        <v>56</v>
      </c>
      <c r="E32" s="4">
        <v>56</v>
      </c>
      <c r="F32" s="4">
        <v>302</v>
      </c>
      <c r="G32" s="4">
        <v>180054</v>
      </c>
    </row>
    <row r="33" spans="1:7">
      <c r="A33" s="4">
        <v>10862</v>
      </c>
      <c r="B33" s="5" t="s">
        <v>1100</v>
      </c>
      <c r="C33" s="4">
        <v>615</v>
      </c>
      <c r="D33" s="4">
        <v>46</v>
      </c>
      <c r="E33" s="4">
        <v>46</v>
      </c>
      <c r="F33" s="4">
        <v>336</v>
      </c>
      <c r="G33" s="4">
        <v>103272</v>
      </c>
    </row>
    <row r="34" spans="1:7">
      <c r="A34" s="4">
        <v>10862</v>
      </c>
      <c r="B34" s="5" t="s">
        <v>1100</v>
      </c>
      <c r="C34" s="4">
        <v>616</v>
      </c>
      <c r="D34" s="4">
        <v>15</v>
      </c>
      <c r="E34" s="4">
        <v>15</v>
      </c>
      <c r="F34" s="4">
        <v>302</v>
      </c>
      <c r="G34" s="4">
        <v>181372</v>
      </c>
    </row>
    <row r="35" spans="1:7">
      <c r="A35" s="4">
        <v>10862</v>
      </c>
      <c r="B35" s="5" t="s">
        <v>1100</v>
      </c>
      <c r="C35" s="4">
        <v>617</v>
      </c>
      <c r="D35" s="4">
        <v>15</v>
      </c>
      <c r="E35" s="4">
        <v>15</v>
      </c>
      <c r="F35" s="4">
        <v>340</v>
      </c>
      <c r="G35" s="4">
        <v>95088</v>
      </c>
    </row>
    <row r="36" spans="1:7">
      <c r="A36" s="4">
        <v>10965</v>
      </c>
      <c r="B36" s="5" t="s">
        <v>1101</v>
      </c>
      <c r="C36" s="4">
        <v>601</v>
      </c>
      <c r="D36" s="4">
        <v>1500</v>
      </c>
      <c r="E36" s="4">
        <v>1110</v>
      </c>
      <c r="F36" s="4">
        <v>190</v>
      </c>
      <c r="G36" s="4">
        <v>373008</v>
      </c>
    </row>
    <row r="37" spans="1:7">
      <c r="A37" s="4">
        <v>11113</v>
      </c>
      <c r="B37" s="5" t="s">
        <v>1102</v>
      </c>
      <c r="C37" s="4">
        <v>601</v>
      </c>
      <c r="D37" s="4">
        <v>449</v>
      </c>
      <c r="E37" s="4">
        <v>449</v>
      </c>
      <c r="F37" s="4">
        <v>403</v>
      </c>
      <c r="G37" s="4">
        <v>2426</v>
      </c>
    </row>
    <row r="38" spans="1:7">
      <c r="A38" s="4">
        <v>11113</v>
      </c>
      <c r="B38" s="5" t="s">
        <v>1102</v>
      </c>
      <c r="C38" s="4">
        <v>602</v>
      </c>
      <c r="D38" s="4">
        <v>500</v>
      </c>
      <c r="E38" s="4">
        <v>500</v>
      </c>
      <c r="F38" s="4">
        <v>397</v>
      </c>
      <c r="G38" s="4">
        <v>5171</v>
      </c>
    </row>
    <row r="39" spans="1:7">
      <c r="A39" s="4">
        <v>11113</v>
      </c>
      <c r="B39" s="5" t="s">
        <v>1102</v>
      </c>
      <c r="C39" s="4">
        <v>603</v>
      </c>
      <c r="D39" s="4">
        <v>703</v>
      </c>
      <c r="E39" s="4">
        <v>703</v>
      </c>
      <c r="F39" s="4">
        <v>390</v>
      </c>
      <c r="G39" s="4">
        <v>9367</v>
      </c>
    </row>
    <row r="40" spans="1:7">
      <c r="A40" s="4">
        <v>11113</v>
      </c>
      <c r="B40" s="5" t="s">
        <v>1102</v>
      </c>
      <c r="C40" s="4">
        <v>604</v>
      </c>
      <c r="D40" s="4">
        <v>282</v>
      </c>
      <c r="E40" s="4">
        <v>282</v>
      </c>
      <c r="F40" s="4">
        <v>390</v>
      </c>
      <c r="G40" s="4">
        <v>9890</v>
      </c>
    </row>
    <row r="41" spans="1:7">
      <c r="A41" s="4">
        <v>11113</v>
      </c>
      <c r="B41" s="5" t="s">
        <v>1102</v>
      </c>
      <c r="C41" s="4">
        <v>605</v>
      </c>
      <c r="D41" s="4">
        <v>95</v>
      </c>
      <c r="E41" s="4">
        <v>95</v>
      </c>
      <c r="F41" s="4">
        <v>387</v>
      </c>
      <c r="G41" s="4">
        <v>12684</v>
      </c>
    </row>
    <row r="42" spans="1:7">
      <c r="A42" s="4">
        <v>11113</v>
      </c>
      <c r="B42" s="5" t="s">
        <v>1102</v>
      </c>
      <c r="C42" s="4">
        <v>606</v>
      </c>
      <c r="D42" s="4">
        <v>165</v>
      </c>
      <c r="E42" s="4">
        <v>165</v>
      </c>
      <c r="F42" s="4">
        <v>396</v>
      </c>
      <c r="G42" s="4">
        <v>5357</v>
      </c>
    </row>
    <row r="43" spans="1:7">
      <c r="A43" s="4">
        <v>11113</v>
      </c>
      <c r="B43" s="5" t="s">
        <v>1102</v>
      </c>
      <c r="C43" s="4">
        <v>607</v>
      </c>
      <c r="D43" s="4">
        <v>229</v>
      </c>
      <c r="E43" s="4">
        <v>229</v>
      </c>
      <c r="F43" s="4">
        <v>394</v>
      </c>
      <c r="G43" s="4">
        <v>6763</v>
      </c>
    </row>
    <row r="44" spans="1:7">
      <c r="A44" s="4">
        <v>11113</v>
      </c>
      <c r="B44" s="5" t="s">
        <v>1102</v>
      </c>
      <c r="C44" s="4">
        <v>608</v>
      </c>
      <c r="D44" s="4">
        <v>63</v>
      </c>
      <c r="E44" s="4">
        <v>63</v>
      </c>
      <c r="F44" s="4">
        <v>384</v>
      </c>
      <c r="G44" s="4">
        <v>14791</v>
      </c>
    </row>
    <row r="45" spans="1:7">
      <c r="A45" s="4">
        <v>11114</v>
      </c>
      <c r="B45" s="5" t="s">
        <v>1103</v>
      </c>
      <c r="C45" s="4">
        <v>601</v>
      </c>
      <c r="D45" s="4">
        <v>1630</v>
      </c>
      <c r="E45" s="4">
        <v>1630</v>
      </c>
      <c r="F45" s="4">
        <v>294</v>
      </c>
      <c r="G45" s="4">
        <v>198029</v>
      </c>
    </row>
    <row r="46" spans="1:7">
      <c r="A46" s="4">
        <v>11121</v>
      </c>
      <c r="B46" s="5" t="s">
        <v>1104</v>
      </c>
      <c r="C46" s="4">
        <v>601</v>
      </c>
      <c r="D46" s="4">
        <v>936</v>
      </c>
      <c r="E46" s="4">
        <v>936</v>
      </c>
      <c r="F46" s="4">
        <v>281</v>
      </c>
      <c r="G46" s="4">
        <v>224990</v>
      </c>
    </row>
    <row r="47" spans="1:7">
      <c r="A47" s="4">
        <v>11121</v>
      </c>
      <c r="B47" s="5" t="s">
        <v>1104</v>
      </c>
      <c r="C47" s="4">
        <v>602</v>
      </c>
      <c r="D47" s="4">
        <v>112</v>
      </c>
      <c r="E47" s="4">
        <v>112</v>
      </c>
      <c r="F47" s="4">
        <v>275</v>
      </c>
      <c r="G47" s="4">
        <v>237590</v>
      </c>
    </row>
    <row r="48" spans="1:7">
      <c r="A48" s="4">
        <v>12040</v>
      </c>
      <c r="B48" s="5" t="s">
        <v>1105</v>
      </c>
      <c r="C48" s="4">
        <v>601</v>
      </c>
      <c r="D48" s="4">
        <v>120</v>
      </c>
      <c r="E48" s="4">
        <v>120</v>
      </c>
      <c r="F48" s="4">
        <v>362</v>
      </c>
      <c r="G48" s="4">
        <v>47867</v>
      </c>
    </row>
    <row r="49" spans="1:7">
      <c r="A49" s="4">
        <v>12040</v>
      </c>
      <c r="B49" s="5" t="s">
        <v>1105</v>
      </c>
      <c r="C49" s="4">
        <v>602</v>
      </c>
      <c r="D49" s="4">
        <v>65</v>
      </c>
      <c r="E49" s="4">
        <v>65</v>
      </c>
      <c r="F49" s="4">
        <v>381</v>
      </c>
      <c r="G49" s="4">
        <v>18771</v>
      </c>
    </row>
    <row r="50" spans="1:7">
      <c r="A50" s="4">
        <v>12040</v>
      </c>
      <c r="B50" s="5" t="s">
        <v>1105</v>
      </c>
      <c r="C50" s="4">
        <v>603</v>
      </c>
      <c r="D50" s="4">
        <v>140</v>
      </c>
      <c r="E50" s="4">
        <v>140</v>
      </c>
      <c r="F50" s="4">
        <v>371</v>
      </c>
      <c r="G50" s="4">
        <v>33191</v>
      </c>
    </row>
    <row r="51" spans="1:7">
      <c r="A51" s="4">
        <v>12040</v>
      </c>
      <c r="B51" s="5" t="s">
        <v>1105</v>
      </c>
      <c r="C51" s="4">
        <v>604</v>
      </c>
      <c r="D51" s="4">
        <v>210</v>
      </c>
      <c r="E51" s="4">
        <v>210</v>
      </c>
      <c r="F51" s="4">
        <v>374</v>
      </c>
      <c r="G51" s="4">
        <v>27902</v>
      </c>
    </row>
    <row r="52" spans="1:7">
      <c r="A52" s="4">
        <v>12040</v>
      </c>
      <c r="B52" s="5" t="s">
        <v>1105</v>
      </c>
      <c r="C52" s="4">
        <v>605</v>
      </c>
      <c r="D52" s="4">
        <v>80</v>
      </c>
      <c r="E52" s="4">
        <v>80</v>
      </c>
      <c r="F52" s="4">
        <v>376</v>
      </c>
      <c r="G52" s="4">
        <v>24754</v>
      </c>
    </row>
    <row r="53" spans="1:7">
      <c r="A53" s="4">
        <v>12040</v>
      </c>
      <c r="B53" s="5" t="s">
        <v>1105</v>
      </c>
      <c r="C53" s="4">
        <v>606</v>
      </c>
      <c r="D53" s="4">
        <v>30</v>
      </c>
      <c r="E53" s="4">
        <v>30</v>
      </c>
      <c r="F53" s="4">
        <v>356</v>
      </c>
      <c r="G53" s="4">
        <v>61124</v>
      </c>
    </row>
    <row r="54" spans="1:7">
      <c r="A54" s="4">
        <v>12046</v>
      </c>
      <c r="B54" s="5" t="s">
        <v>1106</v>
      </c>
      <c r="C54" s="4">
        <v>601</v>
      </c>
      <c r="D54" s="4">
        <v>360</v>
      </c>
      <c r="E54" s="4">
        <v>360</v>
      </c>
      <c r="F54" s="4">
        <v>375</v>
      </c>
      <c r="G54" s="4">
        <v>27274</v>
      </c>
    </row>
    <row r="55" spans="1:7">
      <c r="A55" s="4">
        <v>12046</v>
      </c>
      <c r="B55" s="5" t="s">
        <v>1106</v>
      </c>
      <c r="C55" s="4">
        <v>602</v>
      </c>
      <c r="D55" s="4">
        <v>130</v>
      </c>
      <c r="E55" s="4">
        <v>130</v>
      </c>
      <c r="F55" s="4">
        <v>366</v>
      </c>
      <c r="G55" s="4">
        <v>40441</v>
      </c>
    </row>
    <row r="56" spans="1:7">
      <c r="A56" s="4">
        <v>12046</v>
      </c>
      <c r="B56" s="5" t="s">
        <v>1106</v>
      </c>
      <c r="C56" s="4">
        <v>603</v>
      </c>
      <c r="D56" s="4">
        <v>85</v>
      </c>
      <c r="E56" s="4">
        <v>85</v>
      </c>
      <c r="F56" s="4">
        <v>384</v>
      </c>
      <c r="G56" s="4">
        <v>15543</v>
      </c>
    </row>
    <row r="57" spans="1:7">
      <c r="A57" s="4">
        <v>12046</v>
      </c>
      <c r="B57" s="5" t="s">
        <v>1106</v>
      </c>
      <c r="C57" s="4">
        <v>604</v>
      </c>
      <c r="D57" s="4">
        <v>133</v>
      </c>
      <c r="E57" s="4">
        <v>133</v>
      </c>
      <c r="F57" s="4">
        <v>380</v>
      </c>
      <c r="G57" s="4">
        <v>19461</v>
      </c>
    </row>
    <row r="58" spans="1:7">
      <c r="A58" s="4">
        <v>12046</v>
      </c>
      <c r="B58" s="5" t="s">
        <v>1106</v>
      </c>
      <c r="C58" s="4">
        <v>605</v>
      </c>
      <c r="D58" s="4">
        <v>67</v>
      </c>
      <c r="E58" s="4">
        <v>67</v>
      </c>
      <c r="F58" s="4">
        <v>379</v>
      </c>
      <c r="G58" s="4">
        <v>20725</v>
      </c>
    </row>
    <row r="59" spans="1:7">
      <c r="A59" s="4">
        <v>12046</v>
      </c>
      <c r="B59" s="5" t="s">
        <v>1106</v>
      </c>
      <c r="C59" s="4">
        <v>606</v>
      </c>
      <c r="D59" s="4">
        <v>63</v>
      </c>
      <c r="E59" s="4">
        <v>63</v>
      </c>
      <c r="F59" s="4">
        <v>374</v>
      </c>
      <c r="G59" s="4">
        <v>27603</v>
      </c>
    </row>
    <row r="60" spans="1:7">
      <c r="A60" s="4">
        <v>12046</v>
      </c>
      <c r="B60" s="5" t="s">
        <v>1106</v>
      </c>
      <c r="C60" s="4">
        <v>607</v>
      </c>
      <c r="D60" s="4">
        <v>42</v>
      </c>
      <c r="E60" s="4">
        <v>42</v>
      </c>
      <c r="F60" s="4">
        <v>382</v>
      </c>
      <c r="G60" s="4">
        <v>17547</v>
      </c>
    </row>
    <row r="61" spans="1:7">
      <c r="A61" s="4">
        <v>12046</v>
      </c>
      <c r="B61" s="5" t="s">
        <v>1106</v>
      </c>
      <c r="C61" s="4">
        <v>608</v>
      </c>
      <c r="D61" s="4">
        <v>70</v>
      </c>
      <c r="E61" s="4">
        <v>70</v>
      </c>
      <c r="F61" s="4">
        <v>336</v>
      </c>
      <c r="G61" s="4">
        <v>102735</v>
      </c>
    </row>
    <row r="62" spans="1:7">
      <c r="A62" s="4">
        <v>12060</v>
      </c>
      <c r="B62" s="5" t="s">
        <v>1107</v>
      </c>
      <c r="C62" s="4">
        <v>601</v>
      </c>
      <c r="D62" s="4">
        <v>620</v>
      </c>
      <c r="E62" s="4">
        <v>620</v>
      </c>
      <c r="F62" s="4">
        <v>313</v>
      </c>
      <c r="G62" s="4">
        <v>156125</v>
      </c>
    </row>
    <row r="63" spans="1:7">
      <c r="A63" s="4">
        <v>12060</v>
      </c>
      <c r="B63" s="5" t="s">
        <v>1107</v>
      </c>
      <c r="C63" s="4">
        <v>602</v>
      </c>
      <c r="D63" s="4">
        <v>183</v>
      </c>
      <c r="E63" s="4">
        <v>183</v>
      </c>
      <c r="F63" s="4">
        <v>308</v>
      </c>
      <c r="G63" s="4">
        <v>167542</v>
      </c>
    </row>
    <row r="64" spans="1:7">
      <c r="A64" s="4">
        <v>12322</v>
      </c>
      <c r="B64" s="5" t="s">
        <v>1108</v>
      </c>
      <c r="C64" s="4">
        <v>601</v>
      </c>
      <c r="D64" s="4">
        <v>1640</v>
      </c>
      <c r="E64" s="4">
        <v>1640</v>
      </c>
      <c r="F64" s="4">
        <v>307</v>
      </c>
      <c r="G64" s="4">
        <v>168733</v>
      </c>
    </row>
    <row r="65" spans="1:7">
      <c r="A65" s="4">
        <v>12322</v>
      </c>
      <c r="B65" s="5" t="s">
        <v>1108</v>
      </c>
      <c r="C65" s="4">
        <v>602</v>
      </c>
      <c r="D65" s="4">
        <v>45</v>
      </c>
      <c r="E65" s="4">
        <v>45</v>
      </c>
      <c r="F65" s="4">
        <v>296</v>
      </c>
      <c r="G65" s="4">
        <v>192367</v>
      </c>
    </row>
    <row r="66" spans="1:7">
      <c r="A66" s="4">
        <v>12322</v>
      </c>
      <c r="B66" s="5" t="s">
        <v>1108</v>
      </c>
      <c r="C66" s="4">
        <v>603</v>
      </c>
      <c r="D66" s="4">
        <v>50</v>
      </c>
      <c r="E66" s="4">
        <v>50</v>
      </c>
      <c r="F66" s="4">
        <v>305</v>
      </c>
      <c r="G66" s="4">
        <v>173118</v>
      </c>
    </row>
    <row r="67" spans="1:7">
      <c r="A67" s="4">
        <v>12322</v>
      </c>
      <c r="B67" s="5" t="s">
        <v>1108</v>
      </c>
      <c r="C67" s="4">
        <v>604</v>
      </c>
      <c r="D67" s="4">
        <v>20</v>
      </c>
      <c r="E67" s="4">
        <v>20</v>
      </c>
      <c r="F67" s="4">
        <v>292</v>
      </c>
      <c r="G67" s="4">
        <v>201485</v>
      </c>
    </row>
    <row r="68" spans="1:7">
      <c r="A68" s="4">
        <v>12322</v>
      </c>
      <c r="B68" s="5" t="s">
        <v>1108</v>
      </c>
      <c r="C68" s="4">
        <v>606</v>
      </c>
      <c r="D68" s="4">
        <v>125</v>
      </c>
      <c r="E68" s="4">
        <v>125</v>
      </c>
      <c r="F68" s="4">
        <v>299</v>
      </c>
      <c r="G68" s="4">
        <v>187874</v>
      </c>
    </row>
    <row r="69" spans="1:7">
      <c r="A69" s="4">
        <v>12325</v>
      </c>
      <c r="B69" s="5" t="s">
        <v>1109</v>
      </c>
      <c r="C69" s="4">
        <v>601</v>
      </c>
      <c r="D69" s="4">
        <v>652</v>
      </c>
      <c r="E69" s="4">
        <v>652</v>
      </c>
      <c r="F69" s="4">
        <v>252</v>
      </c>
      <c r="G69" s="4">
        <v>282039</v>
      </c>
    </row>
    <row r="70" spans="1:7">
      <c r="A70" s="4">
        <v>12325</v>
      </c>
      <c r="B70" s="5" t="s">
        <v>1109</v>
      </c>
      <c r="C70" s="4">
        <v>603</v>
      </c>
      <c r="D70" s="4">
        <v>24</v>
      </c>
      <c r="E70" s="4">
        <v>24</v>
      </c>
      <c r="F70" s="4">
        <v>250</v>
      </c>
      <c r="G70" s="4">
        <v>286073</v>
      </c>
    </row>
    <row r="71" spans="1:7">
      <c r="A71" s="4">
        <v>12327</v>
      </c>
      <c r="B71" s="5" t="s">
        <v>1110</v>
      </c>
      <c r="C71" s="4">
        <v>601</v>
      </c>
      <c r="D71" s="4">
        <v>187</v>
      </c>
      <c r="E71" s="4">
        <v>189</v>
      </c>
      <c r="F71" s="4">
        <v>373</v>
      </c>
      <c r="G71" s="4">
        <v>29366</v>
      </c>
    </row>
    <row r="72" spans="1:7">
      <c r="A72" s="4">
        <v>12327</v>
      </c>
      <c r="B72" s="5" t="s">
        <v>1110</v>
      </c>
      <c r="C72" s="4">
        <v>602</v>
      </c>
      <c r="D72" s="4">
        <v>325</v>
      </c>
      <c r="E72" s="4">
        <v>325</v>
      </c>
      <c r="F72" s="4">
        <v>372</v>
      </c>
      <c r="G72" s="4">
        <v>30826</v>
      </c>
    </row>
    <row r="73" spans="1:7">
      <c r="A73" s="4">
        <v>12327</v>
      </c>
      <c r="B73" s="5" t="s">
        <v>1110</v>
      </c>
      <c r="C73" s="4">
        <v>603</v>
      </c>
      <c r="D73" s="4">
        <v>118</v>
      </c>
      <c r="E73" s="4">
        <v>118</v>
      </c>
      <c r="F73" s="4">
        <v>369</v>
      </c>
      <c r="G73" s="4">
        <v>36295</v>
      </c>
    </row>
    <row r="74" spans="1:7">
      <c r="A74" s="4">
        <v>12327</v>
      </c>
      <c r="B74" s="5" t="s">
        <v>1110</v>
      </c>
      <c r="C74" s="4">
        <v>604</v>
      </c>
      <c r="D74" s="4">
        <v>200</v>
      </c>
      <c r="E74" s="4">
        <v>200</v>
      </c>
      <c r="F74" s="4">
        <v>362</v>
      </c>
      <c r="G74" s="4">
        <v>47437</v>
      </c>
    </row>
    <row r="75" spans="1:7">
      <c r="A75" s="4">
        <v>12327</v>
      </c>
      <c r="B75" s="5" t="s">
        <v>1110</v>
      </c>
      <c r="C75" s="4">
        <v>605</v>
      </c>
      <c r="D75" s="4">
        <v>130</v>
      </c>
      <c r="E75" s="4">
        <v>130</v>
      </c>
      <c r="F75" s="4">
        <v>372</v>
      </c>
      <c r="G75" s="4">
        <v>31071</v>
      </c>
    </row>
    <row r="76" spans="1:7">
      <c r="A76" s="4">
        <v>12327</v>
      </c>
      <c r="B76" s="5" t="s">
        <v>1110</v>
      </c>
      <c r="C76" s="4">
        <v>606</v>
      </c>
      <c r="D76" s="4">
        <v>450</v>
      </c>
      <c r="E76" s="4">
        <v>450</v>
      </c>
      <c r="F76" s="4">
        <v>361</v>
      </c>
      <c r="G76" s="4">
        <v>50564</v>
      </c>
    </row>
    <row r="77" spans="1:7">
      <c r="A77" s="4">
        <v>12327</v>
      </c>
      <c r="B77" s="5" t="s">
        <v>1110</v>
      </c>
      <c r="C77" s="4">
        <v>607</v>
      </c>
      <c r="D77" s="4">
        <v>90</v>
      </c>
      <c r="E77" s="4">
        <v>90</v>
      </c>
      <c r="F77" s="4">
        <v>349</v>
      </c>
      <c r="G77" s="4">
        <v>75185</v>
      </c>
    </row>
    <row r="78" spans="1:7">
      <c r="A78" s="4">
        <v>12572</v>
      </c>
      <c r="B78" s="5" t="s">
        <v>1111</v>
      </c>
      <c r="C78" s="4">
        <v>601</v>
      </c>
      <c r="D78" s="4">
        <v>285</v>
      </c>
      <c r="E78" s="4">
        <v>285</v>
      </c>
      <c r="F78" s="4">
        <v>374</v>
      </c>
      <c r="G78" s="4">
        <v>27489</v>
      </c>
    </row>
    <row r="79" spans="1:7">
      <c r="A79" s="4">
        <v>12572</v>
      </c>
      <c r="B79" s="5" t="s">
        <v>1111</v>
      </c>
      <c r="C79" s="4">
        <v>602</v>
      </c>
      <c r="D79" s="4">
        <v>211</v>
      </c>
      <c r="E79" s="4">
        <v>211</v>
      </c>
      <c r="F79" s="4">
        <v>370</v>
      </c>
      <c r="G79" s="4">
        <v>34955</v>
      </c>
    </row>
    <row r="80" spans="1:7">
      <c r="A80" s="4">
        <v>12572</v>
      </c>
      <c r="B80" s="5" t="s">
        <v>1111</v>
      </c>
      <c r="C80" s="4">
        <v>603</v>
      </c>
      <c r="D80" s="4">
        <v>200</v>
      </c>
      <c r="E80" s="4">
        <v>200</v>
      </c>
      <c r="F80" s="4">
        <v>372</v>
      </c>
      <c r="G80" s="4">
        <v>30794</v>
      </c>
    </row>
    <row r="81" spans="1:7">
      <c r="A81" s="4">
        <v>12572</v>
      </c>
      <c r="B81" s="5" t="s">
        <v>1111</v>
      </c>
      <c r="C81" s="4">
        <v>604</v>
      </c>
      <c r="D81" s="4">
        <v>135</v>
      </c>
      <c r="E81" s="4">
        <v>135</v>
      </c>
      <c r="F81" s="4">
        <v>347</v>
      </c>
      <c r="G81" s="4">
        <v>79532</v>
      </c>
    </row>
    <row r="82" spans="1:7">
      <c r="A82" s="4">
        <v>12572</v>
      </c>
      <c r="B82" s="5" t="s">
        <v>1111</v>
      </c>
      <c r="C82" s="4">
        <v>606</v>
      </c>
      <c r="D82" s="4">
        <v>60</v>
      </c>
      <c r="E82" s="4">
        <v>60</v>
      </c>
      <c r="F82" s="4">
        <v>366</v>
      </c>
      <c r="G82" s="4">
        <v>41709</v>
      </c>
    </row>
    <row r="83" spans="1:7">
      <c r="A83" s="4">
        <v>12572</v>
      </c>
      <c r="B83" s="5" t="s">
        <v>1111</v>
      </c>
      <c r="C83" s="4">
        <v>607</v>
      </c>
      <c r="D83" s="4">
        <v>70</v>
      </c>
      <c r="E83" s="4">
        <v>70</v>
      </c>
      <c r="F83" s="4">
        <v>372</v>
      </c>
      <c r="G83" s="4">
        <v>31179</v>
      </c>
    </row>
    <row r="84" spans="1:7">
      <c r="A84" s="4">
        <v>12572</v>
      </c>
      <c r="B84" s="5" t="s">
        <v>1111</v>
      </c>
      <c r="C84" s="4">
        <v>608</v>
      </c>
      <c r="D84" s="4">
        <v>30</v>
      </c>
      <c r="E84" s="4">
        <v>30</v>
      </c>
      <c r="F84" s="4">
        <v>332</v>
      </c>
      <c r="G84" s="4">
        <v>111152</v>
      </c>
    </row>
    <row r="85" spans="1:7">
      <c r="A85" s="4">
        <v>12572</v>
      </c>
      <c r="B85" s="5" t="s">
        <v>1111</v>
      </c>
      <c r="C85" s="4">
        <v>612</v>
      </c>
      <c r="D85" s="4">
        <v>20</v>
      </c>
      <c r="E85" s="4">
        <v>20</v>
      </c>
      <c r="F85" s="4">
        <v>321</v>
      </c>
      <c r="G85" s="4">
        <v>136820</v>
      </c>
    </row>
    <row r="86" spans="1:7">
      <c r="A86" s="4">
        <v>12573</v>
      </c>
      <c r="B86" s="5" t="s">
        <v>1112</v>
      </c>
      <c r="C86" s="4">
        <v>601</v>
      </c>
      <c r="D86" s="4">
        <v>1973</v>
      </c>
      <c r="E86" s="4">
        <v>1973</v>
      </c>
      <c r="F86" s="4">
        <v>338</v>
      </c>
      <c r="G86" s="4">
        <v>98693</v>
      </c>
    </row>
    <row r="87" spans="1:7">
      <c r="A87" s="4">
        <v>12573</v>
      </c>
      <c r="B87" s="5" t="s">
        <v>1112</v>
      </c>
      <c r="C87" s="4">
        <v>602</v>
      </c>
      <c r="D87" s="4">
        <v>995</v>
      </c>
      <c r="E87" s="4">
        <v>995</v>
      </c>
      <c r="F87" s="4">
        <v>315</v>
      </c>
      <c r="G87" s="4">
        <v>150961</v>
      </c>
    </row>
    <row r="88" spans="1:7">
      <c r="A88" s="4">
        <v>12573</v>
      </c>
      <c r="B88" s="5" t="s">
        <v>1112</v>
      </c>
      <c r="C88" s="4">
        <v>603</v>
      </c>
      <c r="D88" s="4">
        <v>120</v>
      </c>
      <c r="E88" s="4">
        <v>120</v>
      </c>
      <c r="F88" s="4">
        <v>303</v>
      </c>
      <c r="G88" s="4">
        <v>178985</v>
      </c>
    </row>
    <row r="89" spans="1:7">
      <c r="A89" s="4">
        <v>12575</v>
      </c>
      <c r="B89" s="5" t="s">
        <v>1113</v>
      </c>
      <c r="C89" s="4">
        <v>601</v>
      </c>
      <c r="D89" s="4">
        <v>382</v>
      </c>
      <c r="E89" s="4">
        <v>382</v>
      </c>
      <c r="F89" s="4">
        <v>282</v>
      </c>
      <c r="G89" s="4">
        <v>223617</v>
      </c>
    </row>
    <row r="90" spans="1:7">
      <c r="A90" s="4">
        <v>12575</v>
      </c>
      <c r="B90" s="5" t="s">
        <v>1113</v>
      </c>
      <c r="C90" s="4">
        <v>602</v>
      </c>
      <c r="D90" s="4">
        <v>290</v>
      </c>
      <c r="E90" s="4">
        <v>290</v>
      </c>
      <c r="F90" s="4">
        <v>262</v>
      </c>
      <c r="G90" s="4">
        <v>262542</v>
      </c>
    </row>
    <row r="91" spans="1:7">
      <c r="A91" s="4">
        <v>12576</v>
      </c>
      <c r="B91" s="5" t="s">
        <v>1114</v>
      </c>
      <c r="C91" s="4">
        <v>601</v>
      </c>
      <c r="D91" s="4">
        <v>503</v>
      </c>
      <c r="E91" s="4">
        <v>453</v>
      </c>
      <c r="F91" s="4">
        <v>190</v>
      </c>
      <c r="G91" s="4">
        <v>372987</v>
      </c>
    </row>
    <row r="92" spans="1:7">
      <c r="A92" s="4">
        <v>12577</v>
      </c>
      <c r="B92" s="5" t="s">
        <v>1115</v>
      </c>
      <c r="C92" s="4">
        <v>601</v>
      </c>
      <c r="D92" s="4">
        <v>800</v>
      </c>
      <c r="E92" s="4">
        <v>800</v>
      </c>
      <c r="F92" s="4">
        <v>337</v>
      </c>
      <c r="G92" s="4">
        <v>101851</v>
      </c>
    </row>
    <row r="93" spans="1:7">
      <c r="A93" s="4">
        <v>12578</v>
      </c>
      <c r="B93" s="5" t="s">
        <v>1116</v>
      </c>
      <c r="C93" s="4">
        <v>601</v>
      </c>
      <c r="D93" s="4">
        <v>68</v>
      </c>
      <c r="E93" s="4">
        <v>68</v>
      </c>
      <c r="F93" s="4">
        <v>311</v>
      </c>
      <c r="G93" s="4">
        <v>160403</v>
      </c>
    </row>
    <row r="94" spans="1:7">
      <c r="A94" s="4">
        <v>12736</v>
      </c>
      <c r="B94" s="5" t="s">
        <v>1117</v>
      </c>
      <c r="C94" s="4">
        <v>601</v>
      </c>
      <c r="D94" s="4">
        <v>1855</v>
      </c>
      <c r="E94" s="4">
        <v>1855</v>
      </c>
      <c r="F94" s="4">
        <v>318</v>
      </c>
      <c r="G94" s="4">
        <v>143642</v>
      </c>
    </row>
    <row r="95" spans="1:7">
      <c r="A95" s="4">
        <v>12736</v>
      </c>
      <c r="B95" s="5" t="s">
        <v>1117</v>
      </c>
      <c r="C95" s="4">
        <v>605</v>
      </c>
      <c r="D95" s="4">
        <v>55</v>
      </c>
      <c r="E95" s="4">
        <v>55</v>
      </c>
      <c r="F95" s="4">
        <v>278</v>
      </c>
      <c r="G95" s="4">
        <v>231276</v>
      </c>
    </row>
    <row r="96" spans="1:7">
      <c r="A96" s="4">
        <v>12741</v>
      </c>
      <c r="B96" s="5" t="s">
        <v>1118</v>
      </c>
      <c r="C96" s="4">
        <v>601</v>
      </c>
      <c r="D96" s="4">
        <v>1763</v>
      </c>
      <c r="E96" s="4">
        <v>1763</v>
      </c>
      <c r="F96" s="4">
        <v>311</v>
      </c>
      <c r="G96" s="4">
        <v>161106</v>
      </c>
    </row>
    <row r="97" spans="1:7">
      <c r="A97" s="4">
        <v>12741</v>
      </c>
      <c r="B97" s="5" t="s">
        <v>1118</v>
      </c>
      <c r="C97" s="4">
        <v>602</v>
      </c>
      <c r="D97" s="4">
        <v>215</v>
      </c>
      <c r="E97" s="4">
        <v>215</v>
      </c>
      <c r="F97" s="4">
        <v>309</v>
      </c>
      <c r="G97" s="4">
        <v>165241</v>
      </c>
    </row>
    <row r="98" spans="1:7">
      <c r="A98" s="4">
        <v>12741</v>
      </c>
      <c r="B98" s="5" t="s">
        <v>1118</v>
      </c>
      <c r="C98" s="4">
        <v>604</v>
      </c>
      <c r="D98" s="4">
        <v>653</v>
      </c>
      <c r="E98" s="4">
        <v>653</v>
      </c>
      <c r="F98" s="4">
        <v>296</v>
      </c>
      <c r="G98" s="4">
        <v>192928</v>
      </c>
    </row>
    <row r="99" spans="1:7">
      <c r="A99" s="4">
        <v>12741</v>
      </c>
      <c r="B99" s="5" t="s">
        <v>1118</v>
      </c>
      <c r="C99" s="4">
        <v>605</v>
      </c>
      <c r="D99" s="4">
        <v>30</v>
      </c>
      <c r="E99" s="4">
        <v>30</v>
      </c>
      <c r="F99" s="4">
        <v>301</v>
      </c>
      <c r="G99" s="4">
        <v>182899</v>
      </c>
    </row>
    <row r="100" spans="1:7">
      <c r="A100" s="4">
        <v>12742</v>
      </c>
      <c r="B100" s="5" t="s">
        <v>1119</v>
      </c>
      <c r="C100" s="4">
        <v>602</v>
      </c>
      <c r="D100" s="4">
        <v>125</v>
      </c>
      <c r="E100" s="4">
        <v>125</v>
      </c>
      <c r="F100" s="4">
        <v>312</v>
      </c>
      <c r="G100" s="4">
        <v>158278</v>
      </c>
    </row>
    <row r="101" spans="1:7">
      <c r="A101" s="4">
        <v>12742</v>
      </c>
      <c r="B101" s="5" t="s">
        <v>1119</v>
      </c>
      <c r="C101" s="4">
        <v>603</v>
      </c>
      <c r="D101" s="4">
        <v>220</v>
      </c>
      <c r="E101" s="4">
        <v>221</v>
      </c>
      <c r="F101" s="4">
        <v>295</v>
      </c>
      <c r="G101" s="4">
        <v>196284</v>
      </c>
    </row>
    <row r="102" spans="1:7">
      <c r="A102" s="4">
        <v>12742</v>
      </c>
      <c r="B102" s="5" t="s">
        <v>1119</v>
      </c>
      <c r="C102" s="4">
        <v>604</v>
      </c>
      <c r="D102" s="4">
        <v>50</v>
      </c>
      <c r="E102" s="4">
        <v>50</v>
      </c>
      <c r="F102" s="4">
        <v>294</v>
      </c>
      <c r="G102" s="4">
        <v>197361</v>
      </c>
    </row>
    <row r="103" spans="1:7">
      <c r="A103" s="4">
        <v>12742</v>
      </c>
      <c r="B103" s="5" t="s">
        <v>1119</v>
      </c>
      <c r="C103" s="4">
        <v>605</v>
      </c>
      <c r="D103" s="4">
        <v>155</v>
      </c>
      <c r="E103" s="4">
        <v>155</v>
      </c>
      <c r="F103" s="4">
        <v>296</v>
      </c>
      <c r="G103" s="4">
        <v>194247</v>
      </c>
    </row>
    <row r="104" spans="1:7">
      <c r="A104" s="4">
        <v>12742</v>
      </c>
      <c r="B104" s="5" t="s">
        <v>1119</v>
      </c>
      <c r="C104" s="4">
        <v>606</v>
      </c>
      <c r="D104" s="4">
        <v>150</v>
      </c>
      <c r="E104" s="4">
        <v>150</v>
      </c>
      <c r="F104" s="4">
        <v>314</v>
      </c>
      <c r="G104" s="4">
        <v>152666</v>
      </c>
    </row>
    <row r="105" spans="1:7">
      <c r="A105" s="4">
        <v>12742</v>
      </c>
      <c r="B105" s="5" t="s">
        <v>1119</v>
      </c>
      <c r="C105" s="4">
        <v>607</v>
      </c>
      <c r="D105" s="4">
        <v>60</v>
      </c>
      <c r="E105" s="4">
        <v>60</v>
      </c>
      <c r="F105" s="4">
        <v>332</v>
      </c>
      <c r="G105" s="4">
        <v>110982</v>
      </c>
    </row>
    <row r="106" spans="1:7">
      <c r="A106" s="4">
        <v>12743</v>
      </c>
      <c r="B106" s="5" t="s">
        <v>1120</v>
      </c>
      <c r="C106" s="4">
        <v>605</v>
      </c>
      <c r="D106" s="4">
        <v>275</v>
      </c>
      <c r="E106" s="4">
        <v>275</v>
      </c>
      <c r="F106" s="4">
        <v>360</v>
      </c>
      <c r="G106" s="4">
        <v>51455</v>
      </c>
    </row>
    <row r="107" spans="1:7">
      <c r="A107" s="4">
        <v>12743</v>
      </c>
      <c r="B107" s="5" t="s">
        <v>1120</v>
      </c>
      <c r="C107" s="4">
        <v>606</v>
      </c>
      <c r="D107" s="4">
        <v>184</v>
      </c>
      <c r="E107" s="4">
        <v>184</v>
      </c>
      <c r="F107" s="4">
        <v>364</v>
      </c>
      <c r="G107" s="4">
        <v>45178</v>
      </c>
    </row>
    <row r="108" spans="1:7">
      <c r="A108" s="4">
        <v>12743</v>
      </c>
      <c r="B108" s="5" t="s">
        <v>1120</v>
      </c>
      <c r="C108" s="4">
        <v>607</v>
      </c>
      <c r="D108" s="4">
        <v>234</v>
      </c>
      <c r="E108" s="4">
        <v>234</v>
      </c>
      <c r="F108" s="4">
        <v>339</v>
      </c>
      <c r="G108" s="4">
        <v>97140</v>
      </c>
    </row>
    <row r="109" spans="1:7">
      <c r="A109" s="4">
        <v>12743</v>
      </c>
      <c r="B109" s="5" t="s">
        <v>1120</v>
      </c>
      <c r="C109" s="4">
        <v>608</v>
      </c>
      <c r="D109" s="4">
        <v>14</v>
      </c>
      <c r="E109" s="4">
        <v>14</v>
      </c>
      <c r="F109" s="4">
        <v>309</v>
      </c>
      <c r="G109" s="4">
        <v>163700</v>
      </c>
    </row>
    <row r="110" spans="1:7">
      <c r="A110" s="4">
        <v>12749</v>
      </c>
      <c r="B110" s="5" t="s">
        <v>1121</v>
      </c>
      <c r="C110" s="4">
        <v>601</v>
      </c>
      <c r="D110" s="4">
        <v>3611</v>
      </c>
      <c r="E110" s="4">
        <v>3611</v>
      </c>
      <c r="F110" s="4">
        <v>196</v>
      </c>
      <c r="G110" s="4">
        <v>366065</v>
      </c>
    </row>
    <row r="111" spans="1:7">
      <c r="A111" s="4">
        <v>12749</v>
      </c>
      <c r="B111" s="5" t="s">
        <v>1121</v>
      </c>
      <c r="C111" s="4">
        <v>602</v>
      </c>
      <c r="D111" s="4">
        <v>55</v>
      </c>
      <c r="E111" s="4">
        <v>55</v>
      </c>
      <c r="F111" s="4">
        <v>201</v>
      </c>
      <c r="G111" s="4">
        <v>359573</v>
      </c>
    </row>
    <row r="112" spans="1:7">
      <c r="A112" s="4">
        <v>12749</v>
      </c>
      <c r="B112" s="5" t="s">
        <v>1121</v>
      </c>
      <c r="C112" s="4">
        <v>603</v>
      </c>
      <c r="D112" s="4">
        <v>365</v>
      </c>
      <c r="E112" s="4">
        <v>128</v>
      </c>
      <c r="F112" s="4">
        <v>190</v>
      </c>
      <c r="G112" s="4">
        <v>372847</v>
      </c>
    </row>
    <row r="113" spans="1:7">
      <c r="A113" s="4">
        <v>12765</v>
      </c>
      <c r="B113" s="5" t="s">
        <v>1122</v>
      </c>
      <c r="C113" s="4">
        <v>601</v>
      </c>
      <c r="D113" s="4">
        <v>10</v>
      </c>
      <c r="E113" s="4">
        <v>10</v>
      </c>
      <c r="F113" s="4">
        <v>316</v>
      </c>
      <c r="G113" s="4">
        <v>149526</v>
      </c>
    </row>
    <row r="114" spans="1:7">
      <c r="A114" s="4">
        <v>12765</v>
      </c>
      <c r="B114" s="5" t="s">
        <v>1122</v>
      </c>
      <c r="C114" s="4">
        <v>604</v>
      </c>
      <c r="D114" s="4">
        <v>120</v>
      </c>
      <c r="E114" s="4">
        <v>120</v>
      </c>
      <c r="F114" s="4">
        <v>305</v>
      </c>
      <c r="G114" s="4">
        <v>173130</v>
      </c>
    </row>
    <row r="115" spans="1:7">
      <c r="A115" s="4">
        <v>12765</v>
      </c>
      <c r="B115" s="5" t="s">
        <v>1122</v>
      </c>
      <c r="C115" s="4">
        <v>607</v>
      </c>
      <c r="D115" s="4">
        <v>30</v>
      </c>
      <c r="E115" s="4">
        <v>30</v>
      </c>
      <c r="F115" s="4">
        <v>298</v>
      </c>
      <c r="G115" s="4">
        <v>189272</v>
      </c>
    </row>
    <row r="116" spans="1:7">
      <c r="A116" s="4">
        <v>12765</v>
      </c>
      <c r="B116" s="5" t="s">
        <v>1122</v>
      </c>
      <c r="C116" s="4">
        <v>611</v>
      </c>
      <c r="D116" s="4">
        <v>50</v>
      </c>
      <c r="E116" s="4">
        <v>50</v>
      </c>
      <c r="F116" s="4">
        <v>314</v>
      </c>
      <c r="G116" s="4">
        <v>153251</v>
      </c>
    </row>
    <row r="117" spans="1:7">
      <c r="A117" s="4">
        <v>12765</v>
      </c>
      <c r="B117" s="5" t="s">
        <v>1122</v>
      </c>
      <c r="C117" s="4">
        <v>612</v>
      </c>
      <c r="D117" s="4">
        <v>190</v>
      </c>
      <c r="E117" s="4">
        <v>190</v>
      </c>
      <c r="F117" s="4">
        <v>303</v>
      </c>
      <c r="G117" s="4">
        <v>177115</v>
      </c>
    </row>
    <row r="118" spans="1:7">
      <c r="A118" s="4">
        <v>12765</v>
      </c>
      <c r="B118" s="5" t="s">
        <v>1122</v>
      </c>
      <c r="C118" s="4">
        <v>613</v>
      </c>
      <c r="D118" s="4">
        <v>50</v>
      </c>
      <c r="E118" s="4">
        <v>50</v>
      </c>
      <c r="F118" s="4">
        <v>298</v>
      </c>
      <c r="G118" s="4">
        <v>189218</v>
      </c>
    </row>
    <row r="119" spans="1:7">
      <c r="A119" s="4">
        <v>12770</v>
      </c>
      <c r="B119" s="5" t="s">
        <v>1123</v>
      </c>
      <c r="C119" s="4">
        <v>605</v>
      </c>
      <c r="D119" s="4">
        <v>513</v>
      </c>
      <c r="E119" s="4">
        <v>513</v>
      </c>
      <c r="F119" s="4">
        <v>306</v>
      </c>
      <c r="G119" s="4">
        <v>170478</v>
      </c>
    </row>
    <row r="120" spans="1:7">
      <c r="A120" s="4">
        <v>12770</v>
      </c>
      <c r="B120" s="5" t="s">
        <v>1123</v>
      </c>
      <c r="C120" s="4">
        <v>606</v>
      </c>
      <c r="D120" s="4">
        <v>283</v>
      </c>
      <c r="E120" s="4">
        <v>283</v>
      </c>
      <c r="F120" s="4">
        <v>303</v>
      </c>
      <c r="G120" s="4">
        <v>178517</v>
      </c>
    </row>
    <row r="121" spans="1:7">
      <c r="A121" s="4">
        <v>12770</v>
      </c>
      <c r="B121" s="5" t="s">
        <v>1123</v>
      </c>
      <c r="C121" s="4">
        <v>607</v>
      </c>
      <c r="D121" s="4">
        <v>68</v>
      </c>
      <c r="E121" s="4">
        <v>68</v>
      </c>
      <c r="F121" s="4">
        <v>333</v>
      </c>
      <c r="G121" s="4">
        <v>109597</v>
      </c>
    </row>
    <row r="122" spans="1:7">
      <c r="A122" s="4">
        <v>12770</v>
      </c>
      <c r="B122" s="5" t="s">
        <v>1123</v>
      </c>
      <c r="C122" s="4">
        <v>608</v>
      </c>
      <c r="D122" s="4">
        <v>200</v>
      </c>
      <c r="E122" s="4">
        <v>200</v>
      </c>
      <c r="F122" s="4">
        <v>304</v>
      </c>
      <c r="G122" s="4">
        <v>175567</v>
      </c>
    </row>
    <row r="123" spans="1:7">
      <c r="A123" s="4">
        <v>12770</v>
      </c>
      <c r="B123" s="5" t="s">
        <v>1123</v>
      </c>
      <c r="C123" s="4">
        <v>609</v>
      </c>
      <c r="D123" s="4">
        <v>10</v>
      </c>
      <c r="E123" s="4">
        <v>10</v>
      </c>
      <c r="F123" s="4">
        <v>296</v>
      </c>
      <c r="G123" s="4">
        <v>192637</v>
      </c>
    </row>
    <row r="124" spans="1:7">
      <c r="A124" s="4">
        <v>12771</v>
      </c>
      <c r="B124" s="5" t="s">
        <v>1124</v>
      </c>
      <c r="C124" s="4">
        <v>601</v>
      </c>
      <c r="D124" s="4">
        <v>1161</v>
      </c>
      <c r="E124" s="4">
        <v>1161</v>
      </c>
      <c r="F124" s="4">
        <v>295</v>
      </c>
      <c r="G124" s="4">
        <v>194978</v>
      </c>
    </row>
    <row r="125" spans="1:7">
      <c r="A125" s="4">
        <v>12772</v>
      </c>
      <c r="B125" s="5" t="s">
        <v>1125</v>
      </c>
      <c r="C125" s="4">
        <v>601</v>
      </c>
      <c r="D125" s="4">
        <v>276</v>
      </c>
      <c r="E125" s="4">
        <v>276</v>
      </c>
      <c r="F125" s="4">
        <v>298</v>
      </c>
      <c r="G125" s="4">
        <v>189125</v>
      </c>
    </row>
    <row r="126" spans="1:7">
      <c r="A126" s="4">
        <v>12772</v>
      </c>
      <c r="B126" s="5" t="s">
        <v>1125</v>
      </c>
      <c r="C126" s="4">
        <v>602</v>
      </c>
      <c r="D126" s="4">
        <v>258</v>
      </c>
      <c r="E126" s="4">
        <v>258</v>
      </c>
      <c r="F126" s="4">
        <v>307</v>
      </c>
      <c r="G126" s="4">
        <v>168746</v>
      </c>
    </row>
    <row r="127" spans="1:7">
      <c r="A127" s="4">
        <v>12772</v>
      </c>
      <c r="B127" s="5" t="s">
        <v>1125</v>
      </c>
      <c r="C127" s="4">
        <v>603</v>
      </c>
      <c r="D127" s="4">
        <v>263</v>
      </c>
      <c r="E127" s="4">
        <v>263</v>
      </c>
      <c r="F127" s="4">
        <v>320</v>
      </c>
      <c r="G127" s="4">
        <v>140112</v>
      </c>
    </row>
    <row r="128" spans="1:7">
      <c r="A128" s="4">
        <v>12772</v>
      </c>
      <c r="B128" s="5" t="s">
        <v>1125</v>
      </c>
      <c r="C128" s="4">
        <v>610</v>
      </c>
      <c r="D128" s="4">
        <v>200</v>
      </c>
      <c r="E128" s="4">
        <v>200</v>
      </c>
      <c r="F128" s="4">
        <v>309</v>
      </c>
      <c r="G128" s="4">
        <v>164316</v>
      </c>
    </row>
    <row r="129" spans="1:7">
      <c r="A129" s="4">
        <v>12772</v>
      </c>
      <c r="B129" s="5" t="s">
        <v>1125</v>
      </c>
      <c r="C129" s="4">
        <v>611</v>
      </c>
      <c r="D129" s="4">
        <v>20</v>
      </c>
      <c r="E129" s="4">
        <v>20</v>
      </c>
      <c r="F129" s="4">
        <v>280</v>
      </c>
      <c r="G129" s="4">
        <v>228181</v>
      </c>
    </row>
    <row r="130" spans="1:7">
      <c r="A130" s="4">
        <v>12772</v>
      </c>
      <c r="B130" s="5" t="s">
        <v>1125</v>
      </c>
      <c r="C130" s="4">
        <v>612</v>
      </c>
      <c r="D130" s="4">
        <v>20</v>
      </c>
      <c r="E130" s="4">
        <v>20</v>
      </c>
      <c r="F130" s="4">
        <v>285</v>
      </c>
      <c r="G130" s="4">
        <v>216313</v>
      </c>
    </row>
    <row r="131" spans="1:7">
      <c r="A131" s="4">
        <v>12772</v>
      </c>
      <c r="B131" s="5" t="s">
        <v>1125</v>
      </c>
      <c r="C131" s="4">
        <v>613</v>
      </c>
      <c r="D131" s="4">
        <v>165</v>
      </c>
      <c r="E131" s="4">
        <v>165</v>
      </c>
      <c r="F131" s="4">
        <v>269</v>
      </c>
      <c r="G131" s="4">
        <v>249854</v>
      </c>
    </row>
    <row r="132" spans="1:7">
      <c r="A132" s="4">
        <v>12953</v>
      </c>
      <c r="B132" s="5" t="s">
        <v>1126</v>
      </c>
      <c r="C132" s="4">
        <v>601</v>
      </c>
      <c r="D132" s="4">
        <v>220</v>
      </c>
      <c r="E132" s="4">
        <v>221</v>
      </c>
      <c r="F132" s="4">
        <v>341</v>
      </c>
      <c r="G132" s="4">
        <v>91473</v>
      </c>
    </row>
    <row r="133" spans="1:7">
      <c r="A133" s="4">
        <v>12953</v>
      </c>
      <c r="B133" s="5" t="s">
        <v>1126</v>
      </c>
      <c r="C133" s="4">
        <v>602</v>
      </c>
      <c r="D133" s="4">
        <v>100</v>
      </c>
      <c r="E133" s="4">
        <v>100</v>
      </c>
      <c r="F133" s="4">
        <v>347</v>
      </c>
      <c r="G133" s="4">
        <v>78057</v>
      </c>
    </row>
    <row r="134" spans="1:7">
      <c r="A134" s="4">
        <v>12953</v>
      </c>
      <c r="B134" s="5" t="s">
        <v>1126</v>
      </c>
      <c r="C134" s="4">
        <v>603</v>
      </c>
      <c r="D134" s="4">
        <v>294</v>
      </c>
      <c r="E134" s="4">
        <v>294</v>
      </c>
      <c r="F134" s="4">
        <v>337</v>
      </c>
      <c r="G134" s="4">
        <v>101070</v>
      </c>
    </row>
    <row r="135" spans="1:7">
      <c r="A135" s="4">
        <v>12953</v>
      </c>
      <c r="B135" s="5" t="s">
        <v>1126</v>
      </c>
      <c r="C135" s="4">
        <v>604</v>
      </c>
      <c r="D135" s="4">
        <v>220</v>
      </c>
      <c r="E135" s="4">
        <v>220</v>
      </c>
      <c r="F135" s="4">
        <v>334</v>
      </c>
      <c r="G135" s="4">
        <v>108432</v>
      </c>
    </row>
    <row r="136" spans="1:7">
      <c r="A136" s="4">
        <v>12953</v>
      </c>
      <c r="B136" s="5" t="s">
        <v>1126</v>
      </c>
      <c r="C136" s="4">
        <v>605</v>
      </c>
      <c r="D136" s="4">
        <v>166</v>
      </c>
      <c r="E136" s="4">
        <v>166</v>
      </c>
      <c r="F136" s="4">
        <v>326</v>
      </c>
      <c r="G136" s="4">
        <v>126324</v>
      </c>
    </row>
    <row r="137" spans="1:7">
      <c r="A137" s="4">
        <v>12954</v>
      </c>
      <c r="B137" s="5" t="s">
        <v>1127</v>
      </c>
      <c r="C137" s="4">
        <v>605</v>
      </c>
      <c r="D137" s="4">
        <v>1183</v>
      </c>
      <c r="E137" s="4">
        <v>1183</v>
      </c>
      <c r="F137" s="4">
        <v>299</v>
      </c>
      <c r="G137" s="4">
        <v>186858</v>
      </c>
    </row>
    <row r="138" spans="1:7">
      <c r="A138" s="4">
        <v>12954</v>
      </c>
      <c r="B138" s="5" t="s">
        <v>1127</v>
      </c>
      <c r="C138" s="4">
        <v>606</v>
      </c>
      <c r="D138" s="4">
        <v>30</v>
      </c>
      <c r="E138" s="4">
        <v>30</v>
      </c>
      <c r="F138" s="4">
        <v>278</v>
      </c>
      <c r="G138" s="4">
        <v>230785</v>
      </c>
    </row>
    <row r="139" spans="1:7">
      <c r="A139" s="4">
        <v>12956</v>
      </c>
      <c r="B139" s="5" t="s">
        <v>1128</v>
      </c>
      <c r="C139" s="4">
        <v>601</v>
      </c>
      <c r="D139" s="4">
        <v>960</v>
      </c>
      <c r="E139" s="4">
        <v>960</v>
      </c>
      <c r="F139" s="4">
        <v>296</v>
      </c>
      <c r="G139" s="4">
        <v>192563</v>
      </c>
    </row>
    <row r="140" spans="1:7">
      <c r="A140" s="4">
        <v>12957</v>
      </c>
      <c r="B140" s="5" t="s">
        <v>1129</v>
      </c>
      <c r="C140" s="4">
        <v>601</v>
      </c>
      <c r="D140" s="4">
        <v>276</v>
      </c>
      <c r="E140" s="4">
        <v>276</v>
      </c>
      <c r="F140" s="4">
        <v>395</v>
      </c>
      <c r="G140" s="4">
        <v>6289</v>
      </c>
    </row>
    <row r="141" spans="1:7">
      <c r="A141" s="4">
        <v>12957</v>
      </c>
      <c r="B141" s="5" t="s">
        <v>1129</v>
      </c>
      <c r="C141" s="4">
        <v>602</v>
      </c>
      <c r="D141" s="4">
        <v>219</v>
      </c>
      <c r="E141" s="4">
        <v>219</v>
      </c>
      <c r="F141" s="4">
        <v>391</v>
      </c>
      <c r="G141" s="4">
        <v>8461</v>
      </c>
    </row>
    <row r="142" spans="1:7">
      <c r="A142" s="4">
        <v>12957</v>
      </c>
      <c r="B142" s="5" t="s">
        <v>1129</v>
      </c>
      <c r="C142" s="4">
        <v>603</v>
      </c>
      <c r="D142" s="4">
        <v>544</v>
      </c>
      <c r="E142" s="4">
        <v>545</v>
      </c>
      <c r="F142" s="4">
        <v>386</v>
      </c>
      <c r="G142" s="4">
        <v>12874</v>
      </c>
    </row>
    <row r="143" spans="1:7">
      <c r="A143" s="4">
        <v>12957</v>
      </c>
      <c r="B143" s="5" t="s">
        <v>1129</v>
      </c>
      <c r="C143" s="4">
        <v>604</v>
      </c>
      <c r="D143" s="4">
        <v>541</v>
      </c>
      <c r="E143" s="4">
        <v>541</v>
      </c>
      <c r="F143" s="4">
        <v>384</v>
      </c>
      <c r="G143" s="4">
        <v>15438</v>
      </c>
    </row>
    <row r="144" spans="1:7">
      <c r="A144" s="4">
        <v>12957</v>
      </c>
      <c r="B144" s="5" t="s">
        <v>1129</v>
      </c>
      <c r="C144" s="4">
        <v>605</v>
      </c>
      <c r="D144" s="4">
        <v>23</v>
      </c>
      <c r="E144" s="4">
        <v>23</v>
      </c>
      <c r="F144" s="4">
        <v>388</v>
      </c>
      <c r="G144" s="4">
        <v>11740</v>
      </c>
    </row>
    <row r="145" spans="1:7">
      <c r="A145" s="4">
        <v>12957</v>
      </c>
      <c r="B145" s="5" t="s">
        <v>1129</v>
      </c>
      <c r="C145" s="4">
        <v>606</v>
      </c>
      <c r="D145" s="4">
        <v>28</v>
      </c>
      <c r="E145" s="4">
        <v>28</v>
      </c>
      <c r="F145" s="4">
        <v>387</v>
      </c>
      <c r="G145" s="4">
        <v>11959</v>
      </c>
    </row>
    <row r="146" spans="1:7">
      <c r="A146" s="4">
        <v>12957</v>
      </c>
      <c r="B146" s="5" t="s">
        <v>1129</v>
      </c>
      <c r="C146" s="4">
        <v>607</v>
      </c>
      <c r="D146" s="4">
        <v>86</v>
      </c>
      <c r="E146" s="4">
        <v>86</v>
      </c>
      <c r="F146" s="4">
        <v>385</v>
      </c>
      <c r="G146" s="4">
        <v>14218</v>
      </c>
    </row>
    <row r="147" spans="1:7">
      <c r="A147" s="4">
        <v>12957</v>
      </c>
      <c r="B147" s="5" t="s">
        <v>1129</v>
      </c>
      <c r="C147" s="4">
        <v>608</v>
      </c>
      <c r="D147" s="4">
        <v>13</v>
      </c>
      <c r="E147" s="4">
        <v>13</v>
      </c>
      <c r="F147" s="4">
        <v>383</v>
      </c>
      <c r="G147" s="4">
        <v>16717</v>
      </c>
    </row>
    <row r="148" spans="1:7">
      <c r="A148" s="4">
        <v>12958</v>
      </c>
      <c r="B148" s="5" t="s">
        <v>1130</v>
      </c>
      <c r="C148" s="4">
        <v>601</v>
      </c>
      <c r="D148" s="4">
        <v>530</v>
      </c>
      <c r="E148" s="4">
        <v>530</v>
      </c>
      <c r="F148" s="4">
        <v>307</v>
      </c>
      <c r="G148" s="4">
        <v>168791</v>
      </c>
    </row>
    <row r="149" spans="1:7">
      <c r="A149" s="4">
        <v>12958</v>
      </c>
      <c r="B149" s="5" t="s">
        <v>1130</v>
      </c>
      <c r="C149" s="4">
        <v>602</v>
      </c>
      <c r="D149" s="4">
        <v>219</v>
      </c>
      <c r="E149" s="4">
        <v>219</v>
      </c>
      <c r="F149" s="4">
        <v>323</v>
      </c>
      <c r="G149" s="4">
        <v>131661</v>
      </c>
    </row>
    <row r="150" spans="1:7">
      <c r="A150" s="4">
        <v>12958</v>
      </c>
      <c r="B150" s="5" t="s">
        <v>1130</v>
      </c>
      <c r="C150" s="4">
        <v>603</v>
      </c>
      <c r="D150" s="4">
        <v>220</v>
      </c>
      <c r="E150" s="4">
        <v>220</v>
      </c>
      <c r="F150" s="4">
        <v>277</v>
      </c>
      <c r="G150" s="4">
        <v>233172</v>
      </c>
    </row>
    <row r="151" spans="1:7">
      <c r="A151" s="4">
        <v>12958</v>
      </c>
      <c r="B151" s="5" t="s">
        <v>1130</v>
      </c>
      <c r="C151" s="4">
        <v>604</v>
      </c>
      <c r="D151" s="4">
        <v>275</v>
      </c>
      <c r="E151" s="4">
        <v>275</v>
      </c>
      <c r="F151" s="4">
        <v>300</v>
      </c>
      <c r="G151" s="4">
        <v>184854</v>
      </c>
    </row>
    <row r="152" spans="1:7">
      <c r="A152" s="4">
        <v>12958</v>
      </c>
      <c r="B152" s="5" t="s">
        <v>1130</v>
      </c>
      <c r="C152" s="4">
        <v>605</v>
      </c>
      <c r="D152" s="4">
        <v>210</v>
      </c>
      <c r="E152" s="4">
        <v>210</v>
      </c>
      <c r="F152" s="4">
        <v>328</v>
      </c>
      <c r="G152" s="4">
        <v>121131</v>
      </c>
    </row>
    <row r="153" spans="1:7">
      <c r="A153" s="4">
        <v>12958</v>
      </c>
      <c r="B153" s="5" t="s">
        <v>1130</v>
      </c>
      <c r="C153" s="4">
        <v>606</v>
      </c>
      <c r="D153" s="4">
        <v>120</v>
      </c>
      <c r="E153" s="4">
        <v>120</v>
      </c>
      <c r="F153" s="4">
        <v>300</v>
      </c>
      <c r="G153" s="4">
        <v>184277</v>
      </c>
    </row>
    <row r="154" spans="1:7">
      <c r="A154" s="4">
        <v>12959</v>
      </c>
      <c r="B154" s="5" t="s">
        <v>1131</v>
      </c>
      <c r="C154" s="4">
        <v>601</v>
      </c>
      <c r="D154" s="4">
        <v>1677</v>
      </c>
      <c r="E154" s="4">
        <v>1677</v>
      </c>
      <c r="F154" s="4">
        <v>358</v>
      </c>
      <c r="G154" s="4">
        <v>56543</v>
      </c>
    </row>
    <row r="155" spans="1:7">
      <c r="A155" s="4">
        <v>12960</v>
      </c>
      <c r="B155" s="5" t="s">
        <v>1132</v>
      </c>
      <c r="C155" s="4">
        <v>601</v>
      </c>
      <c r="D155" s="4">
        <v>375</v>
      </c>
      <c r="E155" s="4">
        <v>375</v>
      </c>
      <c r="F155" s="4">
        <v>344</v>
      </c>
      <c r="G155" s="4">
        <v>86343</v>
      </c>
    </row>
    <row r="156" spans="1:7">
      <c r="A156" s="4">
        <v>12960</v>
      </c>
      <c r="B156" s="5" t="s">
        <v>1132</v>
      </c>
      <c r="C156" s="4">
        <v>602</v>
      </c>
      <c r="D156" s="4">
        <v>10</v>
      </c>
      <c r="E156" s="4">
        <v>10</v>
      </c>
      <c r="F156" s="4">
        <v>343</v>
      </c>
      <c r="G156" s="4">
        <v>87266</v>
      </c>
    </row>
    <row r="157" spans="1:7">
      <c r="A157" s="4">
        <v>12960</v>
      </c>
      <c r="B157" s="5" t="s">
        <v>1132</v>
      </c>
      <c r="C157" s="4">
        <v>603</v>
      </c>
      <c r="D157" s="4">
        <v>110</v>
      </c>
      <c r="E157" s="4">
        <v>110</v>
      </c>
      <c r="F157" s="4">
        <v>322</v>
      </c>
      <c r="G157" s="4">
        <v>134321</v>
      </c>
    </row>
    <row r="158" spans="1:7">
      <c r="A158" s="4">
        <v>12961</v>
      </c>
      <c r="B158" s="5" t="s">
        <v>1133</v>
      </c>
      <c r="C158" s="4">
        <v>601</v>
      </c>
      <c r="D158" s="4">
        <v>1387</v>
      </c>
      <c r="E158" s="4">
        <v>628</v>
      </c>
      <c r="F158" s="4">
        <v>190</v>
      </c>
      <c r="G158" s="4">
        <v>372890</v>
      </c>
    </row>
    <row r="159" spans="1:7">
      <c r="A159" s="4">
        <v>12962</v>
      </c>
      <c r="B159" s="5" t="s">
        <v>1134</v>
      </c>
      <c r="C159" s="4">
        <v>601</v>
      </c>
      <c r="D159" s="4">
        <v>2711</v>
      </c>
      <c r="E159" s="4">
        <v>2711</v>
      </c>
      <c r="F159" s="4">
        <v>270</v>
      </c>
      <c r="G159" s="4">
        <v>247648</v>
      </c>
    </row>
    <row r="160" spans="1:7">
      <c r="A160" s="4">
        <v>12962</v>
      </c>
      <c r="B160" s="5" t="s">
        <v>1134</v>
      </c>
      <c r="C160" s="4">
        <v>612</v>
      </c>
      <c r="D160" s="4">
        <v>130</v>
      </c>
      <c r="E160" s="4">
        <v>130</v>
      </c>
      <c r="F160" s="4">
        <v>287</v>
      </c>
      <c r="G160" s="4">
        <v>212146</v>
      </c>
    </row>
    <row r="161" spans="1:7">
      <c r="A161" s="4">
        <v>13707</v>
      </c>
      <c r="B161" s="5" t="s">
        <v>1135</v>
      </c>
      <c r="C161" s="4">
        <v>601</v>
      </c>
      <c r="D161" s="4">
        <v>23</v>
      </c>
      <c r="E161" s="4">
        <v>23</v>
      </c>
      <c r="F161" s="4">
        <v>284</v>
      </c>
      <c r="G161" s="4">
        <v>219017</v>
      </c>
    </row>
    <row r="162" spans="1:7">
      <c r="A162" s="4">
        <v>13707</v>
      </c>
      <c r="B162" s="5" t="s">
        <v>1135</v>
      </c>
      <c r="C162" s="4">
        <v>609</v>
      </c>
      <c r="D162" s="4">
        <v>54</v>
      </c>
      <c r="E162" s="4">
        <v>54</v>
      </c>
      <c r="F162" s="4">
        <v>317</v>
      </c>
      <c r="G162" s="4">
        <v>146647</v>
      </c>
    </row>
    <row r="163" spans="1:7">
      <c r="A163" s="4">
        <v>13707</v>
      </c>
      <c r="B163" s="5" t="s">
        <v>1135</v>
      </c>
      <c r="C163" s="4">
        <v>610</v>
      </c>
      <c r="D163" s="4">
        <v>210</v>
      </c>
      <c r="E163" s="4">
        <v>210</v>
      </c>
      <c r="F163" s="4">
        <v>287</v>
      </c>
      <c r="G163" s="4">
        <v>212207</v>
      </c>
    </row>
    <row r="164" spans="1:7">
      <c r="A164" s="4">
        <v>13708</v>
      </c>
      <c r="B164" s="5" t="s">
        <v>1136</v>
      </c>
      <c r="C164" s="4">
        <v>603</v>
      </c>
      <c r="D164" s="4">
        <v>20</v>
      </c>
      <c r="E164" s="4">
        <v>20</v>
      </c>
      <c r="F164" s="4">
        <v>339</v>
      </c>
      <c r="G164" s="4">
        <v>96765</v>
      </c>
    </row>
    <row r="165" spans="1:7">
      <c r="A165" s="4">
        <v>13709</v>
      </c>
      <c r="B165" s="5" t="s">
        <v>1137</v>
      </c>
      <c r="C165" s="4">
        <v>601</v>
      </c>
      <c r="D165" s="4">
        <v>222</v>
      </c>
      <c r="E165" s="4">
        <v>222</v>
      </c>
      <c r="F165" s="4">
        <v>313</v>
      </c>
      <c r="G165" s="4">
        <v>154789</v>
      </c>
    </row>
    <row r="166" spans="1:7">
      <c r="A166" s="4">
        <v>13709</v>
      </c>
      <c r="B166" s="5" t="s">
        <v>1137</v>
      </c>
      <c r="C166" s="4">
        <v>602</v>
      </c>
      <c r="D166" s="4">
        <v>357</v>
      </c>
      <c r="E166" s="4">
        <v>357</v>
      </c>
      <c r="F166" s="4">
        <v>340</v>
      </c>
      <c r="G166" s="4">
        <v>93157</v>
      </c>
    </row>
    <row r="167" spans="1:7">
      <c r="A167" s="4">
        <v>13709</v>
      </c>
      <c r="B167" s="5" t="s">
        <v>1137</v>
      </c>
      <c r="C167" s="4">
        <v>603</v>
      </c>
      <c r="D167" s="4">
        <v>114</v>
      </c>
      <c r="E167" s="4">
        <v>114</v>
      </c>
      <c r="F167" s="4">
        <v>333</v>
      </c>
      <c r="G167" s="4">
        <v>108787</v>
      </c>
    </row>
    <row r="168" spans="1:7">
      <c r="A168" s="4">
        <v>13709</v>
      </c>
      <c r="B168" s="5" t="s">
        <v>1137</v>
      </c>
      <c r="C168" s="4">
        <v>604</v>
      </c>
      <c r="D168" s="4">
        <v>25</v>
      </c>
      <c r="E168" s="4">
        <v>25</v>
      </c>
      <c r="F168" s="4">
        <v>301</v>
      </c>
      <c r="G168" s="4">
        <v>182676</v>
      </c>
    </row>
    <row r="169" spans="1:7">
      <c r="A169" s="4">
        <v>13709</v>
      </c>
      <c r="B169" s="5" t="s">
        <v>1137</v>
      </c>
      <c r="C169" s="4">
        <v>605</v>
      </c>
      <c r="D169" s="4">
        <v>25</v>
      </c>
      <c r="E169" s="4">
        <v>25</v>
      </c>
      <c r="F169" s="4">
        <v>297</v>
      </c>
      <c r="G169" s="4">
        <v>190892</v>
      </c>
    </row>
    <row r="170" spans="1:7">
      <c r="A170" s="4">
        <v>13709</v>
      </c>
      <c r="B170" s="5" t="s">
        <v>1137</v>
      </c>
      <c r="C170" s="4">
        <v>606</v>
      </c>
      <c r="D170" s="4">
        <v>35</v>
      </c>
      <c r="E170" s="4">
        <v>35</v>
      </c>
      <c r="F170" s="4">
        <v>294</v>
      </c>
      <c r="G170" s="4">
        <v>196815</v>
      </c>
    </row>
    <row r="171" spans="1:7">
      <c r="A171" s="4">
        <v>13710</v>
      </c>
      <c r="B171" s="5" t="s">
        <v>1138</v>
      </c>
      <c r="C171" s="4">
        <v>601</v>
      </c>
      <c r="D171" s="4">
        <v>365</v>
      </c>
      <c r="E171" s="4">
        <v>365</v>
      </c>
      <c r="F171" s="4">
        <v>331</v>
      </c>
      <c r="G171" s="4">
        <v>113333</v>
      </c>
    </row>
    <row r="172" spans="1:7">
      <c r="A172" s="4">
        <v>13710</v>
      </c>
      <c r="B172" s="5" t="s">
        <v>1138</v>
      </c>
      <c r="C172" s="4">
        <v>602</v>
      </c>
      <c r="D172" s="4">
        <v>330</v>
      </c>
      <c r="E172" s="4">
        <v>330</v>
      </c>
      <c r="F172" s="4">
        <v>329</v>
      </c>
      <c r="G172" s="4">
        <v>118951</v>
      </c>
    </row>
    <row r="173" spans="1:7">
      <c r="A173" s="4">
        <v>13710</v>
      </c>
      <c r="B173" s="5" t="s">
        <v>1138</v>
      </c>
      <c r="C173" s="4">
        <v>603</v>
      </c>
      <c r="D173" s="4">
        <v>135</v>
      </c>
      <c r="E173" s="4">
        <v>135</v>
      </c>
      <c r="F173" s="4">
        <v>329</v>
      </c>
      <c r="G173" s="4">
        <v>118526</v>
      </c>
    </row>
    <row r="174" spans="1:7">
      <c r="A174" s="4">
        <v>13710</v>
      </c>
      <c r="B174" s="5" t="s">
        <v>1138</v>
      </c>
      <c r="C174" s="4">
        <v>604</v>
      </c>
      <c r="D174" s="4">
        <v>260</v>
      </c>
      <c r="E174" s="4">
        <v>260</v>
      </c>
      <c r="F174" s="4">
        <v>337</v>
      </c>
      <c r="G174" s="4">
        <v>99845</v>
      </c>
    </row>
    <row r="175" spans="1:7">
      <c r="A175" s="4">
        <v>13710</v>
      </c>
      <c r="B175" s="5" t="s">
        <v>1138</v>
      </c>
      <c r="C175" s="4">
        <v>605</v>
      </c>
      <c r="D175" s="4">
        <v>365</v>
      </c>
      <c r="E175" s="4">
        <v>365</v>
      </c>
      <c r="F175" s="4">
        <v>321</v>
      </c>
      <c r="G175" s="4">
        <v>137699</v>
      </c>
    </row>
    <row r="176" spans="1:7">
      <c r="A176" s="4">
        <v>13711</v>
      </c>
      <c r="B176" s="5" t="s">
        <v>1139</v>
      </c>
      <c r="C176" s="4">
        <v>601</v>
      </c>
      <c r="D176" s="4">
        <v>352</v>
      </c>
      <c r="E176" s="4">
        <v>352</v>
      </c>
      <c r="F176" s="4">
        <v>304</v>
      </c>
      <c r="G176" s="4">
        <v>176624</v>
      </c>
    </row>
    <row r="177" spans="1:7">
      <c r="A177" s="4">
        <v>13711</v>
      </c>
      <c r="B177" s="5" t="s">
        <v>1139</v>
      </c>
      <c r="C177" s="4">
        <v>603</v>
      </c>
      <c r="D177" s="4">
        <v>11</v>
      </c>
      <c r="E177" s="4">
        <v>11</v>
      </c>
      <c r="F177" s="4">
        <v>317</v>
      </c>
      <c r="G177" s="4">
        <v>146418</v>
      </c>
    </row>
    <row r="178" spans="1:7">
      <c r="A178" s="4">
        <v>13711</v>
      </c>
      <c r="B178" s="5" t="s">
        <v>1139</v>
      </c>
      <c r="C178" s="4">
        <v>604</v>
      </c>
      <c r="D178" s="4">
        <v>39</v>
      </c>
      <c r="E178" s="4">
        <v>39</v>
      </c>
      <c r="F178" s="4">
        <v>355</v>
      </c>
      <c r="G178" s="4">
        <v>63163</v>
      </c>
    </row>
    <row r="179" spans="1:7">
      <c r="A179" s="4">
        <v>13711</v>
      </c>
      <c r="B179" s="5" t="s">
        <v>1139</v>
      </c>
      <c r="C179" s="4">
        <v>605</v>
      </c>
      <c r="D179" s="4">
        <v>50</v>
      </c>
      <c r="E179" s="4">
        <v>50</v>
      </c>
      <c r="F179" s="4">
        <v>353</v>
      </c>
      <c r="G179" s="4">
        <v>67114</v>
      </c>
    </row>
    <row r="180" spans="1:7">
      <c r="A180" s="4">
        <v>13711</v>
      </c>
      <c r="B180" s="5" t="s">
        <v>1139</v>
      </c>
      <c r="C180" s="4">
        <v>606</v>
      </c>
      <c r="D180" s="4">
        <v>2</v>
      </c>
      <c r="E180" s="4">
        <v>2</v>
      </c>
      <c r="F180" s="4">
        <v>325</v>
      </c>
      <c r="G180" s="4">
        <v>127134</v>
      </c>
    </row>
    <row r="181" spans="1:7">
      <c r="A181" s="4">
        <v>13711</v>
      </c>
      <c r="B181" s="5" t="s">
        <v>1139</v>
      </c>
      <c r="C181" s="4">
        <v>607</v>
      </c>
      <c r="D181" s="4">
        <v>734</v>
      </c>
      <c r="E181" s="4">
        <v>734</v>
      </c>
      <c r="F181" s="4">
        <v>313</v>
      </c>
      <c r="G181" s="4">
        <v>155685</v>
      </c>
    </row>
    <row r="182" spans="1:7">
      <c r="A182" s="4">
        <v>13711</v>
      </c>
      <c r="B182" s="5" t="s">
        <v>1139</v>
      </c>
      <c r="C182" s="4">
        <v>611</v>
      </c>
      <c r="D182" s="4">
        <v>12</v>
      </c>
      <c r="E182" s="4">
        <v>12</v>
      </c>
      <c r="F182" s="4">
        <v>363</v>
      </c>
      <c r="G182" s="4">
        <v>46875</v>
      </c>
    </row>
    <row r="183" spans="1:7">
      <c r="A183" s="4">
        <v>13712</v>
      </c>
      <c r="B183" s="5" t="s">
        <v>1140</v>
      </c>
      <c r="C183" s="4">
        <v>601</v>
      </c>
      <c r="D183" s="4">
        <v>105</v>
      </c>
      <c r="E183" s="4">
        <v>105</v>
      </c>
      <c r="F183" s="4">
        <v>302</v>
      </c>
      <c r="G183" s="4">
        <v>180738</v>
      </c>
    </row>
    <row r="184" spans="1:7">
      <c r="A184" s="4">
        <v>13712</v>
      </c>
      <c r="B184" s="5" t="s">
        <v>1140</v>
      </c>
      <c r="C184" s="4">
        <v>602</v>
      </c>
      <c r="D184" s="4">
        <v>112</v>
      </c>
      <c r="E184" s="4">
        <v>112</v>
      </c>
      <c r="F184" s="4">
        <v>299</v>
      </c>
      <c r="G184" s="4">
        <v>187021</v>
      </c>
    </row>
    <row r="185" spans="1:7">
      <c r="A185" s="4">
        <v>13712</v>
      </c>
      <c r="B185" s="5" t="s">
        <v>1140</v>
      </c>
      <c r="C185" s="4">
        <v>603</v>
      </c>
      <c r="D185" s="4">
        <v>193</v>
      </c>
      <c r="E185" s="4">
        <v>193</v>
      </c>
      <c r="F185" s="4">
        <v>317</v>
      </c>
      <c r="G185" s="4">
        <v>147404</v>
      </c>
    </row>
    <row r="186" spans="1:7">
      <c r="A186" s="4">
        <v>13712</v>
      </c>
      <c r="B186" s="5" t="s">
        <v>1140</v>
      </c>
      <c r="C186" s="4">
        <v>604</v>
      </c>
      <c r="D186" s="4">
        <v>245</v>
      </c>
      <c r="E186" s="4">
        <v>245</v>
      </c>
      <c r="F186" s="4">
        <v>313</v>
      </c>
      <c r="G186" s="4">
        <v>155747</v>
      </c>
    </row>
    <row r="187" spans="1:7">
      <c r="A187" s="4">
        <v>13712</v>
      </c>
      <c r="B187" s="5" t="s">
        <v>1140</v>
      </c>
      <c r="C187" s="4">
        <v>605</v>
      </c>
      <c r="D187" s="4">
        <v>230</v>
      </c>
      <c r="E187" s="4">
        <v>230</v>
      </c>
      <c r="F187" s="4">
        <v>310</v>
      </c>
      <c r="G187" s="4">
        <v>161683</v>
      </c>
    </row>
    <row r="188" spans="1:7">
      <c r="A188" s="4">
        <v>13712</v>
      </c>
      <c r="B188" s="5" t="s">
        <v>1140</v>
      </c>
      <c r="C188" s="4">
        <v>606</v>
      </c>
      <c r="D188" s="4">
        <v>225</v>
      </c>
      <c r="E188" s="4">
        <v>225</v>
      </c>
      <c r="F188" s="4">
        <v>293</v>
      </c>
      <c r="G188" s="4">
        <v>199157</v>
      </c>
    </row>
    <row r="189" spans="1:7">
      <c r="A189" s="4">
        <v>13712</v>
      </c>
      <c r="B189" s="5" t="s">
        <v>1140</v>
      </c>
      <c r="C189" s="4">
        <v>607</v>
      </c>
      <c r="D189" s="4">
        <v>145</v>
      </c>
      <c r="E189" s="4">
        <v>145</v>
      </c>
      <c r="F189" s="4">
        <v>299</v>
      </c>
      <c r="G189" s="4">
        <v>185979</v>
      </c>
    </row>
    <row r="190" spans="1:7">
      <c r="A190" s="4">
        <v>13712</v>
      </c>
      <c r="B190" s="5" t="s">
        <v>1140</v>
      </c>
      <c r="C190" s="4">
        <v>608</v>
      </c>
      <c r="D190" s="4">
        <v>120</v>
      </c>
      <c r="E190" s="4">
        <v>120</v>
      </c>
      <c r="F190" s="4">
        <v>298</v>
      </c>
      <c r="G190" s="4">
        <v>188146</v>
      </c>
    </row>
    <row r="191" spans="1:7">
      <c r="A191" s="4">
        <v>13713</v>
      </c>
      <c r="B191" s="5" t="s">
        <v>1141</v>
      </c>
      <c r="C191" s="4">
        <v>601</v>
      </c>
      <c r="D191" s="4">
        <v>690</v>
      </c>
      <c r="E191" s="4">
        <v>690</v>
      </c>
      <c r="F191" s="4">
        <v>358</v>
      </c>
      <c r="G191" s="4">
        <v>56773</v>
      </c>
    </row>
    <row r="192" spans="1:7">
      <c r="A192" s="4">
        <v>13713</v>
      </c>
      <c r="B192" s="5" t="s">
        <v>1141</v>
      </c>
      <c r="C192" s="4">
        <v>602</v>
      </c>
      <c r="D192" s="4">
        <v>610</v>
      </c>
      <c r="E192" s="4">
        <v>610</v>
      </c>
      <c r="F192" s="4">
        <v>329</v>
      </c>
      <c r="G192" s="4">
        <v>118003</v>
      </c>
    </row>
    <row r="193" spans="1:7">
      <c r="A193" s="4">
        <v>13713</v>
      </c>
      <c r="B193" s="5" t="s">
        <v>1141</v>
      </c>
      <c r="C193" s="4">
        <v>603</v>
      </c>
      <c r="D193" s="4">
        <v>20</v>
      </c>
      <c r="E193" s="4">
        <v>20</v>
      </c>
      <c r="F193" s="4">
        <v>352</v>
      </c>
      <c r="G193" s="4">
        <v>67274</v>
      </c>
    </row>
    <row r="194" spans="1:7">
      <c r="A194" s="4">
        <v>13715</v>
      </c>
      <c r="B194" s="5" t="s">
        <v>1142</v>
      </c>
      <c r="C194" s="4">
        <v>601</v>
      </c>
      <c r="D194" s="4">
        <v>1165</v>
      </c>
      <c r="E194" s="4">
        <v>1165</v>
      </c>
      <c r="F194" s="4">
        <v>191</v>
      </c>
      <c r="G194" s="4">
        <v>371988</v>
      </c>
    </row>
    <row r="195" spans="1:7">
      <c r="A195" s="4">
        <v>13715</v>
      </c>
      <c r="B195" s="5" t="s">
        <v>1142</v>
      </c>
      <c r="C195" s="4">
        <v>602</v>
      </c>
      <c r="D195" s="4">
        <v>58</v>
      </c>
      <c r="E195" s="4">
        <v>58</v>
      </c>
      <c r="F195" s="4">
        <v>234</v>
      </c>
      <c r="G195" s="4">
        <v>312588</v>
      </c>
    </row>
    <row r="196" spans="1:7">
      <c r="A196" s="4">
        <v>13715</v>
      </c>
      <c r="B196" s="5" t="s">
        <v>1142</v>
      </c>
      <c r="C196" s="4">
        <v>603</v>
      </c>
      <c r="D196" s="4">
        <v>68</v>
      </c>
      <c r="E196" s="4">
        <v>68</v>
      </c>
      <c r="F196" s="4">
        <v>251</v>
      </c>
      <c r="G196" s="4">
        <v>284032</v>
      </c>
    </row>
    <row r="197" spans="1:7">
      <c r="A197" s="4">
        <v>13715</v>
      </c>
      <c r="B197" s="5" t="s">
        <v>1142</v>
      </c>
      <c r="C197" s="4">
        <v>604</v>
      </c>
      <c r="D197" s="4">
        <v>60</v>
      </c>
      <c r="E197" s="4">
        <v>60</v>
      </c>
      <c r="F197" s="4">
        <v>226</v>
      </c>
      <c r="G197" s="4">
        <v>326103</v>
      </c>
    </row>
    <row r="198" spans="1:7">
      <c r="A198" s="4">
        <v>13715</v>
      </c>
      <c r="B198" s="5" t="s">
        <v>1142</v>
      </c>
      <c r="C198" s="4">
        <v>605</v>
      </c>
      <c r="D198" s="4">
        <v>32</v>
      </c>
      <c r="E198" s="4">
        <v>32</v>
      </c>
      <c r="F198" s="4">
        <v>208</v>
      </c>
      <c r="G198" s="4">
        <v>351300</v>
      </c>
    </row>
    <row r="199" spans="1:7">
      <c r="A199" s="4">
        <v>13715</v>
      </c>
      <c r="B199" s="5" t="s">
        <v>1142</v>
      </c>
      <c r="C199" s="4">
        <v>606</v>
      </c>
      <c r="D199" s="4">
        <v>20</v>
      </c>
      <c r="E199" s="4">
        <v>20</v>
      </c>
      <c r="F199" s="4">
        <v>204</v>
      </c>
      <c r="G199" s="4">
        <v>356236</v>
      </c>
    </row>
    <row r="200" spans="1:7">
      <c r="A200" s="4">
        <v>13716</v>
      </c>
      <c r="B200" s="5" t="s">
        <v>1143</v>
      </c>
      <c r="C200" s="4">
        <v>601</v>
      </c>
      <c r="D200" s="4">
        <v>2674</v>
      </c>
      <c r="E200" s="4">
        <v>2287</v>
      </c>
      <c r="F200" s="4">
        <v>190</v>
      </c>
      <c r="G200" s="4">
        <v>373102</v>
      </c>
    </row>
    <row r="201" spans="1:7">
      <c r="A201" s="4">
        <v>13716</v>
      </c>
      <c r="B201" s="5" t="s">
        <v>1143</v>
      </c>
      <c r="C201" s="4">
        <v>604</v>
      </c>
      <c r="D201" s="4">
        <v>48</v>
      </c>
      <c r="E201" s="4">
        <v>48</v>
      </c>
      <c r="F201" s="4">
        <v>212</v>
      </c>
      <c r="G201" s="4">
        <v>345497</v>
      </c>
    </row>
    <row r="202" spans="1:7">
      <c r="A202" s="4">
        <v>13716</v>
      </c>
      <c r="B202" s="5" t="s">
        <v>1143</v>
      </c>
      <c r="C202" s="4">
        <v>606</v>
      </c>
      <c r="D202" s="4">
        <v>610</v>
      </c>
      <c r="E202" s="4">
        <v>451</v>
      </c>
      <c r="F202" s="4">
        <v>190</v>
      </c>
      <c r="G202" s="4">
        <v>373061</v>
      </c>
    </row>
    <row r="203" spans="1:7">
      <c r="A203" s="4">
        <v>13717</v>
      </c>
      <c r="B203" s="5" t="s">
        <v>1144</v>
      </c>
      <c r="C203" s="4">
        <v>601</v>
      </c>
      <c r="D203" s="4">
        <v>365</v>
      </c>
      <c r="E203" s="4">
        <v>365</v>
      </c>
      <c r="F203" s="4">
        <v>293</v>
      </c>
      <c r="G203" s="4">
        <v>200656</v>
      </c>
    </row>
    <row r="204" spans="1:7">
      <c r="A204" s="4">
        <v>13717</v>
      </c>
      <c r="B204" s="5" t="s">
        <v>1144</v>
      </c>
      <c r="C204" s="4">
        <v>602</v>
      </c>
      <c r="D204" s="4">
        <v>30</v>
      </c>
      <c r="E204" s="4">
        <v>30</v>
      </c>
      <c r="F204" s="4">
        <v>241</v>
      </c>
      <c r="G204" s="4">
        <v>301837</v>
      </c>
    </row>
    <row r="205" spans="1:7">
      <c r="A205" s="4">
        <v>13718</v>
      </c>
      <c r="B205" s="5" t="s">
        <v>1145</v>
      </c>
      <c r="C205" s="4">
        <v>603</v>
      </c>
      <c r="D205" s="4">
        <v>1625</v>
      </c>
      <c r="E205" s="4">
        <v>1578</v>
      </c>
      <c r="F205" s="4">
        <v>190</v>
      </c>
      <c r="G205" s="4">
        <v>373091</v>
      </c>
    </row>
    <row r="206" spans="1:7">
      <c r="A206" s="4">
        <v>13721</v>
      </c>
      <c r="B206" s="5" t="s">
        <v>1146</v>
      </c>
      <c r="C206" s="4">
        <v>601</v>
      </c>
      <c r="D206" s="4">
        <v>30</v>
      </c>
      <c r="E206" s="4">
        <v>30</v>
      </c>
      <c r="F206" s="4">
        <v>274</v>
      </c>
      <c r="G206" s="4">
        <v>240251</v>
      </c>
    </row>
    <row r="207" spans="1:7">
      <c r="A207" s="4">
        <v>13810</v>
      </c>
      <c r="B207" s="5" t="s">
        <v>1147</v>
      </c>
      <c r="C207" s="4">
        <v>601</v>
      </c>
      <c r="D207" s="4">
        <v>80</v>
      </c>
      <c r="E207" s="4">
        <v>80</v>
      </c>
      <c r="F207" s="4">
        <v>382</v>
      </c>
      <c r="G207" s="4">
        <v>17879</v>
      </c>
    </row>
    <row r="208" spans="1:7">
      <c r="A208" s="4">
        <v>13810</v>
      </c>
      <c r="B208" s="5" t="s">
        <v>1147</v>
      </c>
      <c r="C208" s="4">
        <v>602</v>
      </c>
      <c r="D208" s="4">
        <v>30</v>
      </c>
      <c r="E208" s="4">
        <v>30</v>
      </c>
      <c r="F208" s="4">
        <v>385</v>
      </c>
      <c r="G208" s="4">
        <v>13849</v>
      </c>
    </row>
    <row r="209" spans="1:7">
      <c r="A209" s="4">
        <v>13810</v>
      </c>
      <c r="B209" s="5" t="s">
        <v>1147</v>
      </c>
      <c r="C209" s="4">
        <v>603</v>
      </c>
      <c r="D209" s="4">
        <v>40</v>
      </c>
      <c r="E209" s="4">
        <v>40</v>
      </c>
      <c r="F209" s="4">
        <v>366</v>
      </c>
      <c r="G209" s="4">
        <v>41266</v>
      </c>
    </row>
    <row r="210" spans="1:7">
      <c r="A210" s="4">
        <v>13810</v>
      </c>
      <c r="B210" s="5" t="s">
        <v>1147</v>
      </c>
      <c r="C210" s="4">
        <v>604</v>
      </c>
      <c r="D210" s="4">
        <v>360</v>
      </c>
      <c r="E210" s="4">
        <v>360</v>
      </c>
      <c r="F210" s="4">
        <v>376</v>
      </c>
      <c r="G210" s="4">
        <v>24896</v>
      </c>
    </row>
    <row r="211" spans="1:7">
      <c r="A211" s="4">
        <v>13810</v>
      </c>
      <c r="B211" s="5" t="s">
        <v>1147</v>
      </c>
      <c r="C211" s="4">
        <v>605</v>
      </c>
      <c r="D211" s="4">
        <v>190</v>
      </c>
      <c r="E211" s="4">
        <v>190</v>
      </c>
      <c r="F211" s="4">
        <v>366</v>
      </c>
      <c r="G211" s="4">
        <v>40943</v>
      </c>
    </row>
    <row r="212" spans="1:7">
      <c r="A212" s="4">
        <v>13912</v>
      </c>
      <c r="B212" s="5" t="s">
        <v>1148</v>
      </c>
      <c r="C212" s="4">
        <v>601</v>
      </c>
      <c r="D212" s="4">
        <v>1180</v>
      </c>
      <c r="E212" s="4">
        <v>1180</v>
      </c>
      <c r="F212" s="4">
        <v>259</v>
      </c>
      <c r="G212" s="4">
        <v>269201</v>
      </c>
    </row>
    <row r="213" spans="1:7">
      <c r="A213" s="4">
        <v>13919</v>
      </c>
      <c r="B213" s="5" t="s">
        <v>1149</v>
      </c>
      <c r="C213" s="4">
        <v>601</v>
      </c>
      <c r="D213" s="4">
        <v>590</v>
      </c>
      <c r="E213" s="4">
        <v>590</v>
      </c>
      <c r="F213" s="4">
        <v>350</v>
      </c>
      <c r="G213" s="4">
        <v>72454</v>
      </c>
    </row>
    <row r="214" spans="1:7">
      <c r="A214" s="4">
        <v>13919</v>
      </c>
      <c r="B214" s="5" t="s">
        <v>1149</v>
      </c>
      <c r="C214" s="4">
        <v>602</v>
      </c>
      <c r="D214" s="4">
        <v>470</v>
      </c>
      <c r="E214" s="4">
        <v>470</v>
      </c>
      <c r="F214" s="4">
        <v>349</v>
      </c>
      <c r="G214" s="4">
        <v>75015</v>
      </c>
    </row>
    <row r="215" spans="1:7">
      <c r="A215" s="4">
        <v>13919</v>
      </c>
      <c r="B215" s="5" t="s">
        <v>1149</v>
      </c>
      <c r="C215" s="4">
        <v>603</v>
      </c>
      <c r="D215" s="4">
        <v>380</v>
      </c>
      <c r="E215" s="4">
        <v>380</v>
      </c>
      <c r="F215" s="4">
        <v>341</v>
      </c>
      <c r="G215" s="4">
        <v>91430</v>
      </c>
    </row>
    <row r="216" spans="1:7">
      <c r="A216" s="4">
        <v>13919</v>
      </c>
      <c r="B216" s="5" t="s">
        <v>1149</v>
      </c>
      <c r="C216" s="4">
        <v>604</v>
      </c>
      <c r="D216" s="4">
        <v>310</v>
      </c>
      <c r="E216" s="4">
        <v>310</v>
      </c>
      <c r="F216" s="4">
        <v>349</v>
      </c>
      <c r="G216" s="4">
        <v>74918</v>
      </c>
    </row>
    <row r="217" spans="1:7">
      <c r="A217" s="4">
        <v>13919</v>
      </c>
      <c r="B217" s="5" t="s">
        <v>1149</v>
      </c>
      <c r="C217" s="4">
        <v>605</v>
      </c>
      <c r="D217" s="4">
        <v>90</v>
      </c>
      <c r="E217" s="4">
        <v>90</v>
      </c>
      <c r="F217" s="4">
        <v>341</v>
      </c>
      <c r="G217" s="4">
        <v>92306</v>
      </c>
    </row>
    <row r="218" spans="1:7">
      <c r="A218" s="4">
        <v>13919</v>
      </c>
      <c r="B218" s="5" t="s">
        <v>1149</v>
      </c>
      <c r="C218" s="4">
        <v>606</v>
      </c>
      <c r="D218" s="4">
        <v>400</v>
      </c>
      <c r="E218" s="4">
        <v>400</v>
      </c>
      <c r="F218" s="4">
        <v>306</v>
      </c>
      <c r="G218" s="4">
        <v>171563</v>
      </c>
    </row>
    <row r="219" spans="1:7">
      <c r="A219" s="4">
        <v>13919</v>
      </c>
      <c r="B219" s="5" t="s">
        <v>1149</v>
      </c>
      <c r="C219" s="4">
        <v>607</v>
      </c>
      <c r="D219" s="4">
        <v>60</v>
      </c>
      <c r="E219" s="4">
        <v>60</v>
      </c>
      <c r="F219" s="4">
        <v>282</v>
      </c>
      <c r="G219" s="4">
        <v>222455</v>
      </c>
    </row>
    <row r="220" spans="1:7">
      <c r="A220" s="4">
        <v>13919</v>
      </c>
      <c r="B220" s="5" t="s">
        <v>1149</v>
      </c>
      <c r="C220" s="4">
        <v>608</v>
      </c>
      <c r="D220" s="4">
        <v>120</v>
      </c>
      <c r="E220" s="4">
        <v>120</v>
      </c>
      <c r="F220" s="4">
        <v>323</v>
      </c>
      <c r="G220" s="4">
        <v>131575</v>
      </c>
    </row>
    <row r="221" spans="1:7">
      <c r="A221" s="4">
        <v>13927</v>
      </c>
      <c r="B221" s="5" t="s">
        <v>1150</v>
      </c>
      <c r="C221" s="4">
        <v>601</v>
      </c>
      <c r="D221" s="4">
        <v>2480</v>
      </c>
      <c r="E221" s="4">
        <v>1368</v>
      </c>
      <c r="F221" s="4">
        <v>190</v>
      </c>
      <c r="G221" s="4">
        <v>372825</v>
      </c>
    </row>
    <row r="222" spans="1:7">
      <c r="A222" s="4">
        <v>13927</v>
      </c>
      <c r="B222" s="5" t="s">
        <v>1150</v>
      </c>
      <c r="C222" s="4">
        <v>602</v>
      </c>
      <c r="D222" s="4">
        <v>1020</v>
      </c>
      <c r="E222" s="4">
        <v>380</v>
      </c>
      <c r="F222" s="4">
        <v>190</v>
      </c>
      <c r="G222" s="4">
        <v>372722</v>
      </c>
    </row>
    <row r="223" spans="1:7">
      <c r="A223" s="4">
        <v>13927</v>
      </c>
      <c r="B223" s="5" t="s">
        <v>1150</v>
      </c>
      <c r="C223" s="4">
        <v>603</v>
      </c>
      <c r="D223" s="4">
        <v>60</v>
      </c>
      <c r="E223" s="4">
        <v>6</v>
      </c>
      <c r="F223" s="4">
        <v>191</v>
      </c>
      <c r="G223" s="4">
        <v>371788</v>
      </c>
    </row>
    <row r="224" spans="1:7">
      <c r="A224" s="4">
        <v>13928</v>
      </c>
      <c r="B224" s="5" t="s">
        <v>1151</v>
      </c>
      <c r="C224" s="4">
        <v>601</v>
      </c>
      <c r="D224" s="4">
        <v>1440</v>
      </c>
      <c r="E224" s="4">
        <v>1044</v>
      </c>
      <c r="F224" s="4">
        <v>190</v>
      </c>
      <c r="G224" s="4">
        <v>373010</v>
      </c>
    </row>
    <row r="225" spans="1:7">
      <c r="A225" s="4">
        <v>13928</v>
      </c>
      <c r="B225" s="5" t="s">
        <v>1151</v>
      </c>
      <c r="C225" s="4">
        <v>602</v>
      </c>
      <c r="D225" s="4">
        <v>952</v>
      </c>
      <c r="E225" s="4">
        <v>952</v>
      </c>
      <c r="F225" s="4">
        <v>266</v>
      </c>
      <c r="G225" s="4">
        <v>256126</v>
      </c>
    </row>
    <row r="226" spans="1:7">
      <c r="A226" s="4">
        <v>13929</v>
      </c>
      <c r="B226" s="5" t="s">
        <v>1152</v>
      </c>
      <c r="C226" s="4">
        <v>601</v>
      </c>
      <c r="D226" s="4">
        <v>1390</v>
      </c>
      <c r="E226" s="4">
        <v>1390</v>
      </c>
      <c r="F226" s="4">
        <v>352</v>
      </c>
      <c r="G226" s="4">
        <v>68168</v>
      </c>
    </row>
    <row r="227" spans="1:7">
      <c r="A227" s="4">
        <v>13929</v>
      </c>
      <c r="B227" s="5" t="s">
        <v>1152</v>
      </c>
      <c r="C227" s="4">
        <v>602</v>
      </c>
      <c r="D227" s="4">
        <v>50</v>
      </c>
      <c r="E227" s="4">
        <v>50</v>
      </c>
      <c r="F227" s="4">
        <v>242</v>
      </c>
      <c r="G227" s="4">
        <v>299259</v>
      </c>
    </row>
    <row r="228" spans="1:7">
      <c r="A228" s="4">
        <v>13930</v>
      </c>
      <c r="B228" s="5" t="s">
        <v>1153</v>
      </c>
      <c r="C228" s="4">
        <v>601</v>
      </c>
      <c r="D228" s="4">
        <v>1041</v>
      </c>
      <c r="E228" s="4">
        <v>1041</v>
      </c>
      <c r="F228" s="4">
        <v>331</v>
      </c>
      <c r="G228" s="4">
        <v>115297</v>
      </c>
    </row>
    <row r="229" spans="1:7">
      <c r="A229" s="4">
        <v>13930</v>
      </c>
      <c r="B229" s="5" t="s">
        <v>1153</v>
      </c>
      <c r="C229" s="4">
        <v>602</v>
      </c>
      <c r="D229" s="4">
        <v>10</v>
      </c>
      <c r="E229" s="4">
        <v>10</v>
      </c>
      <c r="F229" s="4">
        <v>302</v>
      </c>
      <c r="G229" s="4">
        <v>180852</v>
      </c>
    </row>
    <row r="230" spans="1:7">
      <c r="A230" s="4">
        <v>13930</v>
      </c>
      <c r="B230" s="5" t="s">
        <v>1153</v>
      </c>
      <c r="C230" s="4">
        <v>605</v>
      </c>
      <c r="D230" s="4">
        <v>20</v>
      </c>
      <c r="E230" s="4">
        <v>20</v>
      </c>
      <c r="F230" s="4">
        <v>305</v>
      </c>
      <c r="G230" s="4">
        <v>172797</v>
      </c>
    </row>
    <row r="231" spans="1:7">
      <c r="A231" s="4">
        <v>13943</v>
      </c>
      <c r="B231" s="5" t="s">
        <v>1154</v>
      </c>
      <c r="C231" s="4">
        <v>601</v>
      </c>
      <c r="D231" s="4">
        <v>233</v>
      </c>
      <c r="E231" s="4">
        <v>233</v>
      </c>
      <c r="F231" s="4">
        <v>373</v>
      </c>
      <c r="G231" s="4">
        <v>29492</v>
      </c>
    </row>
    <row r="232" spans="1:7">
      <c r="A232" s="4">
        <v>13943</v>
      </c>
      <c r="B232" s="5" t="s">
        <v>1154</v>
      </c>
      <c r="C232" s="4">
        <v>602</v>
      </c>
      <c r="D232" s="4">
        <v>223</v>
      </c>
      <c r="E232" s="4">
        <v>223</v>
      </c>
      <c r="F232" s="4">
        <v>372</v>
      </c>
      <c r="G232" s="4">
        <v>30792</v>
      </c>
    </row>
    <row r="233" spans="1:7">
      <c r="A233" s="4">
        <v>13943</v>
      </c>
      <c r="B233" s="5" t="s">
        <v>1154</v>
      </c>
      <c r="C233" s="4">
        <v>603</v>
      </c>
      <c r="D233" s="4">
        <v>290</v>
      </c>
      <c r="E233" s="4">
        <v>290</v>
      </c>
      <c r="F233" s="4">
        <v>368</v>
      </c>
      <c r="G233" s="4">
        <v>38211</v>
      </c>
    </row>
    <row r="234" spans="1:7">
      <c r="A234" s="4">
        <v>13943</v>
      </c>
      <c r="B234" s="5" t="s">
        <v>1154</v>
      </c>
      <c r="C234" s="4">
        <v>604</v>
      </c>
      <c r="D234" s="4">
        <v>35</v>
      </c>
      <c r="E234" s="4">
        <v>35</v>
      </c>
      <c r="F234" s="4">
        <v>361</v>
      </c>
      <c r="G234" s="4">
        <v>50024</v>
      </c>
    </row>
    <row r="235" spans="1:7">
      <c r="A235" s="4">
        <v>14063</v>
      </c>
      <c r="B235" s="5" t="s">
        <v>1155</v>
      </c>
      <c r="C235" s="4">
        <v>601</v>
      </c>
      <c r="D235" s="4">
        <v>3128</v>
      </c>
      <c r="E235" s="4">
        <v>3128</v>
      </c>
      <c r="F235" s="4">
        <v>318</v>
      </c>
      <c r="G235" s="4">
        <v>145321</v>
      </c>
    </row>
    <row r="236" spans="1:7">
      <c r="A236" s="4">
        <v>14065</v>
      </c>
      <c r="B236" s="5" t="s">
        <v>1156</v>
      </c>
      <c r="C236" s="4">
        <v>601</v>
      </c>
      <c r="D236" s="4">
        <v>380</v>
      </c>
      <c r="E236" s="4">
        <v>380</v>
      </c>
      <c r="F236" s="4">
        <v>308</v>
      </c>
      <c r="G236" s="4">
        <v>166592</v>
      </c>
    </row>
    <row r="237" spans="1:7">
      <c r="A237" s="4">
        <v>14065</v>
      </c>
      <c r="B237" s="5" t="s">
        <v>1156</v>
      </c>
      <c r="C237" s="4">
        <v>602</v>
      </c>
      <c r="D237" s="4">
        <v>40</v>
      </c>
      <c r="E237" s="4">
        <v>40</v>
      </c>
      <c r="F237" s="4">
        <v>323</v>
      </c>
      <c r="G237" s="4">
        <v>132397</v>
      </c>
    </row>
    <row r="238" spans="1:7">
      <c r="A238" s="4">
        <v>14065</v>
      </c>
      <c r="B238" s="5" t="s">
        <v>1156</v>
      </c>
      <c r="C238" s="4">
        <v>603</v>
      </c>
      <c r="D238" s="4">
        <v>40</v>
      </c>
      <c r="E238" s="4">
        <v>40</v>
      </c>
      <c r="F238" s="4">
        <v>356</v>
      </c>
      <c r="G238" s="4">
        <v>59832</v>
      </c>
    </row>
    <row r="239" spans="1:7">
      <c r="A239" s="4">
        <v>14065</v>
      </c>
      <c r="B239" s="5" t="s">
        <v>1156</v>
      </c>
      <c r="C239" s="4">
        <v>604</v>
      </c>
      <c r="D239" s="4">
        <v>160</v>
      </c>
      <c r="E239" s="4">
        <v>160</v>
      </c>
      <c r="F239" s="4">
        <v>354</v>
      </c>
      <c r="G239" s="4">
        <v>64652</v>
      </c>
    </row>
    <row r="240" spans="1:7">
      <c r="A240" s="4">
        <v>14065</v>
      </c>
      <c r="B240" s="5" t="s">
        <v>1156</v>
      </c>
      <c r="C240" s="4">
        <v>605</v>
      </c>
      <c r="D240" s="4">
        <v>245</v>
      </c>
      <c r="E240" s="4">
        <v>245</v>
      </c>
      <c r="F240" s="4">
        <v>345</v>
      </c>
      <c r="G240" s="4">
        <v>83345</v>
      </c>
    </row>
    <row r="241" spans="1:7">
      <c r="A241" s="4">
        <v>14065</v>
      </c>
      <c r="B241" s="5" t="s">
        <v>1156</v>
      </c>
      <c r="C241" s="4">
        <v>614</v>
      </c>
      <c r="D241" s="4">
        <v>40</v>
      </c>
      <c r="E241" s="4">
        <v>40</v>
      </c>
      <c r="F241" s="4">
        <v>346</v>
      </c>
      <c r="G241" s="4">
        <v>80298</v>
      </c>
    </row>
    <row r="242" spans="1:7">
      <c r="A242" s="4">
        <v>14065</v>
      </c>
      <c r="B242" s="5" t="s">
        <v>1156</v>
      </c>
      <c r="C242" s="4">
        <v>615</v>
      </c>
      <c r="D242" s="4">
        <v>150</v>
      </c>
      <c r="E242" s="4">
        <v>150</v>
      </c>
      <c r="F242" s="4">
        <v>290</v>
      </c>
      <c r="G242" s="4">
        <v>206459</v>
      </c>
    </row>
    <row r="243" spans="1:7">
      <c r="A243" s="4">
        <v>14066</v>
      </c>
      <c r="B243" s="5" t="s">
        <v>1157</v>
      </c>
      <c r="C243" s="4">
        <v>601</v>
      </c>
      <c r="D243" s="4">
        <v>105</v>
      </c>
      <c r="E243" s="4">
        <v>105</v>
      </c>
      <c r="F243" s="4">
        <v>369</v>
      </c>
      <c r="G243" s="4">
        <v>35254</v>
      </c>
    </row>
    <row r="244" spans="1:7">
      <c r="A244" s="4">
        <v>14066</v>
      </c>
      <c r="B244" s="5" t="s">
        <v>1157</v>
      </c>
      <c r="C244" s="4">
        <v>602</v>
      </c>
      <c r="D244" s="4">
        <v>100</v>
      </c>
      <c r="E244" s="4">
        <v>100</v>
      </c>
      <c r="F244" s="4">
        <v>367</v>
      </c>
      <c r="G244" s="4">
        <v>39289</v>
      </c>
    </row>
    <row r="245" spans="1:7">
      <c r="A245" s="4">
        <v>14066</v>
      </c>
      <c r="B245" s="5" t="s">
        <v>1157</v>
      </c>
      <c r="C245" s="4">
        <v>603</v>
      </c>
      <c r="D245" s="4">
        <v>85</v>
      </c>
      <c r="E245" s="4">
        <v>85</v>
      </c>
      <c r="F245" s="4">
        <v>356</v>
      </c>
      <c r="G245" s="4">
        <v>60552</v>
      </c>
    </row>
    <row r="246" spans="1:7">
      <c r="A246" s="4">
        <v>14066</v>
      </c>
      <c r="B246" s="5" t="s">
        <v>1157</v>
      </c>
      <c r="C246" s="4">
        <v>604</v>
      </c>
      <c r="D246" s="4">
        <v>20</v>
      </c>
      <c r="E246" s="4">
        <v>20</v>
      </c>
      <c r="F246" s="4">
        <v>346</v>
      </c>
      <c r="G246" s="4">
        <v>81300</v>
      </c>
    </row>
    <row r="247" spans="1:7">
      <c r="A247" s="4">
        <v>14066</v>
      </c>
      <c r="B247" s="5" t="s">
        <v>1157</v>
      </c>
      <c r="C247" s="4">
        <v>605</v>
      </c>
      <c r="D247" s="4">
        <v>30</v>
      </c>
      <c r="E247" s="4">
        <v>30</v>
      </c>
      <c r="F247" s="4">
        <v>297</v>
      </c>
      <c r="G247" s="4">
        <v>192014</v>
      </c>
    </row>
    <row r="248" spans="1:7">
      <c r="A248" s="4">
        <v>14066</v>
      </c>
      <c r="B248" s="5" t="s">
        <v>1157</v>
      </c>
      <c r="C248" s="4">
        <v>606</v>
      </c>
      <c r="D248" s="4">
        <v>20</v>
      </c>
      <c r="E248" s="4">
        <v>20</v>
      </c>
      <c r="F248" s="4">
        <v>367</v>
      </c>
      <c r="G248" s="4">
        <v>38887</v>
      </c>
    </row>
    <row r="249" spans="1:7">
      <c r="A249" s="4">
        <v>14123</v>
      </c>
      <c r="B249" s="5" t="s">
        <v>1158</v>
      </c>
      <c r="C249" s="4">
        <v>601</v>
      </c>
      <c r="D249" s="4">
        <v>747</v>
      </c>
      <c r="E249" s="4">
        <v>700</v>
      </c>
      <c r="F249" s="4">
        <v>190</v>
      </c>
      <c r="G249" s="4">
        <v>373036</v>
      </c>
    </row>
    <row r="250" spans="1:7">
      <c r="A250" s="4">
        <v>14123</v>
      </c>
      <c r="B250" s="5" t="s">
        <v>1158</v>
      </c>
      <c r="C250" s="4">
        <v>604</v>
      </c>
      <c r="D250" s="4">
        <v>24</v>
      </c>
      <c r="E250" s="4">
        <v>10</v>
      </c>
      <c r="F250" s="4">
        <v>190</v>
      </c>
      <c r="G250" s="4">
        <v>372743</v>
      </c>
    </row>
    <row r="251" spans="1:7">
      <c r="A251" s="4">
        <v>14123</v>
      </c>
      <c r="B251" s="5" t="s">
        <v>1158</v>
      </c>
      <c r="C251" s="4">
        <v>605</v>
      </c>
      <c r="D251" s="4">
        <v>32</v>
      </c>
      <c r="E251" s="4">
        <v>11</v>
      </c>
      <c r="F251" s="4">
        <v>203</v>
      </c>
      <c r="G251" s="4">
        <v>357681</v>
      </c>
    </row>
    <row r="252" spans="1:7">
      <c r="A252" s="4">
        <v>14125</v>
      </c>
      <c r="B252" s="5" t="s">
        <v>1159</v>
      </c>
      <c r="C252" s="4">
        <v>603</v>
      </c>
      <c r="D252" s="4">
        <v>2266</v>
      </c>
      <c r="E252" s="4">
        <v>2266</v>
      </c>
      <c r="F252" s="4">
        <v>257</v>
      </c>
      <c r="G252" s="4">
        <v>272388</v>
      </c>
    </row>
    <row r="253" spans="1:7">
      <c r="A253" s="4">
        <v>14125</v>
      </c>
      <c r="B253" s="5" t="s">
        <v>1159</v>
      </c>
      <c r="C253" s="4">
        <v>604</v>
      </c>
      <c r="D253" s="4">
        <v>60</v>
      </c>
      <c r="E253" s="4">
        <v>60</v>
      </c>
      <c r="F253" s="4">
        <v>238</v>
      </c>
      <c r="G253" s="4">
        <v>305741</v>
      </c>
    </row>
    <row r="254" spans="1:7">
      <c r="A254" s="4">
        <v>14126</v>
      </c>
      <c r="B254" s="5" t="s">
        <v>1160</v>
      </c>
      <c r="C254" s="4">
        <v>601</v>
      </c>
      <c r="D254" s="4">
        <v>920</v>
      </c>
      <c r="E254" s="4">
        <v>895</v>
      </c>
      <c r="F254" s="4">
        <v>190</v>
      </c>
      <c r="G254" s="4">
        <v>372994</v>
      </c>
    </row>
    <row r="255" spans="1:7">
      <c r="A255" s="4">
        <v>14126</v>
      </c>
      <c r="B255" s="5" t="s">
        <v>1160</v>
      </c>
      <c r="C255" s="4">
        <v>605</v>
      </c>
      <c r="D255" s="4">
        <v>85</v>
      </c>
      <c r="E255" s="4">
        <v>10</v>
      </c>
      <c r="F255" s="4">
        <v>191</v>
      </c>
      <c r="G255" s="4">
        <v>371449</v>
      </c>
    </row>
    <row r="256" spans="1:7">
      <c r="A256" s="4">
        <v>14126</v>
      </c>
      <c r="B256" s="5" t="s">
        <v>1160</v>
      </c>
      <c r="C256" s="4">
        <v>606</v>
      </c>
      <c r="D256" s="4">
        <v>80</v>
      </c>
      <c r="E256" s="4">
        <v>6</v>
      </c>
      <c r="F256" s="4">
        <v>193</v>
      </c>
      <c r="G256" s="4">
        <v>368796</v>
      </c>
    </row>
    <row r="257" spans="1:7">
      <c r="A257" s="4">
        <v>14126</v>
      </c>
      <c r="B257" s="5" t="s">
        <v>1160</v>
      </c>
      <c r="C257" s="4">
        <v>607</v>
      </c>
      <c r="D257" s="4">
        <v>60</v>
      </c>
      <c r="E257" s="4">
        <v>0</v>
      </c>
      <c r="F257" s="5" t="s">
        <v>1161</v>
      </c>
      <c r="G257" s="5" t="s">
        <v>1161</v>
      </c>
    </row>
    <row r="258" spans="1:7">
      <c r="A258" s="4">
        <v>14136</v>
      </c>
      <c r="B258" s="5" t="s">
        <v>1162</v>
      </c>
      <c r="C258" s="4">
        <v>601</v>
      </c>
      <c r="D258" s="4">
        <v>3305</v>
      </c>
      <c r="E258" s="4">
        <v>3305</v>
      </c>
      <c r="F258" s="4">
        <v>266</v>
      </c>
      <c r="G258" s="4">
        <v>255625</v>
      </c>
    </row>
    <row r="259" spans="1:7">
      <c r="A259" s="4">
        <v>14136</v>
      </c>
      <c r="B259" s="5" t="s">
        <v>1162</v>
      </c>
      <c r="C259" s="4">
        <v>605</v>
      </c>
      <c r="D259" s="4">
        <v>120</v>
      </c>
      <c r="E259" s="4">
        <v>120</v>
      </c>
      <c r="F259" s="4">
        <v>263</v>
      </c>
      <c r="G259" s="4">
        <v>260976</v>
      </c>
    </row>
    <row r="260" spans="1:7">
      <c r="A260" s="4">
        <v>14263</v>
      </c>
      <c r="B260" s="5" t="s">
        <v>1163</v>
      </c>
      <c r="C260" s="4">
        <v>602</v>
      </c>
      <c r="D260" s="4">
        <v>155</v>
      </c>
      <c r="E260" s="4">
        <v>155</v>
      </c>
      <c r="F260" s="4">
        <v>360</v>
      </c>
      <c r="G260" s="4">
        <v>51679</v>
      </c>
    </row>
    <row r="261" spans="1:7">
      <c r="A261" s="4">
        <v>14263</v>
      </c>
      <c r="B261" s="5" t="s">
        <v>1163</v>
      </c>
      <c r="C261" s="4">
        <v>603</v>
      </c>
      <c r="D261" s="4">
        <v>785</v>
      </c>
      <c r="E261" s="4">
        <v>786</v>
      </c>
      <c r="F261" s="4">
        <v>354</v>
      </c>
      <c r="G261" s="4">
        <v>64313</v>
      </c>
    </row>
    <row r="262" spans="1:7">
      <c r="A262" s="4">
        <v>14263</v>
      </c>
      <c r="B262" s="5" t="s">
        <v>1163</v>
      </c>
      <c r="C262" s="4">
        <v>607</v>
      </c>
      <c r="D262" s="4">
        <v>255</v>
      </c>
      <c r="E262" s="4">
        <v>255</v>
      </c>
      <c r="F262" s="4">
        <v>348</v>
      </c>
      <c r="G262" s="4">
        <v>76837</v>
      </c>
    </row>
    <row r="263" spans="1:7">
      <c r="A263" s="4">
        <v>14263</v>
      </c>
      <c r="B263" s="5" t="s">
        <v>1163</v>
      </c>
      <c r="C263" s="4">
        <v>611</v>
      </c>
      <c r="D263" s="4">
        <v>40</v>
      </c>
      <c r="E263" s="4">
        <v>40</v>
      </c>
      <c r="F263" s="4">
        <v>298</v>
      </c>
      <c r="G263" s="4">
        <v>188880</v>
      </c>
    </row>
    <row r="264" spans="1:7">
      <c r="A264" s="4">
        <v>14265</v>
      </c>
      <c r="B264" s="5" t="s">
        <v>1164</v>
      </c>
      <c r="C264" s="4">
        <v>601</v>
      </c>
      <c r="D264" s="4">
        <v>6593</v>
      </c>
      <c r="E264" s="4">
        <v>5399</v>
      </c>
      <c r="F264" s="4">
        <v>190</v>
      </c>
      <c r="G264" s="4">
        <v>373062</v>
      </c>
    </row>
    <row r="265" spans="1:7">
      <c r="A265" s="4">
        <v>14265</v>
      </c>
      <c r="B265" s="5" t="s">
        <v>1164</v>
      </c>
      <c r="C265" s="4">
        <v>602</v>
      </c>
      <c r="D265" s="4">
        <v>60</v>
      </c>
      <c r="E265" s="4">
        <v>60</v>
      </c>
      <c r="F265" s="4">
        <v>203</v>
      </c>
      <c r="G265" s="4">
        <v>356852</v>
      </c>
    </row>
    <row r="266" spans="1:7">
      <c r="A266" s="4">
        <v>14265</v>
      </c>
      <c r="B266" s="5" t="s">
        <v>1164</v>
      </c>
      <c r="C266" s="4">
        <v>603</v>
      </c>
      <c r="D266" s="4">
        <v>1050</v>
      </c>
      <c r="E266" s="4">
        <v>296</v>
      </c>
      <c r="F266" s="4">
        <v>190</v>
      </c>
      <c r="G266" s="4">
        <v>372737</v>
      </c>
    </row>
    <row r="267" spans="1:7">
      <c r="A267" s="4">
        <v>14266</v>
      </c>
      <c r="B267" s="5" t="s">
        <v>1165</v>
      </c>
      <c r="C267" s="4">
        <v>601</v>
      </c>
      <c r="D267" s="4">
        <v>300</v>
      </c>
      <c r="E267" s="4">
        <v>300</v>
      </c>
      <c r="F267" s="4">
        <v>242</v>
      </c>
      <c r="G267" s="4">
        <v>299815</v>
      </c>
    </row>
    <row r="268" spans="1:7">
      <c r="A268" s="4">
        <v>14266</v>
      </c>
      <c r="B268" s="5" t="s">
        <v>1165</v>
      </c>
      <c r="C268" s="4">
        <v>602</v>
      </c>
      <c r="D268" s="4">
        <v>1630</v>
      </c>
      <c r="E268" s="4">
        <v>690</v>
      </c>
      <c r="F268" s="4">
        <v>190</v>
      </c>
      <c r="G268" s="4">
        <v>372800</v>
      </c>
    </row>
    <row r="269" spans="1:7">
      <c r="A269" s="4">
        <v>14266</v>
      </c>
      <c r="B269" s="5" t="s">
        <v>1165</v>
      </c>
      <c r="C269" s="4">
        <v>603</v>
      </c>
      <c r="D269" s="4">
        <v>70</v>
      </c>
      <c r="E269" s="4">
        <v>70</v>
      </c>
      <c r="F269" s="4">
        <v>233</v>
      </c>
      <c r="G269" s="4">
        <v>315079</v>
      </c>
    </row>
    <row r="270" spans="1:7">
      <c r="A270" s="4">
        <v>14266</v>
      </c>
      <c r="B270" s="5" t="s">
        <v>1165</v>
      </c>
      <c r="C270" s="4">
        <v>604</v>
      </c>
      <c r="D270" s="4">
        <v>4354</v>
      </c>
      <c r="E270" s="4">
        <v>793</v>
      </c>
      <c r="F270" s="4">
        <v>190</v>
      </c>
      <c r="G270" s="4">
        <v>372999</v>
      </c>
    </row>
    <row r="271" spans="1:7">
      <c r="A271" s="4">
        <v>14268</v>
      </c>
      <c r="B271" s="5" t="s">
        <v>1166</v>
      </c>
      <c r="C271" s="4">
        <v>601</v>
      </c>
      <c r="D271" s="4">
        <v>2215</v>
      </c>
      <c r="E271" s="4">
        <v>1691</v>
      </c>
      <c r="F271" s="4">
        <v>190</v>
      </c>
      <c r="G271" s="4">
        <v>372936</v>
      </c>
    </row>
    <row r="272" spans="1:7">
      <c r="A272" s="4">
        <v>14268</v>
      </c>
      <c r="B272" s="5" t="s">
        <v>1166</v>
      </c>
      <c r="C272" s="4">
        <v>602</v>
      </c>
      <c r="D272" s="4">
        <v>245</v>
      </c>
      <c r="E272" s="4">
        <v>81</v>
      </c>
      <c r="F272" s="4">
        <v>190</v>
      </c>
      <c r="G272" s="4">
        <v>372725</v>
      </c>
    </row>
    <row r="273" spans="1:7">
      <c r="A273" s="4">
        <v>14268</v>
      </c>
      <c r="B273" s="5" t="s">
        <v>1166</v>
      </c>
      <c r="C273" s="4">
        <v>603</v>
      </c>
      <c r="D273" s="4">
        <v>120</v>
      </c>
      <c r="E273" s="4">
        <v>11</v>
      </c>
      <c r="F273" s="4">
        <v>196</v>
      </c>
      <c r="G273" s="4">
        <v>366335</v>
      </c>
    </row>
    <row r="274" spans="1:7">
      <c r="A274" s="4">
        <v>14268</v>
      </c>
      <c r="B274" s="5" t="s">
        <v>1166</v>
      </c>
      <c r="C274" s="4">
        <v>604</v>
      </c>
      <c r="D274" s="4">
        <v>160</v>
      </c>
      <c r="E274" s="4">
        <v>7</v>
      </c>
      <c r="F274" s="4">
        <v>194</v>
      </c>
      <c r="G274" s="4">
        <v>368105</v>
      </c>
    </row>
    <row r="275" spans="1:7">
      <c r="A275" s="4">
        <v>14311</v>
      </c>
      <c r="B275" s="5" t="s">
        <v>1167</v>
      </c>
      <c r="C275" s="4">
        <v>601</v>
      </c>
      <c r="D275" s="4">
        <v>627</v>
      </c>
      <c r="E275" s="4">
        <v>627</v>
      </c>
      <c r="F275" s="4">
        <v>299</v>
      </c>
      <c r="G275" s="4">
        <v>186690</v>
      </c>
    </row>
    <row r="276" spans="1:7">
      <c r="A276" s="4">
        <v>14311</v>
      </c>
      <c r="B276" s="5" t="s">
        <v>1167</v>
      </c>
      <c r="C276" s="4">
        <v>602</v>
      </c>
      <c r="D276" s="4">
        <v>737</v>
      </c>
      <c r="E276" s="4">
        <v>737</v>
      </c>
      <c r="F276" s="4">
        <v>307</v>
      </c>
      <c r="G276" s="4">
        <v>169804</v>
      </c>
    </row>
    <row r="277" spans="1:7">
      <c r="A277" s="4">
        <v>14362</v>
      </c>
      <c r="B277" s="5" t="s">
        <v>1168</v>
      </c>
      <c r="C277" s="4">
        <v>603</v>
      </c>
      <c r="D277" s="4">
        <v>1910</v>
      </c>
      <c r="E277" s="4">
        <v>504</v>
      </c>
      <c r="F277" s="4">
        <v>190</v>
      </c>
      <c r="G277" s="4">
        <v>373013</v>
      </c>
    </row>
    <row r="278" spans="1:7">
      <c r="A278" s="4">
        <v>14362</v>
      </c>
      <c r="B278" s="5" t="s">
        <v>1168</v>
      </c>
      <c r="C278" s="4">
        <v>604</v>
      </c>
      <c r="D278" s="4">
        <v>1140</v>
      </c>
      <c r="E278" s="4">
        <v>177</v>
      </c>
      <c r="F278" s="4">
        <v>190</v>
      </c>
      <c r="G278" s="4">
        <v>373005</v>
      </c>
    </row>
    <row r="279" spans="1:7">
      <c r="A279" s="4">
        <v>14362</v>
      </c>
      <c r="B279" s="5" t="s">
        <v>1168</v>
      </c>
      <c r="C279" s="4">
        <v>605</v>
      </c>
      <c r="D279" s="4">
        <v>160</v>
      </c>
      <c r="E279" s="4">
        <v>157</v>
      </c>
      <c r="F279" s="4">
        <v>190</v>
      </c>
      <c r="G279" s="4">
        <v>373019</v>
      </c>
    </row>
    <row r="280" spans="1:7">
      <c r="A280" s="4">
        <v>14363</v>
      </c>
      <c r="B280" s="5" t="s">
        <v>1169</v>
      </c>
      <c r="C280" s="4">
        <v>601</v>
      </c>
      <c r="D280" s="4">
        <v>1393</v>
      </c>
      <c r="E280" s="4">
        <v>599</v>
      </c>
      <c r="F280" s="4">
        <v>190</v>
      </c>
      <c r="G280" s="4">
        <v>372924</v>
      </c>
    </row>
    <row r="281" spans="1:7">
      <c r="A281" s="4">
        <v>14363</v>
      </c>
      <c r="B281" s="5" t="s">
        <v>1169</v>
      </c>
      <c r="C281" s="4">
        <v>602</v>
      </c>
      <c r="D281" s="4">
        <v>1225</v>
      </c>
      <c r="E281" s="4">
        <v>316</v>
      </c>
      <c r="F281" s="4">
        <v>190</v>
      </c>
      <c r="G281" s="4">
        <v>372848</v>
      </c>
    </row>
    <row r="282" spans="1:7">
      <c r="A282" s="4">
        <v>14363</v>
      </c>
      <c r="B282" s="5" t="s">
        <v>1169</v>
      </c>
      <c r="C282" s="4">
        <v>603</v>
      </c>
      <c r="D282" s="4">
        <v>1145</v>
      </c>
      <c r="E282" s="4">
        <v>311</v>
      </c>
      <c r="F282" s="4">
        <v>190</v>
      </c>
      <c r="G282" s="4">
        <v>372672</v>
      </c>
    </row>
    <row r="283" spans="1:7">
      <c r="A283" s="4">
        <v>14363</v>
      </c>
      <c r="B283" s="5" t="s">
        <v>1169</v>
      </c>
      <c r="C283" s="4">
        <v>604</v>
      </c>
      <c r="D283" s="4">
        <v>20</v>
      </c>
      <c r="E283" s="4">
        <v>19</v>
      </c>
      <c r="F283" s="4">
        <v>191</v>
      </c>
      <c r="G283" s="4">
        <v>371766</v>
      </c>
    </row>
    <row r="284" spans="1:7">
      <c r="A284" s="4">
        <v>14407</v>
      </c>
      <c r="B284" s="5" t="s">
        <v>1170</v>
      </c>
      <c r="C284" s="4">
        <v>601</v>
      </c>
      <c r="D284" s="4">
        <v>75</v>
      </c>
      <c r="E284" s="4">
        <v>75</v>
      </c>
      <c r="F284" s="4">
        <v>307</v>
      </c>
      <c r="G284" s="4">
        <v>168672</v>
      </c>
    </row>
    <row r="285" spans="1:7">
      <c r="A285" s="4">
        <v>14408</v>
      </c>
      <c r="B285" s="5" t="s">
        <v>1171</v>
      </c>
      <c r="C285" s="4">
        <v>601</v>
      </c>
      <c r="D285" s="4">
        <v>732</v>
      </c>
      <c r="E285" s="4">
        <v>732</v>
      </c>
      <c r="F285" s="4">
        <v>349</v>
      </c>
      <c r="G285" s="4">
        <v>73883</v>
      </c>
    </row>
    <row r="286" spans="1:7">
      <c r="A286" s="4">
        <v>14427</v>
      </c>
      <c r="B286" s="5" t="s">
        <v>1172</v>
      </c>
      <c r="C286" s="4">
        <v>601</v>
      </c>
      <c r="D286" s="4">
        <v>2821</v>
      </c>
      <c r="E286" s="4">
        <v>797</v>
      </c>
      <c r="F286" s="4">
        <v>190</v>
      </c>
      <c r="G286" s="4">
        <v>372774</v>
      </c>
    </row>
    <row r="287" spans="1:7">
      <c r="A287" s="4">
        <v>14509</v>
      </c>
      <c r="B287" s="5" t="s">
        <v>1173</v>
      </c>
      <c r="C287" s="4">
        <v>601</v>
      </c>
      <c r="D287" s="4">
        <v>1184</v>
      </c>
      <c r="E287" s="4">
        <v>1184</v>
      </c>
      <c r="F287" s="4">
        <v>314</v>
      </c>
      <c r="G287" s="4">
        <v>152487</v>
      </c>
    </row>
    <row r="288" spans="1:7">
      <c r="A288" s="4">
        <v>14509</v>
      </c>
      <c r="B288" s="5" t="s">
        <v>1173</v>
      </c>
      <c r="C288" s="4">
        <v>602</v>
      </c>
      <c r="D288" s="4">
        <v>391</v>
      </c>
      <c r="E288" s="4">
        <v>391</v>
      </c>
      <c r="F288" s="4">
        <v>327</v>
      </c>
      <c r="G288" s="4">
        <v>123053</v>
      </c>
    </row>
    <row r="289" spans="1:7">
      <c r="A289" s="4">
        <v>14509</v>
      </c>
      <c r="B289" s="5" t="s">
        <v>1173</v>
      </c>
      <c r="C289" s="4">
        <v>603</v>
      </c>
      <c r="D289" s="4">
        <v>264</v>
      </c>
      <c r="E289" s="4">
        <v>264</v>
      </c>
      <c r="F289" s="4">
        <v>330</v>
      </c>
      <c r="G289" s="4">
        <v>115642</v>
      </c>
    </row>
    <row r="290" spans="1:7">
      <c r="A290" s="4">
        <v>14509</v>
      </c>
      <c r="B290" s="5" t="s">
        <v>1173</v>
      </c>
      <c r="C290" s="4">
        <v>604</v>
      </c>
      <c r="D290" s="4">
        <v>330</v>
      </c>
      <c r="E290" s="4">
        <v>330</v>
      </c>
      <c r="F290" s="4">
        <v>307</v>
      </c>
      <c r="G290" s="4">
        <v>168559</v>
      </c>
    </row>
    <row r="291" spans="1:7">
      <c r="A291" s="4">
        <v>14509</v>
      </c>
      <c r="B291" s="5" t="s">
        <v>1173</v>
      </c>
      <c r="C291" s="4">
        <v>606</v>
      </c>
      <c r="D291" s="4">
        <v>351</v>
      </c>
      <c r="E291" s="4">
        <v>351</v>
      </c>
      <c r="F291" s="4">
        <v>332</v>
      </c>
      <c r="G291" s="4">
        <v>112226</v>
      </c>
    </row>
    <row r="292" spans="1:7">
      <c r="A292" s="4">
        <v>14509</v>
      </c>
      <c r="B292" s="5" t="s">
        <v>1173</v>
      </c>
      <c r="C292" s="4">
        <v>607</v>
      </c>
      <c r="D292" s="4">
        <v>25</v>
      </c>
      <c r="E292" s="4">
        <v>25</v>
      </c>
      <c r="F292" s="4">
        <v>280</v>
      </c>
      <c r="G292" s="4">
        <v>226727</v>
      </c>
    </row>
    <row r="293" spans="1:7">
      <c r="A293" s="4">
        <v>14510</v>
      </c>
      <c r="B293" s="5" t="s">
        <v>1174</v>
      </c>
      <c r="C293" s="4">
        <v>601</v>
      </c>
      <c r="D293" s="4">
        <v>455</v>
      </c>
      <c r="E293" s="4">
        <v>455</v>
      </c>
      <c r="F293" s="4">
        <v>305</v>
      </c>
      <c r="G293" s="4">
        <v>173919</v>
      </c>
    </row>
    <row r="294" spans="1:7">
      <c r="A294" s="4">
        <v>14510</v>
      </c>
      <c r="B294" s="5" t="s">
        <v>1174</v>
      </c>
      <c r="C294" s="4">
        <v>602</v>
      </c>
      <c r="D294" s="4">
        <v>230</v>
      </c>
      <c r="E294" s="4">
        <v>230</v>
      </c>
      <c r="F294" s="4">
        <v>318</v>
      </c>
      <c r="G294" s="4">
        <v>143164</v>
      </c>
    </row>
    <row r="295" spans="1:7">
      <c r="A295" s="4">
        <v>14510</v>
      </c>
      <c r="B295" s="5" t="s">
        <v>1174</v>
      </c>
      <c r="C295" s="4">
        <v>603</v>
      </c>
      <c r="D295" s="4">
        <v>390</v>
      </c>
      <c r="E295" s="4">
        <v>390</v>
      </c>
      <c r="F295" s="4">
        <v>288</v>
      </c>
      <c r="G295" s="4">
        <v>211165</v>
      </c>
    </row>
    <row r="296" spans="1:7">
      <c r="A296" s="4">
        <v>14510</v>
      </c>
      <c r="B296" s="5" t="s">
        <v>1174</v>
      </c>
      <c r="C296" s="4">
        <v>604</v>
      </c>
      <c r="D296" s="4">
        <v>235</v>
      </c>
      <c r="E296" s="4">
        <v>235</v>
      </c>
      <c r="F296" s="4">
        <v>312</v>
      </c>
      <c r="G296" s="4">
        <v>156943</v>
      </c>
    </row>
    <row r="297" spans="1:7">
      <c r="A297" s="4">
        <v>14510</v>
      </c>
      <c r="B297" s="5" t="s">
        <v>1174</v>
      </c>
      <c r="C297" s="4">
        <v>605</v>
      </c>
      <c r="D297" s="4">
        <v>125</v>
      </c>
      <c r="E297" s="4">
        <v>125</v>
      </c>
      <c r="F297" s="4">
        <v>305</v>
      </c>
      <c r="G297" s="4">
        <v>174403</v>
      </c>
    </row>
    <row r="298" spans="1:7">
      <c r="A298" s="4">
        <v>14511</v>
      </c>
      <c r="B298" s="5" t="s">
        <v>1175</v>
      </c>
      <c r="C298" s="4">
        <v>601</v>
      </c>
      <c r="D298" s="4">
        <v>1880</v>
      </c>
      <c r="E298" s="4">
        <v>481</v>
      </c>
      <c r="F298" s="4">
        <v>190</v>
      </c>
      <c r="G298" s="4">
        <v>373043</v>
      </c>
    </row>
    <row r="299" spans="1:7">
      <c r="A299" s="4">
        <v>14511</v>
      </c>
      <c r="B299" s="5" t="s">
        <v>1175</v>
      </c>
      <c r="C299" s="4">
        <v>604</v>
      </c>
      <c r="D299" s="4">
        <v>80</v>
      </c>
      <c r="E299" s="4">
        <v>5</v>
      </c>
      <c r="F299" s="4">
        <v>191</v>
      </c>
      <c r="G299" s="4">
        <v>371408</v>
      </c>
    </row>
    <row r="300" spans="1:7">
      <c r="A300" s="4">
        <v>14556</v>
      </c>
      <c r="B300" s="5" t="s">
        <v>1176</v>
      </c>
      <c r="C300" s="4">
        <v>601</v>
      </c>
      <c r="D300" s="4">
        <v>1579</v>
      </c>
      <c r="E300" s="4">
        <v>1579</v>
      </c>
      <c r="F300" s="4">
        <v>297</v>
      </c>
      <c r="G300" s="4">
        <v>190810</v>
      </c>
    </row>
    <row r="301" spans="1:7">
      <c r="A301" s="4">
        <v>14556</v>
      </c>
      <c r="B301" s="5" t="s">
        <v>1176</v>
      </c>
      <c r="C301" s="4">
        <v>602</v>
      </c>
      <c r="D301" s="4">
        <v>130</v>
      </c>
      <c r="E301" s="4">
        <v>130</v>
      </c>
      <c r="F301" s="4">
        <v>299</v>
      </c>
      <c r="G301" s="4">
        <v>187682</v>
      </c>
    </row>
    <row r="302" spans="1:7">
      <c r="A302" s="4">
        <v>14556</v>
      </c>
      <c r="B302" s="5" t="s">
        <v>1176</v>
      </c>
      <c r="C302" s="4">
        <v>603</v>
      </c>
      <c r="D302" s="4">
        <v>280</v>
      </c>
      <c r="E302" s="4">
        <v>280</v>
      </c>
      <c r="F302" s="4">
        <v>347</v>
      </c>
      <c r="G302" s="4">
        <v>78688</v>
      </c>
    </row>
    <row r="303" spans="1:7">
      <c r="A303" s="4">
        <v>14572</v>
      </c>
      <c r="B303" s="5" t="s">
        <v>1177</v>
      </c>
      <c r="C303" s="4">
        <v>601</v>
      </c>
      <c r="D303" s="4">
        <v>3008</v>
      </c>
      <c r="E303" s="4">
        <v>858</v>
      </c>
      <c r="F303" s="4">
        <v>190</v>
      </c>
      <c r="G303" s="4">
        <v>373094</v>
      </c>
    </row>
    <row r="304" spans="1:7">
      <c r="A304" s="4">
        <v>14587</v>
      </c>
      <c r="B304" s="5" t="s">
        <v>1178</v>
      </c>
      <c r="C304" s="4">
        <v>601</v>
      </c>
      <c r="D304" s="4">
        <v>1356</v>
      </c>
      <c r="E304" s="4">
        <v>1356</v>
      </c>
      <c r="F304" s="4">
        <v>290</v>
      </c>
      <c r="G304" s="4">
        <v>206409</v>
      </c>
    </row>
    <row r="305" spans="1:7">
      <c r="A305" s="4">
        <v>14587</v>
      </c>
      <c r="B305" s="5" t="s">
        <v>1178</v>
      </c>
      <c r="C305" s="4">
        <v>605</v>
      </c>
      <c r="D305" s="4">
        <v>165</v>
      </c>
      <c r="E305" s="4">
        <v>165</v>
      </c>
      <c r="F305" s="4">
        <v>297</v>
      </c>
      <c r="G305" s="4">
        <v>190942</v>
      </c>
    </row>
    <row r="306" spans="1:7">
      <c r="A306" s="4">
        <v>14592</v>
      </c>
      <c r="B306" s="5" t="s">
        <v>1179</v>
      </c>
      <c r="C306" s="4">
        <v>601</v>
      </c>
      <c r="D306" s="4">
        <v>777</v>
      </c>
      <c r="E306" s="4">
        <v>777</v>
      </c>
      <c r="F306" s="4">
        <v>359</v>
      </c>
      <c r="G306" s="4">
        <v>54909</v>
      </c>
    </row>
    <row r="307" spans="1:7">
      <c r="A307" s="4">
        <v>14609</v>
      </c>
      <c r="B307" s="5" t="s">
        <v>1180</v>
      </c>
      <c r="C307" s="4">
        <v>601</v>
      </c>
      <c r="D307" s="4">
        <v>1235</v>
      </c>
      <c r="E307" s="4">
        <v>1235</v>
      </c>
      <c r="F307" s="4">
        <v>319</v>
      </c>
      <c r="G307" s="4">
        <v>141156</v>
      </c>
    </row>
    <row r="308" spans="1:7">
      <c r="A308" s="4">
        <v>14610</v>
      </c>
      <c r="B308" s="5" t="s">
        <v>1181</v>
      </c>
      <c r="C308" s="4">
        <v>601</v>
      </c>
      <c r="D308" s="4">
        <v>1283</v>
      </c>
      <c r="E308" s="4">
        <v>1283</v>
      </c>
      <c r="F308" s="4">
        <v>319</v>
      </c>
      <c r="G308" s="4">
        <v>141490</v>
      </c>
    </row>
    <row r="309" spans="1:7">
      <c r="A309" s="4">
        <v>14638</v>
      </c>
      <c r="B309" s="5" t="s">
        <v>1182</v>
      </c>
      <c r="C309" s="4">
        <v>601</v>
      </c>
      <c r="D309" s="4">
        <v>185</v>
      </c>
      <c r="E309" s="4">
        <v>185</v>
      </c>
      <c r="F309" s="4">
        <v>302</v>
      </c>
      <c r="G309" s="4">
        <v>179549</v>
      </c>
    </row>
    <row r="310" spans="1:7">
      <c r="A310" s="4">
        <v>14638</v>
      </c>
      <c r="B310" s="5" t="s">
        <v>1182</v>
      </c>
      <c r="C310" s="4">
        <v>602</v>
      </c>
      <c r="D310" s="4">
        <v>1267</v>
      </c>
      <c r="E310" s="4">
        <v>1268</v>
      </c>
      <c r="F310" s="4">
        <v>292</v>
      </c>
      <c r="G310" s="4">
        <v>202092</v>
      </c>
    </row>
    <row r="311" spans="1:7">
      <c r="A311" s="4">
        <v>14664</v>
      </c>
      <c r="B311" s="5" t="s">
        <v>1183</v>
      </c>
      <c r="C311" s="4">
        <v>601</v>
      </c>
      <c r="D311" s="4">
        <v>420</v>
      </c>
      <c r="E311" s="4">
        <v>420</v>
      </c>
      <c r="F311" s="4">
        <v>275</v>
      </c>
      <c r="G311" s="4">
        <v>237750</v>
      </c>
    </row>
    <row r="312" spans="1:7">
      <c r="A312" s="4">
        <v>14664</v>
      </c>
      <c r="B312" s="5" t="s">
        <v>1183</v>
      </c>
      <c r="C312" s="4">
        <v>602</v>
      </c>
      <c r="D312" s="4">
        <v>105</v>
      </c>
      <c r="E312" s="4">
        <v>105</v>
      </c>
      <c r="F312" s="4">
        <v>277</v>
      </c>
      <c r="G312" s="4">
        <v>234515</v>
      </c>
    </row>
    <row r="313" spans="1:7">
      <c r="A313" s="4">
        <v>14664</v>
      </c>
      <c r="B313" s="5" t="s">
        <v>1183</v>
      </c>
      <c r="C313" s="4">
        <v>603</v>
      </c>
      <c r="D313" s="4">
        <v>155</v>
      </c>
      <c r="E313" s="4">
        <v>155</v>
      </c>
      <c r="F313" s="4">
        <v>320</v>
      </c>
      <c r="G313" s="4">
        <v>139392</v>
      </c>
    </row>
    <row r="314" spans="1:7">
      <c r="A314" s="4">
        <v>14664</v>
      </c>
      <c r="B314" s="5" t="s">
        <v>1183</v>
      </c>
      <c r="C314" s="4">
        <v>604</v>
      </c>
      <c r="D314" s="4">
        <v>100</v>
      </c>
      <c r="E314" s="4">
        <v>100</v>
      </c>
      <c r="F314" s="4">
        <v>285</v>
      </c>
      <c r="G314" s="4">
        <v>217967</v>
      </c>
    </row>
    <row r="315" spans="1:7">
      <c r="A315" s="4">
        <v>14667</v>
      </c>
      <c r="B315" s="5" t="s">
        <v>1184</v>
      </c>
      <c r="C315" s="4">
        <v>601</v>
      </c>
      <c r="D315" s="4">
        <v>1175</v>
      </c>
      <c r="E315" s="4">
        <v>1175</v>
      </c>
      <c r="F315" s="4">
        <v>310</v>
      </c>
      <c r="G315" s="4">
        <v>162362</v>
      </c>
    </row>
    <row r="316" spans="1:7">
      <c r="A316" s="4">
        <v>14667</v>
      </c>
      <c r="B316" s="5" t="s">
        <v>1184</v>
      </c>
      <c r="C316" s="4">
        <v>602</v>
      </c>
      <c r="D316" s="4">
        <v>553</v>
      </c>
      <c r="E316" s="4">
        <v>553</v>
      </c>
      <c r="F316" s="4">
        <v>316</v>
      </c>
      <c r="G316" s="4">
        <v>148704</v>
      </c>
    </row>
    <row r="317" spans="1:7">
      <c r="A317" s="4">
        <v>14667</v>
      </c>
      <c r="B317" s="5" t="s">
        <v>1184</v>
      </c>
      <c r="C317" s="4">
        <v>604</v>
      </c>
      <c r="D317" s="4">
        <v>120</v>
      </c>
      <c r="E317" s="4">
        <v>120</v>
      </c>
      <c r="F317" s="4">
        <v>306</v>
      </c>
      <c r="G317" s="4">
        <v>170821</v>
      </c>
    </row>
    <row r="318" spans="1:7">
      <c r="A318" s="4">
        <v>14667</v>
      </c>
      <c r="B318" s="5" t="s">
        <v>1184</v>
      </c>
      <c r="C318" s="4">
        <v>606</v>
      </c>
      <c r="D318" s="4">
        <v>282</v>
      </c>
      <c r="E318" s="4">
        <v>282</v>
      </c>
      <c r="F318" s="4">
        <v>315</v>
      </c>
      <c r="G318" s="4">
        <v>150821</v>
      </c>
    </row>
    <row r="319" spans="1:7">
      <c r="A319" s="4">
        <v>14756</v>
      </c>
      <c r="B319" s="5" t="s">
        <v>1185</v>
      </c>
      <c r="C319" s="4">
        <v>601</v>
      </c>
      <c r="D319" s="4">
        <v>260</v>
      </c>
      <c r="E319" s="4">
        <v>260</v>
      </c>
      <c r="F319" s="4">
        <v>329</v>
      </c>
      <c r="G319" s="4">
        <v>119738</v>
      </c>
    </row>
    <row r="320" spans="1:7">
      <c r="A320" s="4">
        <v>14756</v>
      </c>
      <c r="B320" s="5" t="s">
        <v>1185</v>
      </c>
      <c r="C320" s="4">
        <v>608</v>
      </c>
      <c r="D320" s="4">
        <v>30</v>
      </c>
      <c r="E320" s="4">
        <v>30</v>
      </c>
      <c r="F320" s="4">
        <v>296</v>
      </c>
      <c r="G320" s="4">
        <v>194445</v>
      </c>
    </row>
    <row r="321" spans="1:7">
      <c r="A321" s="4">
        <v>14757</v>
      </c>
      <c r="B321" s="5" t="s">
        <v>1186</v>
      </c>
      <c r="C321" s="4">
        <v>601</v>
      </c>
      <c r="D321" s="4">
        <v>600</v>
      </c>
      <c r="E321" s="4">
        <v>600</v>
      </c>
      <c r="F321" s="4">
        <v>257</v>
      </c>
      <c r="G321" s="4">
        <v>272369</v>
      </c>
    </row>
    <row r="322" spans="1:7">
      <c r="A322" s="4">
        <v>14758</v>
      </c>
      <c r="B322" s="5" t="s">
        <v>1187</v>
      </c>
      <c r="C322" s="4">
        <v>601</v>
      </c>
      <c r="D322" s="4">
        <v>290</v>
      </c>
      <c r="E322" s="4">
        <v>290</v>
      </c>
      <c r="F322" s="4">
        <v>309</v>
      </c>
      <c r="G322" s="4">
        <v>163993</v>
      </c>
    </row>
    <row r="323" spans="1:7">
      <c r="A323" s="4">
        <v>14758</v>
      </c>
      <c r="B323" s="5" t="s">
        <v>1187</v>
      </c>
      <c r="C323" s="4">
        <v>602</v>
      </c>
      <c r="D323" s="4">
        <v>290</v>
      </c>
      <c r="E323" s="4">
        <v>290</v>
      </c>
      <c r="F323" s="4">
        <v>304</v>
      </c>
      <c r="G323" s="4">
        <v>175672</v>
      </c>
    </row>
    <row r="324" spans="1:7">
      <c r="A324" s="4">
        <v>14758</v>
      </c>
      <c r="B324" s="5" t="s">
        <v>1187</v>
      </c>
      <c r="C324" s="4">
        <v>603</v>
      </c>
      <c r="D324" s="4">
        <v>290</v>
      </c>
      <c r="E324" s="4">
        <v>290</v>
      </c>
      <c r="F324" s="4">
        <v>308</v>
      </c>
      <c r="G324" s="4">
        <v>167037</v>
      </c>
    </row>
    <row r="325" spans="1:7">
      <c r="A325" s="4">
        <v>14758</v>
      </c>
      <c r="B325" s="5" t="s">
        <v>1187</v>
      </c>
      <c r="C325" s="4">
        <v>604</v>
      </c>
      <c r="D325" s="4">
        <v>290</v>
      </c>
      <c r="E325" s="4">
        <v>290</v>
      </c>
      <c r="F325" s="4">
        <v>306</v>
      </c>
      <c r="G325" s="4">
        <v>170898</v>
      </c>
    </row>
    <row r="326" spans="1:7">
      <c r="A326" s="4">
        <v>14758</v>
      </c>
      <c r="B326" s="5" t="s">
        <v>1187</v>
      </c>
      <c r="C326" s="4">
        <v>605</v>
      </c>
      <c r="D326" s="4">
        <v>290</v>
      </c>
      <c r="E326" s="4">
        <v>290</v>
      </c>
      <c r="F326" s="4">
        <v>300</v>
      </c>
      <c r="G326" s="4">
        <v>184673</v>
      </c>
    </row>
    <row r="327" spans="1:7">
      <c r="A327" s="4">
        <v>14759</v>
      </c>
      <c r="B327" s="5" t="s">
        <v>1188</v>
      </c>
      <c r="C327" s="4">
        <v>601</v>
      </c>
      <c r="D327" s="4">
        <v>650</v>
      </c>
      <c r="E327" s="4">
        <v>650</v>
      </c>
      <c r="F327" s="4">
        <v>320</v>
      </c>
      <c r="G327" s="4">
        <v>138614</v>
      </c>
    </row>
    <row r="328" spans="1:7">
      <c r="A328" s="4">
        <v>14760</v>
      </c>
      <c r="B328" s="5" t="s">
        <v>1189</v>
      </c>
      <c r="C328" s="4">
        <v>601</v>
      </c>
      <c r="D328" s="4">
        <v>818</v>
      </c>
      <c r="E328" s="4">
        <v>818</v>
      </c>
      <c r="F328" s="4">
        <v>324</v>
      </c>
      <c r="G328" s="4">
        <v>129502</v>
      </c>
    </row>
    <row r="329" spans="1:7">
      <c r="A329" s="4">
        <v>14760</v>
      </c>
      <c r="B329" s="5" t="s">
        <v>1189</v>
      </c>
      <c r="C329" s="4">
        <v>602</v>
      </c>
      <c r="D329" s="4">
        <v>100</v>
      </c>
      <c r="E329" s="4">
        <v>100</v>
      </c>
      <c r="F329" s="4">
        <v>319</v>
      </c>
      <c r="G329" s="4">
        <v>142797</v>
      </c>
    </row>
    <row r="330" spans="1:7">
      <c r="A330" s="4">
        <v>14761</v>
      </c>
      <c r="B330" s="5" t="s">
        <v>1190</v>
      </c>
      <c r="C330" s="4">
        <v>601</v>
      </c>
      <c r="D330" s="4">
        <v>956</v>
      </c>
      <c r="E330" s="4">
        <v>595</v>
      </c>
      <c r="F330" s="4">
        <v>190</v>
      </c>
      <c r="G330" s="4">
        <v>372636</v>
      </c>
    </row>
    <row r="331" spans="1:7">
      <c r="A331" s="4">
        <v>14761</v>
      </c>
      <c r="B331" s="5" t="s">
        <v>1190</v>
      </c>
      <c r="C331" s="4">
        <v>602</v>
      </c>
      <c r="D331" s="4">
        <v>280</v>
      </c>
      <c r="E331" s="4">
        <v>149</v>
      </c>
      <c r="F331" s="4">
        <v>190</v>
      </c>
      <c r="G331" s="4">
        <v>372029</v>
      </c>
    </row>
    <row r="332" spans="1:7">
      <c r="A332" s="4">
        <v>14761</v>
      </c>
      <c r="B332" s="5" t="s">
        <v>1190</v>
      </c>
      <c r="C332" s="4">
        <v>603</v>
      </c>
      <c r="D332" s="4">
        <v>208</v>
      </c>
      <c r="E332" s="4">
        <v>166</v>
      </c>
      <c r="F332" s="4">
        <v>190</v>
      </c>
      <c r="G332" s="4">
        <v>372953</v>
      </c>
    </row>
    <row r="333" spans="1:7">
      <c r="A333" s="4">
        <v>14761</v>
      </c>
      <c r="B333" s="5" t="s">
        <v>1190</v>
      </c>
      <c r="C333" s="4">
        <v>604</v>
      </c>
      <c r="D333" s="4">
        <v>90</v>
      </c>
      <c r="E333" s="4">
        <v>50</v>
      </c>
      <c r="F333" s="4">
        <v>191</v>
      </c>
      <c r="G333" s="4">
        <v>371760</v>
      </c>
    </row>
    <row r="334" spans="1:7">
      <c r="A334" s="4">
        <v>14761</v>
      </c>
      <c r="B334" s="5" t="s">
        <v>1190</v>
      </c>
      <c r="C334" s="4">
        <v>605</v>
      </c>
      <c r="D334" s="4">
        <v>30</v>
      </c>
      <c r="E334" s="4">
        <v>25</v>
      </c>
      <c r="F334" s="4">
        <v>194</v>
      </c>
      <c r="G334" s="4">
        <v>367935</v>
      </c>
    </row>
    <row r="335" spans="1:7">
      <c r="A335" s="4">
        <v>14761</v>
      </c>
      <c r="B335" s="5" t="s">
        <v>1190</v>
      </c>
      <c r="C335" s="4">
        <v>608</v>
      </c>
      <c r="D335" s="4">
        <v>30</v>
      </c>
      <c r="E335" s="4">
        <v>11</v>
      </c>
      <c r="F335" s="4">
        <v>191</v>
      </c>
      <c r="G335" s="4">
        <v>371476</v>
      </c>
    </row>
    <row r="336" spans="1:7">
      <c r="A336" s="4">
        <v>14761</v>
      </c>
      <c r="B336" s="5" t="s">
        <v>1190</v>
      </c>
      <c r="C336" s="4">
        <v>609</v>
      </c>
      <c r="D336" s="4">
        <v>75</v>
      </c>
      <c r="E336" s="4">
        <v>22</v>
      </c>
      <c r="F336" s="4">
        <v>200</v>
      </c>
      <c r="G336" s="4">
        <v>360695</v>
      </c>
    </row>
    <row r="337" spans="1:7">
      <c r="A337" s="4">
        <v>14845</v>
      </c>
      <c r="B337" s="5" t="s">
        <v>1191</v>
      </c>
      <c r="C337" s="4">
        <v>601</v>
      </c>
      <c r="D337" s="4">
        <v>19</v>
      </c>
      <c r="E337" s="4">
        <v>19</v>
      </c>
      <c r="F337" s="4">
        <v>386</v>
      </c>
      <c r="G337" s="4">
        <v>13137</v>
      </c>
    </row>
    <row r="338" spans="1:7">
      <c r="A338" s="4">
        <v>14845</v>
      </c>
      <c r="B338" s="5" t="s">
        <v>1191</v>
      </c>
      <c r="C338" s="4">
        <v>602</v>
      </c>
      <c r="D338" s="4">
        <v>19</v>
      </c>
      <c r="E338" s="4">
        <v>19</v>
      </c>
      <c r="F338" s="4">
        <v>384</v>
      </c>
      <c r="G338" s="4">
        <v>15839</v>
      </c>
    </row>
    <row r="339" spans="1:7">
      <c r="A339" s="4">
        <v>14845</v>
      </c>
      <c r="B339" s="5" t="s">
        <v>1191</v>
      </c>
      <c r="C339" s="4">
        <v>603</v>
      </c>
      <c r="D339" s="4">
        <v>19</v>
      </c>
      <c r="E339" s="4">
        <v>19</v>
      </c>
      <c r="F339" s="4">
        <v>383</v>
      </c>
      <c r="G339" s="4">
        <v>16653</v>
      </c>
    </row>
    <row r="340" spans="1:7">
      <c r="A340" s="4">
        <v>50853</v>
      </c>
      <c r="B340" s="5" t="s">
        <v>1192</v>
      </c>
      <c r="C340" s="4">
        <v>601</v>
      </c>
      <c r="D340" s="4">
        <v>1584</v>
      </c>
      <c r="E340" s="4">
        <v>1584</v>
      </c>
      <c r="F340" s="4">
        <v>287</v>
      </c>
      <c r="G340" s="4">
        <v>213246</v>
      </c>
    </row>
    <row r="341" spans="1:7">
      <c r="A341" s="4">
        <v>50853</v>
      </c>
      <c r="B341" s="5" t="s">
        <v>1192</v>
      </c>
      <c r="C341" s="4">
        <v>602</v>
      </c>
      <c r="D341" s="4">
        <v>390</v>
      </c>
      <c r="E341" s="4">
        <v>390</v>
      </c>
      <c r="F341" s="4">
        <v>298</v>
      </c>
      <c r="G341" s="4">
        <v>188300</v>
      </c>
    </row>
    <row r="342" spans="1:7">
      <c r="A342" s="4">
        <v>50853</v>
      </c>
      <c r="B342" s="5" t="s">
        <v>1192</v>
      </c>
      <c r="C342" s="4">
        <v>606</v>
      </c>
      <c r="D342" s="4">
        <v>93</v>
      </c>
      <c r="E342" s="4">
        <v>93</v>
      </c>
      <c r="F342" s="4">
        <v>284</v>
      </c>
      <c r="G342" s="4">
        <v>219964</v>
      </c>
    </row>
  </sheetData>
  <sheetProtection formatCells="0" insertHyperlinks="0" autoFilter="0"/>
  <mergeCells count="1">
    <mergeCell ref="A1:G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2"/>
  <sheetViews>
    <sheetView workbookViewId="0">
      <selection activeCell="J21" sqref="J21"/>
    </sheetView>
  </sheetViews>
  <sheetFormatPr defaultColWidth="8.89166666666667" defaultRowHeight="13.5" outlineLevelCol="6"/>
  <cols>
    <col min="2" max="2" width="37.225" customWidth="1"/>
  </cols>
  <sheetData>
    <row r="1" ht="18.75" spans="1:7">
      <c r="A1" s="6" t="s">
        <v>1193</v>
      </c>
      <c r="B1" s="6"/>
      <c r="C1" s="6"/>
      <c r="D1" s="6"/>
      <c r="E1" s="6"/>
      <c r="F1" s="6"/>
      <c r="G1" s="6"/>
    </row>
    <row r="2" spans="1:7">
      <c r="A2" s="7" t="s">
        <v>1081</v>
      </c>
      <c r="B2" s="7" t="s">
        <v>61</v>
      </c>
      <c r="C2" s="7" t="s">
        <v>62</v>
      </c>
      <c r="D2" s="7" t="s">
        <v>1082</v>
      </c>
      <c r="E2" s="7" t="s">
        <v>1041</v>
      </c>
      <c r="F2" s="7" t="s">
        <v>1083</v>
      </c>
      <c r="G2" s="7" t="s">
        <v>1084</v>
      </c>
    </row>
    <row r="3" spans="1:7">
      <c r="A3" s="8">
        <v>10578</v>
      </c>
      <c r="B3" s="7" t="s">
        <v>1194</v>
      </c>
      <c r="C3" s="8">
        <v>804</v>
      </c>
      <c r="D3" s="7">
        <v>100</v>
      </c>
      <c r="E3" s="7">
        <v>100</v>
      </c>
      <c r="F3" s="7">
        <v>280</v>
      </c>
      <c r="G3" s="8">
        <v>23391</v>
      </c>
    </row>
    <row r="4" spans="1:7">
      <c r="A4" s="8">
        <v>10831</v>
      </c>
      <c r="B4" s="7" t="s">
        <v>1085</v>
      </c>
      <c r="C4" s="8">
        <v>802</v>
      </c>
      <c r="D4" s="7">
        <v>40</v>
      </c>
      <c r="E4" s="7">
        <v>40</v>
      </c>
      <c r="F4" s="7">
        <v>338</v>
      </c>
      <c r="G4" s="8">
        <v>6426</v>
      </c>
    </row>
    <row r="5" spans="1:7">
      <c r="A5" s="8">
        <v>10831</v>
      </c>
      <c r="B5" s="7" t="s">
        <v>1085</v>
      </c>
      <c r="C5" s="8">
        <v>803</v>
      </c>
      <c r="D5" s="7">
        <v>101</v>
      </c>
      <c r="E5" s="7">
        <v>101</v>
      </c>
      <c r="F5" s="7">
        <v>345</v>
      </c>
      <c r="G5" s="8">
        <v>5232</v>
      </c>
    </row>
    <row r="6" spans="1:7">
      <c r="A6" s="8">
        <v>10831</v>
      </c>
      <c r="B6" s="7" t="s">
        <v>1085</v>
      </c>
      <c r="C6" s="8">
        <v>804</v>
      </c>
      <c r="D6" s="7">
        <v>9</v>
      </c>
      <c r="E6" s="7">
        <v>9</v>
      </c>
      <c r="F6" s="7">
        <v>333</v>
      </c>
      <c r="G6" s="8">
        <v>7530</v>
      </c>
    </row>
    <row r="7" spans="1:7">
      <c r="A7" s="8">
        <v>10831</v>
      </c>
      <c r="B7" s="7" t="s">
        <v>1085</v>
      </c>
      <c r="C7" s="8">
        <v>805</v>
      </c>
      <c r="D7" s="7">
        <v>427</v>
      </c>
      <c r="E7" s="7">
        <v>427</v>
      </c>
      <c r="F7" s="7">
        <v>342</v>
      </c>
      <c r="G7" s="8">
        <v>5691</v>
      </c>
    </row>
    <row r="8" spans="1:7">
      <c r="A8" s="8">
        <v>10833</v>
      </c>
      <c r="B8" s="7" t="s">
        <v>123</v>
      </c>
      <c r="C8" s="8">
        <v>801</v>
      </c>
      <c r="D8" s="7">
        <v>360</v>
      </c>
      <c r="E8" s="7">
        <v>360</v>
      </c>
      <c r="F8" s="7">
        <v>309</v>
      </c>
      <c r="G8" s="8">
        <v>13075</v>
      </c>
    </row>
    <row r="9" spans="1:7">
      <c r="A9" s="8">
        <v>10833</v>
      </c>
      <c r="B9" s="7" t="s">
        <v>123</v>
      </c>
      <c r="C9" s="8">
        <v>802</v>
      </c>
      <c r="D9" s="7">
        <v>40</v>
      </c>
      <c r="E9" s="7">
        <v>40</v>
      </c>
      <c r="F9" s="7">
        <v>174</v>
      </c>
      <c r="G9" s="8">
        <v>104908</v>
      </c>
    </row>
    <row r="10" spans="1:7">
      <c r="A10" s="8">
        <v>10833</v>
      </c>
      <c r="B10" s="7" t="s">
        <v>123</v>
      </c>
      <c r="C10" s="8">
        <v>803</v>
      </c>
      <c r="D10" s="7">
        <v>360</v>
      </c>
      <c r="E10" s="7">
        <v>360</v>
      </c>
      <c r="F10" s="7">
        <v>337</v>
      </c>
      <c r="G10" s="8">
        <v>6592</v>
      </c>
    </row>
    <row r="11" spans="1:7">
      <c r="A11" s="8">
        <v>10833</v>
      </c>
      <c r="B11" s="7" t="s">
        <v>123</v>
      </c>
      <c r="C11" s="8">
        <v>804</v>
      </c>
      <c r="D11" s="7">
        <v>180</v>
      </c>
      <c r="E11" s="7">
        <v>180</v>
      </c>
      <c r="F11" s="7">
        <v>332</v>
      </c>
      <c r="G11" s="8">
        <v>7637</v>
      </c>
    </row>
    <row r="12" spans="1:7">
      <c r="A12" s="8">
        <v>10833</v>
      </c>
      <c r="B12" s="7" t="s">
        <v>123</v>
      </c>
      <c r="C12" s="8">
        <v>805</v>
      </c>
      <c r="D12" s="7">
        <v>360</v>
      </c>
      <c r="E12" s="7">
        <v>360</v>
      </c>
      <c r="F12" s="7">
        <v>330</v>
      </c>
      <c r="G12" s="8">
        <v>7975</v>
      </c>
    </row>
    <row r="13" spans="1:7">
      <c r="A13" s="8">
        <v>10833</v>
      </c>
      <c r="B13" s="7" t="s">
        <v>123</v>
      </c>
      <c r="C13" s="8">
        <v>806</v>
      </c>
      <c r="D13" s="7">
        <v>180</v>
      </c>
      <c r="E13" s="7">
        <v>180</v>
      </c>
      <c r="F13" s="7">
        <v>334</v>
      </c>
      <c r="G13" s="8">
        <v>7271</v>
      </c>
    </row>
    <row r="14" spans="1:7">
      <c r="A14" s="8">
        <v>10833</v>
      </c>
      <c r="B14" s="7" t="s">
        <v>123</v>
      </c>
      <c r="C14" s="8">
        <v>807</v>
      </c>
      <c r="D14" s="7">
        <v>120</v>
      </c>
      <c r="E14" s="7">
        <v>120</v>
      </c>
      <c r="F14" s="7">
        <v>351</v>
      </c>
      <c r="G14" s="8">
        <v>4204</v>
      </c>
    </row>
    <row r="15" spans="1:7">
      <c r="A15" s="8">
        <v>10833</v>
      </c>
      <c r="B15" s="7" t="s">
        <v>123</v>
      </c>
      <c r="C15" s="8">
        <v>808</v>
      </c>
      <c r="D15" s="7">
        <v>120</v>
      </c>
      <c r="E15" s="7">
        <v>120</v>
      </c>
      <c r="F15" s="7">
        <v>340</v>
      </c>
      <c r="G15" s="8">
        <v>6031</v>
      </c>
    </row>
    <row r="16" spans="1:7">
      <c r="A16" s="8">
        <v>10833</v>
      </c>
      <c r="B16" s="7" t="s">
        <v>123</v>
      </c>
      <c r="C16" s="8">
        <v>809</v>
      </c>
      <c r="D16" s="7">
        <v>456</v>
      </c>
      <c r="E16" s="7">
        <v>456</v>
      </c>
      <c r="F16" s="7">
        <v>334</v>
      </c>
      <c r="G16" s="8">
        <v>7255</v>
      </c>
    </row>
    <row r="17" spans="1:7">
      <c r="A17" s="8">
        <v>10833</v>
      </c>
      <c r="B17" s="7" t="s">
        <v>123</v>
      </c>
      <c r="C17" s="8">
        <v>810</v>
      </c>
      <c r="D17" s="7">
        <v>240</v>
      </c>
      <c r="E17" s="7">
        <v>240</v>
      </c>
      <c r="F17" s="7">
        <v>304</v>
      </c>
      <c r="G17" s="8">
        <v>14725</v>
      </c>
    </row>
    <row r="18" spans="1:7">
      <c r="A18" s="8">
        <v>10833</v>
      </c>
      <c r="B18" s="7" t="s">
        <v>123</v>
      </c>
      <c r="C18" s="8">
        <v>811</v>
      </c>
      <c r="D18" s="7">
        <v>120</v>
      </c>
      <c r="E18" s="7">
        <v>120</v>
      </c>
      <c r="F18" s="7">
        <v>333</v>
      </c>
      <c r="G18" s="8">
        <v>7516</v>
      </c>
    </row>
    <row r="19" spans="1:7">
      <c r="A19" s="8">
        <v>10833</v>
      </c>
      <c r="B19" s="7" t="s">
        <v>123</v>
      </c>
      <c r="C19" s="8">
        <v>812</v>
      </c>
      <c r="D19" s="7">
        <v>40</v>
      </c>
      <c r="E19" s="7">
        <v>40</v>
      </c>
      <c r="F19" s="7">
        <v>324</v>
      </c>
      <c r="G19" s="8">
        <v>9487</v>
      </c>
    </row>
    <row r="20" spans="1:7">
      <c r="A20" s="8">
        <v>10861</v>
      </c>
      <c r="B20" s="7" t="s">
        <v>359</v>
      </c>
      <c r="C20" s="8">
        <v>801</v>
      </c>
      <c r="D20" s="7">
        <v>2596</v>
      </c>
      <c r="E20" s="7">
        <v>2596</v>
      </c>
      <c r="F20" s="7">
        <v>229</v>
      </c>
      <c r="G20" s="8">
        <v>52310</v>
      </c>
    </row>
    <row r="21" spans="1:7">
      <c r="A21" s="8">
        <v>10861</v>
      </c>
      <c r="B21" s="7" t="s">
        <v>359</v>
      </c>
      <c r="C21" s="8">
        <v>802</v>
      </c>
      <c r="D21" s="7">
        <v>1469</v>
      </c>
      <c r="E21" s="7">
        <v>1469</v>
      </c>
      <c r="F21" s="7">
        <v>219</v>
      </c>
      <c r="G21" s="8">
        <v>60001</v>
      </c>
    </row>
    <row r="22" spans="1:7">
      <c r="A22" s="8">
        <v>10861</v>
      </c>
      <c r="B22" s="7" t="s">
        <v>359</v>
      </c>
      <c r="C22" s="8">
        <v>803</v>
      </c>
      <c r="D22" s="7">
        <v>10</v>
      </c>
      <c r="E22" s="7">
        <v>10</v>
      </c>
      <c r="F22" s="7">
        <v>211</v>
      </c>
      <c r="G22" s="8">
        <v>66799</v>
      </c>
    </row>
    <row r="23" spans="1:7">
      <c r="A23" s="8">
        <v>10861</v>
      </c>
      <c r="B23" s="7" t="s">
        <v>359</v>
      </c>
      <c r="C23" s="8">
        <v>806</v>
      </c>
      <c r="D23" s="7">
        <v>10</v>
      </c>
      <c r="E23" s="7">
        <v>10</v>
      </c>
      <c r="F23" s="7">
        <v>215</v>
      </c>
      <c r="G23" s="8">
        <v>63205</v>
      </c>
    </row>
    <row r="24" spans="1:7">
      <c r="A24" s="8">
        <v>10862</v>
      </c>
      <c r="B24" s="7" t="s">
        <v>278</v>
      </c>
      <c r="C24" s="8">
        <v>801</v>
      </c>
      <c r="D24" s="7">
        <v>1407</v>
      </c>
      <c r="E24" s="7">
        <v>1407</v>
      </c>
      <c r="F24" s="7">
        <v>249</v>
      </c>
      <c r="G24" s="8">
        <v>39303</v>
      </c>
    </row>
    <row r="25" spans="1:7">
      <c r="A25" s="8">
        <v>10862</v>
      </c>
      <c r="B25" s="7" t="s">
        <v>278</v>
      </c>
      <c r="C25" s="8">
        <v>802</v>
      </c>
      <c r="D25" s="7">
        <v>368</v>
      </c>
      <c r="E25" s="7">
        <v>368</v>
      </c>
      <c r="F25" s="7">
        <v>245</v>
      </c>
      <c r="G25" s="8">
        <v>41660</v>
      </c>
    </row>
    <row r="26" spans="1:7">
      <c r="A26" s="8">
        <v>10862</v>
      </c>
      <c r="B26" s="7" t="s">
        <v>278</v>
      </c>
      <c r="C26" s="8">
        <v>803</v>
      </c>
      <c r="D26" s="7">
        <v>42</v>
      </c>
      <c r="E26" s="7">
        <v>42</v>
      </c>
      <c r="F26" s="7">
        <v>210</v>
      </c>
      <c r="G26" s="8">
        <v>67621</v>
      </c>
    </row>
    <row r="27" spans="1:7">
      <c r="A27" s="8">
        <v>10862</v>
      </c>
      <c r="B27" s="7" t="s">
        <v>278</v>
      </c>
      <c r="C27" s="8">
        <v>804</v>
      </c>
      <c r="D27" s="7">
        <v>65</v>
      </c>
      <c r="E27" s="7">
        <v>65</v>
      </c>
      <c r="F27" s="7">
        <v>205</v>
      </c>
      <c r="G27" s="8">
        <v>72219</v>
      </c>
    </row>
    <row r="28" spans="1:7">
      <c r="A28" s="8">
        <v>10862</v>
      </c>
      <c r="B28" s="7" t="s">
        <v>278</v>
      </c>
      <c r="C28" s="8">
        <v>807</v>
      </c>
      <c r="D28" s="7">
        <v>67</v>
      </c>
      <c r="E28" s="7">
        <v>67</v>
      </c>
      <c r="F28" s="7">
        <v>197</v>
      </c>
      <c r="G28" s="8">
        <v>79729</v>
      </c>
    </row>
    <row r="29" spans="1:7">
      <c r="A29" s="8">
        <v>10862</v>
      </c>
      <c r="B29" s="7" t="s">
        <v>278</v>
      </c>
      <c r="C29" s="8">
        <v>808</v>
      </c>
      <c r="D29" s="7">
        <v>17</v>
      </c>
      <c r="E29" s="7">
        <v>17</v>
      </c>
      <c r="F29" s="7">
        <v>192</v>
      </c>
      <c r="G29" s="8">
        <v>84710</v>
      </c>
    </row>
    <row r="30" spans="1:7">
      <c r="A30" s="8">
        <v>10862</v>
      </c>
      <c r="B30" s="7" t="s">
        <v>278</v>
      </c>
      <c r="C30" s="8">
        <v>809</v>
      </c>
      <c r="D30" s="7">
        <v>39</v>
      </c>
      <c r="E30" s="7">
        <v>39</v>
      </c>
      <c r="F30" s="7">
        <v>210</v>
      </c>
      <c r="G30" s="8">
        <v>67809</v>
      </c>
    </row>
    <row r="31" spans="1:7">
      <c r="A31" s="8">
        <v>10862</v>
      </c>
      <c r="B31" s="7" t="s">
        <v>278</v>
      </c>
      <c r="C31" s="8">
        <v>810</v>
      </c>
      <c r="D31" s="7">
        <v>60</v>
      </c>
      <c r="E31" s="7">
        <v>60</v>
      </c>
      <c r="F31" s="7">
        <v>203</v>
      </c>
      <c r="G31" s="8">
        <v>73555</v>
      </c>
    </row>
    <row r="32" spans="1:7">
      <c r="A32" s="8">
        <v>10965</v>
      </c>
      <c r="B32" s="7" t="s">
        <v>899</v>
      </c>
      <c r="C32" s="8">
        <v>801</v>
      </c>
      <c r="D32" s="7">
        <v>400</v>
      </c>
      <c r="E32" s="7">
        <v>400</v>
      </c>
      <c r="F32" s="7">
        <v>177</v>
      </c>
      <c r="G32" s="8">
        <v>101208</v>
      </c>
    </row>
    <row r="33" spans="1:7">
      <c r="A33" s="8">
        <v>11113</v>
      </c>
      <c r="B33" s="7" t="s">
        <v>93</v>
      </c>
      <c r="C33" s="8">
        <v>801</v>
      </c>
      <c r="D33" s="7">
        <v>353</v>
      </c>
      <c r="E33" s="7">
        <v>353</v>
      </c>
      <c r="F33" s="7">
        <v>384</v>
      </c>
      <c r="G33" s="8">
        <v>649</v>
      </c>
    </row>
    <row r="34" spans="1:7">
      <c r="A34" s="8">
        <v>11113</v>
      </c>
      <c r="B34" s="7" t="s">
        <v>93</v>
      </c>
      <c r="C34" s="8">
        <v>802</v>
      </c>
      <c r="D34" s="7">
        <v>414</v>
      </c>
      <c r="E34" s="7">
        <v>414</v>
      </c>
      <c r="F34" s="7">
        <v>365</v>
      </c>
      <c r="G34" s="8">
        <v>2234</v>
      </c>
    </row>
    <row r="35" spans="1:7">
      <c r="A35" s="8">
        <v>11113</v>
      </c>
      <c r="B35" s="7" t="s">
        <v>93</v>
      </c>
      <c r="C35" s="8">
        <v>803</v>
      </c>
      <c r="D35" s="7">
        <v>541</v>
      </c>
      <c r="E35" s="7">
        <v>541</v>
      </c>
      <c r="F35" s="7">
        <v>363</v>
      </c>
      <c r="G35" s="8">
        <v>2527</v>
      </c>
    </row>
    <row r="36" spans="1:7">
      <c r="A36" s="8">
        <v>11113</v>
      </c>
      <c r="B36" s="7" t="s">
        <v>93</v>
      </c>
      <c r="C36" s="8">
        <v>804</v>
      </c>
      <c r="D36" s="7">
        <v>283</v>
      </c>
      <c r="E36" s="7">
        <v>283</v>
      </c>
      <c r="F36" s="7">
        <v>370</v>
      </c>
      <c r="G36" s="8">
        <v>1759</v>
      </c>
    </row>
    <row r="37" spans="1:7">
      <c r="A37" s="8">
        <v>11113</v>
      </c>
      <c r="B37" s="7" t="s">
        <v>93</v>
      </c>
      <c r="C37" s="8">
        <v>805</v>
      </c>
      <c r="D37" s="7">
        <v>57</v>
      </c>
      <c r="E37" s="7">
        <v>57</v>
      </c>
      <c r="F37" s="7">
        <v>358</v>
      </c>
      <c r="G37" s="8">
        <v>3210</v>
      </c>
    </row>
    <row r="38" spans="1:7">
      <c r="A38" s="8">
        <v>11113</v>
      </c>
      <c r="B38" s="7" t="s">
        <v>93</v>
      </c>
      <c r="C38" s="8">
        <v>806</v>
      </c>
      <c r="D38" s="7">
        <v>154</v>
      </c>
      <c r="E38" s="7">
        <v>154</v>
      </c>
      <c r="F38" s="7">
        <v>360</v>
      </c>
      <c r="G38" s="8">
        <v>2934</v>
      </c>
    </row>
    <row r="39" spans="1:7">
      <c r="A39" s="8">
        <v>11113</v>
      </c>
      <c r="B39" s="7" t="s">
        <v>93</v>
      </c>
      <c r="C39" s="8">
        <v>807</v>
      </c>
      <c r="D39" s="7">
        <v>25</v>
      </c>
      <c r="E39" s="7">
        <v>25</v>
      </c>
      <c r="F39" s="7">
        <v>355</v>
      </c>
      <c r="G39" s="8">
        <v>3566</v>
      </c>
    </row>
    <row r="40" spans="1:7">
      <c r="A40" s="8">
        <v>11113</v>
      </c>
      <c r="B40" s="7" t="s">
        <v>93</v>
      </c>
      <c r="C40" s="8">
        <v>808</v>
      </c>
      <c r="D40" s="7">
        <v>64</v>
      </c>
      <c r="E40" s="7">
        <v>64</v>
      </c>
      <c r="F40" s="7">
        <v>356</v>
      </c>
      <c r="G40" s="8">
        <v>3416</v>
      </c>
    </row>
    <row r="41" spans="1:7">
      <c r="A41" s="8">
        <v>11113</v>
      </c>
      <c r="B41" s="7" t="s">
        <v>93</v>
      </c>
      <c r="C41" s="8">
        <v>809</v>
      </c>
      <c r="D41" s="7">
        <v>169</v>
      </c>
      <c r="E41" s="7">
        <v>169</v>
      </c>
      <c r="F41" s="7">
        <v>362</v>
      </c>
      <c r="G41" s="8">
        <v>2690</v>
      </c>
    </row>
    <row r="42" spans="1:7">
      <c r="A42" s="8">
        <v>11113</v>
      </c>
      <c r="B42" s="7" t="s">
        <v>93</v>
      </c>
      <c r="C42" s="8">
        <v>810</v>
      </c>
      <c r="D42" s="7">
        <v>4</v>
      </c>
      <c r="E42" s="7">
        <v>4</v>
      </c>
      <c r="F42" s="7">
        <v>341</v>
      </c>
      <c r="G42" s="8">
        <v>5809</v>
      </c>
    </row>
    <row r="43" spans="1:7">
      <c r="A43" s="8">
        <v>11114</v>
      </c>
      <c r="B43" s="7" t="s">
        <v>618</v>
      </c>
      <c r="C43" s="8">
        <v>801</v>
      </c>
      <c r="D43" s="7">
        <v>719</v>
      </c>
      <c r="E43" s="7">
        <v>719</v>
      </c>
      <c r="F43" s="7">
        <v>241</v>
      </c>
      <c r="G43" s="8">
        <v>44253</v>
      </c>
    </row>
    <row r="44" spans="1:7">
      <c r="A44" s="8">
        <v>11121</v>
      </c>
      <c r="B44" s="7" t="s">
        <v>776</v>
      </c>
      <c r="C44" s="8">
        <v>801</v>
      </c>
      <c r="D44" s="7">
        <v>638</v>
      </c>
      <c r="E44" s="7">
        <v>638</v>
      </c>
      <c r="F44" s="7">
        <v>183</v>
      </c>
      <c r="G44" s="8">
        <v>93972</v>
      </c>
    </row>
    <row r="45" spans="1:7">
      <c r="A45" s="8">
        <v>11121</v>
      </c>
      <c r="B45" s="7" t="s">
        <v>776</v>
      </c>
      <c r="C45" s="8">
        <v>802</v>
      </c>
      <c r="D45" s="7">
        <v>54</v>
      </c>
      <c r="E45" s="7">
        <v>54</v>
      </c>
      <c r="F45" s="7">
        <v>163</v>
      </c>
      <c r="G45" s="8">
        <v>118527</v>
      </c>
    </row>
    <row r="46" spans="1:7">
      <c r="A46" s="8">
        <v>12040</v>
      </c>
      <c r="B46" s="7" t="s">
        <v>179</v>
      </c>
      <c r="C46" s="8">
        <v>801</v>
      </c>
      <c r="D46" s="7">
        <v>125</v>
      </c>
      <c r="E46" s="7">
        <v>125</v>
      </c>
      <c r="F46" s="7">
        <v>289</v>
      </c>
      <c r="G46" s="8">
        <v>19774</v>
      </c>
    </row>
    <row r="47" spans="1:7">
      <c r="A47" s="8">
        <v>12040</v>
      </c>
      <c r="B47" s="7" t="s">
        <v>179</v>
      </c>
      <c r="C47" s="8">
        <v>802</v>
      </c>
      <c r="D47" s="7">
        <v>60</v>
      </c>
      <c r="E47" s="7">
        <v>60</v>
      </c>
      <c r="F47" s="7">
        <v>271</v>
      </c>
      <c r="G47" s="8">
        <v>27091</v>
      </c>
    </row>
    <row r="48" spans="1:7">
      <c r="A48" s="8">
        <v>12046</v>
      </c>
      <c r="B48" s="7" t="s">
        <v>1086</v>
      </c>
      <c r="C48" s="8">
        <v>801</v>
      </c>
      <c r="D48" s="7">
        <v>25</v>
      </c>
      <c r="E48" s="7">
        <v>25</v>
      </c>
      <c r="F48" s="7">
        <v>346</v>
      </c>
      <c r="G48" s="8">
        <v>5003</v>
      </c>
    </row>
    <row r="49" spans="1:7">
      <c r="A49" s="8">
        <v>12046</v>
      </c>
      <c r="B49" s="7" t="s">
        <v>1086</v>
      </c>
      <c r="C49" s="8">
        <v>802</v>
      </c>
      <c r="D49" s="7">
        <v>25</v>
      </c>
      <c r="E49" s="7">
        <v>25</v>
      </c>
      <c r="F49" s="7">
        <v>341</v>
      </c>
      <c r="G49" s="8">
        <v>5851</v>
      </c>
    </row>
    <row r="50" spans="1:7">
      <c r="A50" s="8">
        <v>12046</v>
      </c>
      <c r="B50" s="7" t="s">
        <v>1086</v>
      </c>
      <c r="C50" s="8">
        <v>803</v>
      </c>
      <c r="D50" s="7">
        <v>15</v>
      </c>
      <c r="E50" s="7">
        <v>15</v>
      </c>
      <c r="F50" s="7">
        <v>344</v>
      </c>
      <c r="G50" s="8">
        <v>5275</v>
      </c>
    </row>
    <row r="51" spans="1:7">
      <c r="A51" s="8">
        <v>12046</v>
      </c>
      <c r="B51" s="7" t="s">
        <v>1086</v>
      </c>
      <c r="C51" s="8">
        <v>804</v>
      </c>
      <c r="D51" s="7">
        <v>20</v>
      </c>
      <c r="E51" s="7">
        <v>20</v>
      </c>
      <c r="F51" s="7">
        <v>341</v>
      </c>
      <c r="G51" s="8">
        <v>5913</v>
      </c>
    </row>
    <row r="52" spans="1:7">
      <c r="A52" s="8">
        <v>12046</v>
      </c>
      <c r="B52" s="7" t="s">
        <v>1086</v>
      </c>
      <c r="C52" s="8">
        <v>807</v>
      </c>
      <c r="D52" s="7">
        <v>34</v>
      </c>
      <c r="E52" s="7">
        <v>34</v>
      </c>
      <c r="F52" s="7">
        <v>353</v>
      </c>
      <c r="G52" s="8">
        <v>3927</v>
      </c>
    </row>
    <row r="53" spans="1:7">
      <c r="A53" s="8">
        <v>12046</v>
      </c>
      <c r="B53" s="7" t="s">
        <v>1086</v>
      </c>
      <c r="C53" s="8">
        <v>808</v>
      </c>
      <c r="D53" s="7">
        <v>35</v>
      </c>
      <c r="E53" s="7">
        <v>35</v>
      </c>
      <c r="F53" s="7">
        <v>346</v>
      </c>
      <c r="G53" s="8">
        <v>5022</v>
      </c>
    </row>
    <row r="54" spans="1:7">
      <c r="A54" s="8">
        <v>12046</v>
      </c>
      <c r="B54" s="7" t="s">
        <v>1086</v>
      </c>
      <c r="C54" s="8">
        <v>811</v>
      </c>
      <c r="D54" s="7">
        <v>30</v>
      </c>
      <c r="E54" s="7">
        <v>30</v>
      </c>
      <c r="F54" s="7">
        <v>327</v>
      </c>
      <c r="G54" s="8">
        <v>8740</v>
      </c>
    </row>
    <row r="55" spans="1:7">
      <c r="A55" s="8">
        <v>12046</v>
      </c>
      <c r="B55" s="7" t="s">
        <v>1086</v>
      </c>
      <c r="C55" s="8">
        <v>812</v>
      </c>
      <c r="D55" s="7">
        <v>5</v>
      </c>
      <c r="E55" s="7">
        <v>5</v>
      </c>
      <c r="F55" s="7">
        <v>349</v>
      </c>
      <c r="G55" s="8">
        <v>4529</v>
      </c>
    </row>
    <row r="56" spans="1:7">
      <c r="A56" s="8">
        <v>12060</v>
      </c>
      <c r="B56" s="7" t="s">
        <v>664</v>
      </c>
      <c r="C56" s="8">
        <v>801</v>
      </c>
      <c r="D56" s="7">
        <v>469</v>
      </c>
      <c r="E56" s="7">
        <v>469</v>
      </c>
      <c r="F56" s="7">
        <v>212</v>
      </c>
      <c r="G56" s="8">
        <v>65777</v>
      </c>
    </row>
    <row r="57" spans="1:7">
      <c r="A57" s="8">
        <v>12060</v>
      </c>
      <c r="B57" s="7" t="s">
        <v>664</v>
      </c>
      <c r="C57" s="8">
        <v>802</v>
      </c>
      <c r="D57" s="7">
        <v>218</v>
      </c>
      <c r="E57" s="7">
        <v>218</v>
      </c>
      <c r="F57" s="7">
        <v>208</v>
      </c>
      <c r="G57" s="8">
        <v>69059</v>
      </c>
    </row>
    <row r="58" spans="1:7">
      <c r="A58" s="8">
        <v>12322</v>
      </c>
      <c r="B58" s="7" t="s">
        <v>478</v>
      </c>
      <c r="C58" s="8">
        <v>801</v>
      </c>
      <c r="D58" s="7">
        <v>1029</v>
      </c>
      <c r="E58" s="7">
        <v>1029</v>
      </c>
      <c r="F58" s="7">
        <v>277</v>
      </c>
      <c r="G58" s="8">
        <v>24676</v>
      </c>
    </row>
    <row r="59" spans="1:7">
      <c r="A59" s="8">
        <v>12322</v>
      </c>
      <c r="B59" s="7" t="s">
        <v>478</v>
      </c>
      <c r="C59" s="8">
        <v>802</v>
      </c>
      <c r="D59" s="7">
        <v>45</v>
      </c>
      <c r="E59" s="7">
        <v>45</v>
      </c>
      <c r="F59" s="7">
        <v>267</v>
      </c>
      <c r="G59" s="8">
        <v>29376</v>
      </c>
    </row>
    <row r="60" spans="1:7">
      <c r="A60" s="8">
        <v>12322</v>
      </c>
      <c r="B60" s="7" t="s">
        <v>478</v>
      </c>
      <c r="C60" s="8">
        <v>803</v>
      </c>
      <c r="D60" s="7">
        <v>101</v>
      </c>
      <c r="E60" s="7">
        <v>101</v>
      </c>
      <c r="F60" s="7">
        <v>207</v>
      </c>
      <c r="G60" s="8">
        <v>69799</v>
      </c>
    </row>
    <row r="61" spans="1:7">
      <c r="A61" s="8">
        <v>12322</v>
      </c>
      <c r="B61" s="7" t="s">
        <v>478</v>
      </c>
      <c r="C61" s="8">
        <v>806</v>
      </c>
      <c r="D61" s="7">
        <v>150</v>
      </c>
      <c r="E61" s="7">
        <v>150</v>
      </c>
      <c r="F61" s="7">
        <v>269</v>
      </c>
      <c r="G61" s="8">
        <v>28501</v>
      </c>
    </row>
    <row r="62" spans="1:7">
      <c r="A62" s="8">
        <v>12325</v>
      </c>
      <c r="B62" s="7" t="s">
        <v>853</v>
      </c>
      <c r="C62" s="8">
        <v>801</v>
      </c>
      <c r="D62" s="7">
        <v>285</v>
      </c>
      <c r="E62" s="7">
        <v>285</v>
      </c>
      <c r="F62" s="7">
        <v>183</v>
      </c>
      <c r="G62" s="8">
        <v>93664</v>
      </c>
    </row>
    <row r="63" spans="1:7">
      <c r="A63" s="8">
        <v>12325</v>
      </c>
      <c r="B63" s="7" t="s">
        <v>853</v>
      </c>
      <c r="C63" s="8">
        <v>802</v>
      </c>
      <c r="D63" s="7">
        <v>15</v>
      </c>
      <c r="E63" s="7">
        <v>15</v>
      </c>
      <c r="F63" s="7">
        <v>175</v>
      </c>
      <c r="G63" s="8">
        <v>103401</v>
      </c>
    </row>
    <row r="64" spans="1:7">
      <c r="A64" s="8">
        <v>12327</v>
      </c>
      <c r="B64" s="7" t="s">
        <v>203</v>
      </c>
      <c r="C64" s="8">
        <v>801</v>
      </c>
      <c r="D64" s="7">
        <v>45</v>
      </c>
      <c r="E64" s="7">
        <v>45</v>
      </c>
      <c r="F64" s="7">
        <v>324</v>
      </c>
      <c r="G64" s="8">
        <v>9369</v>
      </c>
    </row>
    <row r="65" spans="1:7">
      <c r="A65" s="8">
        <v>12327</v>
      </c>
      <c r="B65" s="7" t="s">
        <v>203</v>
      </c>
      <c r="C65" s="8">
        <v>802</v>
      </c>
      <c r="D65" s="7">
        <v>50</v>
      </c>
      <c r="E65" s="7">
        <v>50</v>
      </c>
      <c r="F65" s="7">
        <v>310</v>
      </c>
      <c r="G65" s="8">
        <v>12916</v>
      </c>
    </row>
    <row r="66" spans="1:7">
      <c r="A66" s="8">
        <v>12327</v>
      </c>
      <c r="B66" s="7" t="s">
        <v>203</v>
      </c>
      <c r="C66" s="8">
        <v>803</v>
      </c>
      <c r="D66" s="7">
        <v>50</v>
      </c>
      <c r="E66" s="7">
        <v>50</v>
      </c>
      <c r="F66" s="7">
        <v>298</v>
      </c>
      <c r="G66" s="8">
        <v>16518</v>
      </c>
    </row>
    <row r="67" spans="1:7">
      <c r="A67" s="8">
        <v>12327</v>
      </c>
      <c r="B67" s="7" t="s">
        <v>203</v>
      </c>
      <c r="C67" s="8">
        <v>804</v>
      </c>
      <c r="D67" s="7">
        <v>45</v>
      </c>
      <c r="E67" s="7">
        <v>45</v>
      </c>
      <c r="F67" s="7">
        <v>321</v>
      </c>
      <c r="G67" s="8">
        <v>10172</v>
      </c>
    </row>
    <row r="68" spans="1:7">
      <c r="A68" s="8">
        <v>12327</v>
      </c>
      <c r="B68" s="7" t="s">
        <v>203</v>
      </c>
      <c r="C68" s="8">
        <v>805</v>
      </c>
      <c r="D68" s="7">
        <v>100</v>
      </c>
      <c r="E68" s="7">
        <v>100</v>
      </c>
      <c r="F68" s="7">
        <v>315</v>
      </c>
      <c r="G68" s="8">
        <v>11548</v>
      </c>
    </row>
    <row r="69" spans="1:7">
      <c r="A69" s="8">
        <v>12327</v>
      </c>
      <c r="B69" s="7" t="s">
        <v>203</v>
      </c>
      <c r="C69" s="8">
        <v>806</v>
      </c>
      <c r="D69" s="7">
        <v>100</v>
      </c>
      <c r="E69" s="7">
        <v>100</v>
      </c>
      <c r="F69" s="7">
        <v>291</v>
      </c>
      <c r="G69" s="8">
        <v>18828</v>
      </c>
    </row>
    <row r="70" spans="1:7">
      <c r="A70" s="8">
        <v>12572</v>
      </c>
      <c r="B70" s="7" t="s">
        <v>191</v>
      </c>
      <c r="C70" s="8">
        <v>801</v>
      </c>
      <c r="D70" s="7">
        <v>376</v>
      </c>
      <c r="E70" s="7">
        <v>376</v>
      </c>
      <c r="F70" s="7">
        <v>316</v>
      </c>
      <c r="G70" s="8">
        <v>11234</v>
      </c>
    </row>
    <row r="71" spans="1:7">
      <c r="A71" s="8">
        <v>12572</v>
      </c>
      <c r="B71" s="7" t="s">
        <v>191</v>
      </c>
      <c r="C71" s="8">
        <v>802</v>
      </c>
      <c r="D71" s="7">
        <v>599</v>
      </c>
      <c r="E71" s="7">
        <v>599</v>
      </c>
      <c r="F71" s="7">
        <v>300</v>
      </c>
      <c r="G71" s="8">
        <v>16027</v>
      </c>
    </row>
    <row r="72" spans="1:7">
      <c r="A72" s="8">
        <v>12572</v>
      </c>
      <c r="B72" s="7" t="s">
        <v>191</v>
      </c>
      <c r="C72" s="8">
        <v>803</v>
      </c>
      <c r="D72" s="7">
        <v>289</v>
      </c>
      <c r="E72" s="7">
        <v>289</v>
      </c>
      <c r="F72" s="7">
        <v>322</v>
      </c>
      <c r="G72" s="8">
        <v>9865</v>
      </c>
    </row>
    <row r="73" spans="1:7">
      <c r="A73" s="8">
        <v>12572</v>
      </c>
      <c r="B73" s="7" t="s">
        <v>191</v>
      </c>
      <c r="C73" s="8">
        <v>804</v>
      </c>
      <c r="D73" s="7">
        <v>164</v>
      </c>
      <c r="E73" s="7">
        <v>164</v>
      </c>
      <c r="F73" s="7">
        <v>288</v>
      </c>
      <c r="G73" s="8">
        <v>20201</v>
      </c>
    </row>
    <row r="74" spans="1:7">
      <c r="A74" s="8">
        <v>12572</v>
      </c>
      <c r="B74" s="7" t="s">
        <v>191</v>
      </c>
      <c r="C74" s="8">
        <v>805</v>
      </c>
      <c r="D74" s="7">
        <v>153</v>
      </c>
      <c r="E74" s="7">
        <v>153</v>
      </c>
      <c r="F74" s="7">
        <v>299</v>
      </c>
      <c r="G74" s="8">
        <v>16210</v>
      </c>
    </row>
    <row r="75" spans="1:7">
      <c r="A75" s="8">
        <v>12572</v>
      </c>
      <c r="B75" s="7" t="s">
        <v>191</v>
      </c>
      <c r="C75" s="8">
        <v>806</v>
      </c>
      <c r="D75" s="7">
        <v>159</v>
      </c>
      <c r="E75" s="7">
        <v>159</v>
      </c>
      <c r="F75" s="7">
        <v>307</v>
      </c>
      <c r="G75" s="8">
        <v>13638</v>
      </c>
    </row>
    <row r="76" spans="1:7">
      <c r="A76" s="8">
        <v>12572</v>
      </c>
      <c r="B76" s="7" t="s">
        <v>191</v>
      </c>
      <c r="C76" s="8">
        <v>807</v>
      </c>
      <c r="D76" s="7">
        <v>234</v>
      </c>
      <c r="E76" s="7">
        <v>234</v>
      </c>
      <c r="F76" s="7">
        <v>311</v>
      </c>
      <c r="G76" s="8">
        <v>12660</v>
      </c>
    </row>
    <row r="77" spans="1:7">
      <c r="A77" s="8">
        <v>12572</v>
      </c>
      <c r="B77" s="7" t="s">
        <v>191</v>
      </c>
      <c r="C77" s="8">
        <v>808</v>
      </c>
      <c r="D77" s="7">
        <v>115</v>
      </c>
      <c r="E77" s="7">
        <v>115</v>
      </c>
      <c r="F77" s="7">
        <v>247</v>
      </c>
      <c r="G77" s="8">
        <v>40095</v>
      </c>
    </row>
    <row r="78" spans="1:7">
      <c r="A78" s="8">
        <v>12572</v>
      </c>
      <c r="B78" s="7" t="s">
        <v>191</v>
      </c>
      <c r="C78" s="8">
        <v>810</v>
      </c>
      <c r="D78" s="7">
        <v>85</v>
      </c>
      <c r="E78" s="7">
        <v>85</v>
      </c>
      <c r="F78" s="7">
        <v>320</v>
      </c>
      <c r="G78" s="8">
        <v>10266</v>
      </c>
    </row>
    <row r="79" spans="1:7">
      <c r="A79" s="8">
        <v>12572</v>
      </c>
      <c r="B79" s="7" t="s">
        <v>191</v>
      </c>
      <c r="C79" s="8">
        <v>811</v>
      </c>
      <c r="D79" s="7">
        <v>13</v>
      </c>
      <c r="E79" s="7">
        <v>13</v>
      </c>
      <c r="F79" s="7">
        <v>311</v>
      </c>
      <c r="G79" s="8">
        <v>12540</v>
      </c>
    </row>
    <row r="80" spans="1:7">
      <c r="A80" s="8">
        <v>12573</v>
      </c>
      <c r="B80" s="7" t="s">
        <v>371</v>
      </c>
      <c r="C80" s="8">
        <v>801</v>
      </c>
      <c r="D80" s="7">
        <v>760</v>
      </c>
      <c r="E80" s="7">
        <v>760</v>
      </c>
      <c r="F80" s="7">
        <v>263</v>
      </c>
      <c r="G80" s="8">
        <v>31392</v>
      </c>
    </row>
    <row r="81" spans="1:7">
      <c r="A81" s="8">
        <v>12573</v>
      </c>
      <c r="B81" s="7" t="s">
        <v>371</v>
      </c>
      <c r="C81" s="8">
        <v>802</v>
      </c>
      <c r="D81" s="7">
        <v>395</v>
      </c>
      <c r="E81" s="7">
        <v>395</v>
      </c>
      <c r="F81" s="7">
        <v>246</v>
      </c>
      <c r="G81" s="8">
        <v>40979</v>
      </c>
    </row>
    <row r="82" spans="1:7">
      <c r="A82" s="8">
        <v>12573</v>
      </c>
      <c r="B82" s="7" t="s">
        <v>371</v>
      </c>
      <c r="C82" s="8">
        <v>803</v>
      </c>
      <c r="D82" s="7">
        <v>130</v>
      </c>
      <c r="E82" s="7">
        <v>130</v>
      </c>
      <c r="F82" s="7">
        <v>269</v>
      </c>
      <c r="G82" s="8">
        <v>28117</v>
      </c>
    </row>
    <row r="83" spans="1:7">
      <c r="A83" s="8">
        <v>12573</v>
      </c>
      <c r="B83" s="7" t="s">
        <v>371</v>
      </c>
      <c r="C83" s="8">
        <v>804</v>
      </c>
      <c r="D83" s="7">
        <v>85</v>
      </c>
      <c r="E83" s="7">
        <v>85</v>
      </c>
      <c r="F83" s="7">
        <v>202</v>
      </c>
      <c r="G83" s="8">
        <v>74741</v>
      </c>
    </row>
    <row r="84" spans="1:7">
      <c r="A84" s="8">
        <v>12573</v>
      </c>
      <c r="B84" s="7" t="s">
        <v>371</v>
      </c>
      <c r="C84" s="8">
        <v>805</v>
      </c>
      <c r="D84" s="7">
        <v>40</v>
      </c>
      <c r="E84" s="7">
        <v>40</v>
      </c>
      <c r="F84" s="7">
        <v>255</v>
      </c>
      <c r="G84" s="8">
        <v>35687</v>
      </c>
    </row>
    <row r="85" spans="1:7">
      <c r="A85" s="8">
        <v>12575</v>
      </c>
      <c r="B85" s="7" t="s">
        <v>786</v>
      </c>
      <c r="C85" s="8">
        <v>801</v>
      </c>
      <c r="D85" s="7">
        <v>480</v>
      </c>
      <c r="E85" s="7">
        <v>480</v>
      </c>
      <c r="F85" s="7">
        <v>176</v>
      </c>
      <c r="G85" s="8">
        <v>102000</v>
      </c>
    </row>
    <row r="86" spans="1:7">
      <c r="A86" s="8">
        <v>12575</v>
      </c>
      <c r="B86" s="7" t="s">
        <v>786</v>
      </c>
      <c r="C86" s="8">
        <v>802</v>
      </c>
      <c r="D86" s="7">
        <v>175</v>
      </c>
      <c r="E86" s="7">
        <v>175</v>
      </c>
      <c r="F86" s="7">
        <v>158</v>
      </c>
      <c r="G86" s="8">
        <v>125027</v>
      </c>
    </row>
    <row r="87" spans="1:7">
      <c r="A87" s="8">
        <v>12576</v>
      </c>
      <c r="B87" s="7" t="s">
        <v>951</v>
      </c>
      <c r="C87" s="8">
        <v>801</v>
      </c>
      <c r="D87" s="7">
        <v>720</v>
      </c>
      <c r="E87" s="7">
        <v>720</v>
      </c>
      <c r="F87" s="7">
        <v>143</v>
      </c>
      <c r="G87" s="8">
        <v>145395</v>
      </c>
    </row>
    <row r="88" spans="1:7">
      <c r="A88" s="8">
        <v>12577</v>
      </c>
      <c r="B88" s="7" t="s">
        <v>391</v>
      </c>
      <c r="C88" s="8">
        <v>801</v>
      </c>
      <c r="D88" s="7">
        <v>820</v>
      </c>
      <c r="E88" s="7">
        <v>820</v>
      </c>
      <c r="F88" s="7">
        <v>245</v>
      </c>
      <c r="G88" s="8">
        <v>41610</v>
      </c>
    </row>
    <row r="89" spans="1:7">
      <c r="A89" s="8">
        <v>12577</v>
      </c>
      <c r="B89" s="7" t="s">
        <v>391</v>
      </c>
      <c r="C89" s="8">
        <v>802</v>
      </c>
      <c r="D89" s="7">
        <v>460</v>
      </c>
      <c r="E89" s="7">
        <v>460</v>
      </c>
      <c r="F89" s="7">
        <v>244</v>
      </c>
      <c r="G89" s="8">
        <v>42144</v>
      </c>
    </row>
    <row r="90" spans="1:7">
      <c r="A90" s="8">
        <v>12578</v>
      </c>
      <c r="B90" s="7" t="s">
        <v>634</v>
      </c>
      <c r="C90" s="8">
        <v>802</v>
      </c>
      <c r="D90" s="7">
        <v>227</v>
      </c>
      <c r="E90" s="7">
        <v>227</v>
      </c>
      <c r="F90" s="7">
        <v>190</v>
      </c>
      <c r="G90" s="8">
        <v>86718</v>
      </c>
    </row>
    <row r="91" spans="1:7">
      <c r="A91" s="8">
        <v>12736</v>
      </c>
      <c r="B91" s="7" t="s">
        <v>572</v>
      </c>
      <c r="C91" s="8">
        <v>801</v>
      </c>
      <c r="D91" s="7">
        <v>1495</v>
      </c>
      <c r="E91" s="7">
        <v>1495</v>
      </c>
      <c r="F91" s="7">
        <v>236</v>
      </c>
      <c r="G91" s="8">
        <v>47341</v>
      </c>
    </row>
    <row r="92" spans="1:7">
      <c r="A92" s="8">
        <v>12736</v>
      </c>
      <c r="B92" s="7" t="s">
        <v>572</v>
      </c>
      <c r="C92" s="8">
        <v>802</v>
      </c>
      <c r="D92" s="7">
        <v>265</v>
      </c>
      <c r="E92" s="7">
        <v>265</v>
      </c>
      <c r="F92" s="7">
        <v>204</v>
      </c>
      <c r="G92" s="8">
        <v>72905</v>
      </c>
    </row>
    <row r="93" spans="1:7">
      <c r="A93" s="8">
        <v>12736</v>
      </c>
      <c r="B93" s="7" t="s">
        <v>572</v>
      </c>
      <c r="C93" s="8">
        <v>803</v>
      </c>
      <c r="D93" s="7">
        <v>20</v>
      </c>
      <c r="E93" s="7">
        <v>20</v>
      </c>
      <c r="F93" s="7">
        <v>214</v>
      </c>
      <c r="G93" s="8">
        <v>64185</v>
      </c>
    </row>
    <row r="94" spans="1:7">
      <c r="A94" s="8">
        <v>12736</v>
      </c>
      <c r="B94" s="7" t="s">
        <v>572</v>
      </c>
      <c r="C94" s="8">
        <v>804</v>
      </c>
      <c r="D94" s="7">
        <v>20</v>
      </c>
      <c r="E94" s="7">
        <v>20</v>
      </c>
      <c r="F94" s="7">
        <v>140</v>
      </c>
      <c r="G94" s="8">
        <v>150232</v>
      </c>
    </row>
    <row r="95" spans="1:7">
      <c r="A95" s="8">
        <v>12741</v>
      </c>
      <c r="B95" s="7" t="s">
        <v>581</v>
      </c>
      <c r="C95" s="8">
        <v>801</v>
      </c>
      <c r="D95" s="7">
        <v>778</v>
      </c>
      <c r="E95" s="7">
        <v>778</v>
      </c>
      <c r="F95" s="7">
        <v>269</v>
      </c>
      <c r="G95" s="8">
        <v>28111</v>
      </c>
    </row>
    <row r="96" spans="1:7">
      <c r="A96" s="8">
        <v>12741</v>
      </c>
      <c r="B96" s="7" t="s">
        <v>581</v>
      </c>
      <c r="C96" s="8">
        <v>802</v>
      </c>
      <c r="D96" s="7">
        <v>66</v>
      </c>
      <c r="E96" s="7">
        <v>66</v>
      </c>
      <c r="F96" s="7">
        <v>281</v>
      </c>
      <c r="G96" s="8">
        <v>22696</v>
      </c>
    </row>
    <row r="97" spans="1:7">
      <c r="A97" s="8">
        <v>12741</v>
      </c>
      <c r="B97" s="7" t="s">
        <v>581</v>
      </c>
      <c r="C97" s="8">
        <v>803</v>
      </c>
      <c r="D97" s="7">
        <v>52</v>
      </c>
      <c r="E97" s="7">
        <v>52</v>
      </c>
      <c r="F97" s="7">
        <v>290</v>
      </c>
      <c r="G97" s="8">
        <v>19232</v>
      </c>
    </row>
    <row r="98" spans="1:7">
      <c r="A98" s="8">
        <v>12741</v>
      </c>
      <c r="B98" s="7" t="s">
        <v>581</v>
      </c>
      <c r="C98" s="8">
        <v>804</v>
      </c>
      <c r="D98" s="7">
        <v>260</v>
      </c>
      <c r="E98" s="7">
        <v>260</v>
      </c>
      <c r="F98" s="7">
        <v>260</v>
      </c>
      <c r="G98" s="8">
        <v>33032</v>
      </c>
    </row>
    <row r="99" spans="1:7">
      <c r="A99" s="8">
        <v>12741</v>
      </c>
      <c r="B99" s="7" t="s">
        <v>581</v>
      </c>
      <c r="C99" s="8">
        <v>805</v>
      </c>
      <c r="D99" s="7">
        <v>25</v>
      </c>
      <c r="E99" s="7">
        <v>25</v>
      </c>
      <c r="F99" s="7">
        <v>208</v>
      </c>
      <c r="G99" s="8">
        <v>69300</v>
      </c>
    </row>
    <row r="100" spans="1:7">
      <c r="A100" s="8">
        <v>12742</v>
      </c>
      <c r="B100" s="7" t="s">
        <v>469</v>
      </c>
      <c r="C100" s="8">
        <v>801</v>
      </c>
      <c r="D100" s="7">
        <v>328</v>
      </c>
      <c r="E100" s="7">
        <v>328</v>
      </c>
      <c r="F100" s="7">
        <v>219</v>
      </c>
      <c r="G100" s="8">
        <v>60105</v>
      </c>
    </row>
    <row r="101" spans="1:7">
      <c r="A101" s="8">
        <v>12742</v>
      </c>
      <c r="B101" s="7" t="s">
        <v>469</v>
      </c>
      <c r="C101" s="8">
        <v>802</v>
      </c>
      <c r="D101" s="7">
        <v>10</v>
      </c>
      <c r="E101" s="7">
        <v>10</v>
      </c>
      <c r="F101" s="7">
        <v>267</v>
      </c>
      <c r="G101" s="8">
        <v>29383</v>
      </c>
    </row>
    <row r="102" spans="1:7">
      <c r="A102" s="8">
        <v>12743</v>
      </c>
      <c r="B102" s="7" t="s">
        <v>300</v>
      </c>
      <c r="C102" s="8">
        <v>802</v>
      </c>
      <c r="D102" s="7">
        <v>30</v>
      </c>
      <c r="E102" s="7">
        <v>30</v>
      </c>
      <c r="F102" s="7">
        <v>288</v>
      </c>
      <c r="G102" s="8">
        <v>19882</v>
      </c>
    </row>
    <row r="103" spans="1:7">
      <c r="A103" s="8">
        <v>12743</v>
      </c>
      <c r="B103" s="7" t="s">
        <v>300</v>
      </c>
      <c r="C103" s="8">
        <v>803</v>
      </c>
      <c r="D103" s="7">
        <v>33</v>
      </c>
      <c r="E103" s="7">
        <v>33</v>
      </c>
      <c r="F103" s="7">
        <v>274</v>
      </c>
      <c r="G103" s="8">
        <v>25771</v>
      </c>
    </row>
    <row r="104" spans="1:7">
      <c r="A104" s="8">
        <v>12743</v>
      </c>
      <c r="B104" s="7" t="s">
        <v>300</v>
      </c>
      <c r="C104" s="8">
        <v>804</v>
      </c>
      <c r="D104" s="7">
        <v>33</v>
      </c>
      <c r="E104" s="7">
        <v>33</v>
      </c>
      <c r="F104" s="7">
        <v>298</v>
      </c>
      <c r="G104" s="8">
        <v>16682</v>
      </c>
    </row>
    <row r="105" spans="1:7">
      <c r="A105" s="8">
        <v>12743</v>
      </c>
      <c r="B105" s="7" t="s">
        <v>300</v>
      </c>
      <c r="C105" s="8">
        <v>805</v>
      </c>
      <c r="D105" s="7">
        <v>73</v>
      </c>
      <c r="E105" s="7">
        <v>73</v>
      </c>
      <c r="F105" s="7">
        <v>269</v>
      </c>
      <c r="G105" s="8">
        <v>28085</v>
      </c>
    </row>
    <row r="106" spans="1:7">
      <c r="A106" s="8">
        <v>12743</v>
      </c>
      <c r="B106" s="7" t="s">
        <v>300</v>
      </c>
      <c r="C106" s="8">
        <v>806</v>
      </c>
      <c r="D106" s="7">
        <v>129</v>
      </c>
      <c r="E106" s="7">
        <v>129</v>
      </c>
      <c r="F106" s="7">
        <v>269</v>
      </c>
      <c r="G106" s="8">
        <v>28286</v>
      </c>
    </row>
    <row r="107" spans="1:7">
      <c r="A107" s="8">
        <v>12743</v>
      </c>
      <c r="B107" s="7" t="s">
        <v>300</v>
      </c>
      <c r="C107" s="8">
        <v>807</v>
      </c>
      <c r="D107" s="7">
        <v>115</v>
      </c>
      <c r="E107" s="7">
        <v>115</v>
      </c>
      <c r="F107" s="7">
        <v>255</v>
      </c>
      <c r="G107" s="8">
        <v>35799</v>
      </c>
    </row>
    <row r="108" spans="1:7">
      <c r="A108" s="8">
        <v>12743</v>
      </c>
      <c r="B108" s="7" t="s">
        <v>300</v>
      </c>
      <c r="C108" s="8">
        <v>808</v>
      </c>
      <c r="D108" s="7">
        <v>26</v>
      </c>
      <c r="E108" s="7">
        <v>26</v>
      </c>
      <c r="F108" s="7">
        <v>202</v>
      </c>
      <c r="G108" s="8">
        <v>74604</v>
      </c>
    </row>
    <row r="109" spans="1:7">
      <c r="A109" s="8">
        <v>12743</v>
      </c>
      <c r="B109" s="7" t="s">
        <v>300</v>
      </c>
      <c r="C109" s="8">
        <v>809</v>
      </c>
      <c r="D109" s="7">
        <v>145</v>
      </c>
      <c r="E109" s="7">
        <v>145</v>
      </c>
      <c r="F109" s="7">
        <v>267</v>
      </c>
      <c r="G109" s="8">
        <v>29249</v>
      </c>
    </row>
    <row r="110" spans="1:7">
      <c r="A110" s="8">
        <v>12743</v>
      </c>
      <c r="B110" s="7" t="s">
        <v>300</v>
      </c>
      <c r="C110" s="8">
        <v>810</v>
      </c>
      <c r="D110" s="7">
        <v>46</v>
      </c>
      <c r="E110" s="7">
        <v>46</v>
      </c>
      <c r="F110" s="7">
        <v>286</v>
      </c>
      <c r="G110" s="8">
        <v>20755</v>
      </c>
    </row>
    <row r="111" spans="1:7">
      <c r="A111" s="8">
        <v>12743</v>
      </c>
      <c r="B111" s="7" t="s">
        <v>300</v>
      </c>
      <c r="C111" s="8">
        <v>811</v>
      </c>
      <c r="D111" s="7">
        <v>66</v>
      </c>
      <c r="E111" s="7">
        <v>66</v>
      </c>
      <c r="F111" s="7">
        <v>258</v>
      </c>
      <c r="G111" s="8">
        <v>33789</v>
      </c>
    </row>
    <row r="112" spans="1:7">
      <c r="A112" s="8">
        <v>12743</v>
      </c>
      <c r="B112" s="7" t="s">
        <v>300</v>
      </c>
      <c r="C112" s="8">
        <v>812</v>
      </c>
      <c r="D112" s="7">
        <v>158</v>
      </c>
      <c r="E112" s="7">
        <v>158</v>
      </c>
      <c r="F112" s="7">
        <v>202</v>
      </c>
      <c r="G112" s="8">
        <v>74761</v>
      </c>
    </row>
    <row r="113" spans="1:7">
      <c r="A113" s="8">
        <v>12743</v>
      </c>
      <c r="B113" s="7" t="s">
        <v>300</v>
      </c>
      <c r="C113" s="8">
        <v>813</v>
      </c>
      <c r="D113" s="7">
        <v>37</v>
      </c>
      <c r="E113" s="7">
        <v>37</v>
      </c>
      <c r="F113" s="7">
        <v>243</v>
      </c>
      <c r="G113" s="8">
        <v>42988</v>
      </c>
    </row>
    <row r="114" spans="1:7">
      <c r="A114" s="8">
        <v>12743</v>
      </c>
      <c r="B114" s="7" t="s">
        <v>300</v>
      </c>
      <c r="C114" s="8">
        <v>814</v>
      </c>
      <c r="D114" s="7">
        <v>71</v>
      </c>
      <c r="E114" s="7">
        <v>71</v>
      </c>
      <c r="F114" s="7">
        <v>255</v>
      </c>
      <c r="G114" s="8">
        <v>35423</v>
      </c>
    </row>
    <row r="115" spans="1:7">
      <c r="A115" s="8">
        <v>12749</v>
      </c>
      <c r="B115" s="7" t="s">
        <v>862</v>
      </c>
      <c r="C115" s="8">
        <v>801</v>
      </c>
      <c r="D115" s="7">
        <v>3150</v>
      </c>
      <c r="E115" s="7">
        <v>3150</v>
      </c>
      <c r="F115" s="7">
        <v>175</v>
      </c>
      <c r="G115" s="8">
        <v>102715</v>
      </c>
    </row>
    <row r="116" spans="1:7">
      <c r="A116" s="8">
        <v>12749</v>
      </c>
      <c r="B116" s="7" t="s">
        <v>862</v>
      </c>
      <c r="C116" s="8">
        <v>802</v>
      </c>
      <c r="D116" s="7">
        <v>50</v>
      </c>
      <c r="E116" s="7">
        <v>50</v>
      </c>
      <c r="F116" s="7">
        <v>127</v>
      </c>
      <c r="G116" s="8">
        <v>166647</v>
      </c>
    </row>
    <row r="117" spans="1:7">
      <c r="A117" s="8">
        <v>12765</v>
      </c>
      <c r="B117" s="7" t="s">
        <v>644</v>
      </c>
      <c r="C117" s="8">
        <v>801</v>
      </c>
      <c r="D117" s="7">
        <v>136</v>
      </c>
      <c r="E117" s="7">
        <v>136</v>
      </c>
      <c r="F117" s="7">
        <v>210</v>
      </c>
      <c r="G117" s="8">
        <v>67708</v>
      </c>
    </row>
    <row r="118" spans="1:7">
      <c r="A118" s="8">
        <v>12765</v>
      </c>
      <c r="B118" s="7" t="s">
        <v>644</v>
      </c>
      <c r="C118" s="8">
        <v>802</v>
      </c>
      <c r="D118" s="7">
        <v>75</v>
      </c>
      <c r="E118" s="7">
        <v>75</v>
      </c>
      <c r="F118" s="7">
        <v>204</v>
      </c>
      <c r="G118" s="8">
        <v>73022</v>
      </c>
    </row>
    <row r="119" spans="1:7">
      <c r="A119" s="8">
        <v>12765</v>
      </c>
      <c r="B119" s="7" t="s">
        <v>644</v>
      </c>
      <c r="C119" s="8">
        <v>804</v>
      </c>
      <c r="D119" s="7">
        <v>48</v>
      </c>
      <c r="E119" s="7">
        <v>48</v>
      </c>
      <c r="F119" s="7">
        <v>221</v>
      </c>
      <c r="G119" s="8">
        <v>58543</v>
      </c>
    </row>
    <row r="120" spans="1:7">
      <c r="A120" s="8">
        <v>12765</v>
      </c>
      <c r="B120" s="7" t="s">
        <v>644</v>
      </c>
      <c r="C120" s="8">
        <v>806</v>
      </c>
      <c r="D120" s="7">
        <v>50</v>
      </c>
      <c r="E120" s="7">
        <v>50</v>
      </c>
      <c r="F120" s="7">
        <v>206</v>
      </c>
      <c r="G120" s="8">
        <v>71014</v>
      </c>
    </row>
    <row r="121" spans="1:7">
      <c r="A121" s="8">
        <v>12765</v>
      </c>
      <c r="B121" s="7" t="s">
        <v>644</v>
      </c>
      <c r="C121" s="8">
        <v>807</v>
      </c>
      <c r="D121" s="7">
        <v>40</v>
      </c>
      <c r="E121" s="7">
        <v>40</v>
      </c>
      <c r="F121" s="7">
        <v>198</v>
      </c>
      <c r="G121" s="8">
        <v>78462</v>
      </c>
    </row>
    <row r="122" spans="1:7">
      <c r="A122" s="8">
        <v>12765</v>
      </c>
      <c r="B122" s="7" t="s">
        <v>644</v>
      </c>
      <c r="C122" s="8">
        <v>808</v>
      </c>
      <c r="D122" s="7">
        <v>50</v>
      </c>
      <c r="E122" s="7">
        <v>50</v>
      </c>
      <c r="F122" s="7">
        <v>216</v>
      </c>
      <c r="G122" s="8">
        <v>62348</v>
      </c>
    </row>
    <row r="123" spans="1:7">
      <c r="A123" s="8">
        <v>12770</v>
      </c>
      <c r="B123" s="7" t="s">
        <v>446</v>
      </c>
      <c r="C123" s="8">
        <v>801</v>
      </c>
      <c r="D123" s="7">
        <v>738</v>
      </c>
      <c r="E123" s="7">
        <v>738</v>
      </c>
      <c r="F123" s="7">
        <v>209</v>
      </c>
      <c r="G123" s="8">
        <v>68217</v>
      </c>
    </row>
    <row r="124" spans="1:7">
      <c r="A124" s="8">
        <v>12770</v>
      </c>
      <c r="B124" s="7" t="s">
        <v>446</v>
      </c>
      <c r="C124" s="8">
        <v>802</v>
      </c>
      <c r="D124" s="7">
        <v>336</v>
      </c>
      <c r="E124" s="7">
        <v>336</v>
      </c>
      <c r="F124" s="7">
        <v>208</v>
      </c>
      <c r="G124" s="8">
        <v>69291</v>
      </c>
    </row>
    <row r="125" spans="1:7">
      <c r="A125" s="8">
        <v>12771</v>
      </c>
      <c r="B125" s="7" t="s">
        <v>719</v>
      </c>
      <c r="C125" s="8">
        <v>801</v>
      </c>
      <c r="D125" s="7">
        <v>991</v>
      </c>
      <c r="E125" s="7">
        <v>991</v>
      </c>
      <c r="F125" s="7">
        <v>206</v>
      </c>
      <c r="G125" s="8">
        <v>71125</v>
      </c>
    </row>
    <row r="126" spans="1:7">
      <c r="A126" s="8">
        <v>12772</v>
      </c>
      <c r="B126" s="7" t="s">
        <v>561</v>
      </c>
      <c r="C126" s="8">
        <v>801</v>
      </c>
      <c r="D126" s="7">
        <v>561</v>
      </c>
      <c r="E126" s="7">
        <v>561</v>
      </c>
      <c r="F126" s="7">
        <v>213</v>
      </c>
      <c r="G126" s="8">
        <v>64941</v>
      </c>
    </row>
    <row r="127" spans="1:7">
      <c r="A127" s="8">
        <v>12772</v>
      </c>
      <c r="B127" s="7" t="s">
        <v>561</v>
      </c>
      <c r="C127" s="8">
        <v>802</v>
      </c>
      <c r="D127" s="7">
        <v>415</v>
      </c>
      <c r="E127" s="7">
        <v>415</v>
      </c>
      <c r="F127" s="7">
        <v>220</v>
      </c>
      <c r="G127" s="8">
        <v>59644</v>
      </c>
    </row>
    <row r="128" spans="1:7">
      <c r="A128" s="8">
        <v>12772</v>
      </c>
      <c r="B128" s="7" t="s">
        <v>561</v>
      </c>
      <c r="C128" s="8">
        <v>803</v>
      </c>
      <c r="D128" s="7">
        <v>143</v>
      </c>
      <c r="E128" s="7">
        <v>143</v>
      </c>
      <c r="F128" s="7">
        <v>211</v>
      </c>
      <c r="G128" s="8">
        <v>66992</v>
      </c>
    </row>
    <row r="129" spans="1:7">
      <c r="A129" s="8">
        <v>12772</v>
      </c>
      <c r="B129" s="7" t="s">
        <v>561</v>
      </c>
      <c r="C129" s="8">
        <v>806</v>
      </c>
      <c r="D129" s="7">
        <v>40</v>
      </c>
      <c r="E129" s="7">
        <v>40</v>
      </c>
      <c r="F129" s="7">
        <v>240</v>
      </c>
      <c r="G129" s="8">
        <v>44745</v>
      </c>
    </row>
    <row r="130" spans="1:7">
      <c r="A130" s="8">
        <v>12772</v>
      </c>
      <c r="B130" s="7" t="s">
        <v>561</v>
      </c>
      <c r="C130" s="8">
        <v>807</v>
      </c>
      <c r="D130" s="7">
        <v>361</v>
      </c>
      <c r="E130" s="7">
        <v>361</v>
      </c>
      <c r="F130" s="7">
        <v>211</v>
      </c>
      <c r="G130" s="8">
        <v>66407</v>
      </c>
    </row>
    <row r="131" spans="1:7">
      <c r="A131" s="8">
        <v>12953</v>
      </c>
      <c r="B131" s="7" t="s">
        <v>420</v>
      </c>
      <c r="C131" s="8">
        <v>801</v>
      </c>
      <c r="D131" s="7">
        <v>156</v>
      </c>
      <c r="E131" s="7">
        <v>156</v>
      </c>
      <c r="F131" s="7">
        <v>223</v>
      </c>
      <c r="G131" s="8">
        <v>56731</v>
      </c>
    </row>
    <row r="132" spans="1:7">
      <c r="A132" s="8">
        <v>12953</v>
      </c>
      <c r="B132" s="7" t="s">
        <v>420</v>
      </c>
      <c r="C132" s="8">
        <v>802</v>
      </c>
      <c r="D132" s="7">
        <v>208</v>
      </c>
      <c r="E132" s="7">
        <v>208</v>
      </c>
      <c r="F132" s="7">
        <v>219</v>
      </c>
      <c r="G132" s="8">
        <v>60056</v>
      </c>
    </row>
    <row r="133" spans="1:7">
      <c r="A133" s="8">
        <v>12953</v>
      </c>
      <c r="B133" s="7" t="s">
        <v>420</v>
      </c>
      <c r="C133" s="8">
        <v>803</v>
      </c>
      <c r="D133" s="7">
        <v>365</v>
      </c>
      <c r="E133" s="7">
        <v>365</v>
      </c>
      <c r="F133" s="7">
        <v>229</v>
      </c>
      <c r="G133" s="8">
        <v>52463</v>
      </c>
    </row>
    <row r="134" spans="1:7">
      <c r="A134" s="8">
        <v>12954</v>
      </c>
      <c r="B134" s="7" t="s">
        <v>729</v>
      </c>
      <c r="C134" s="8">
        <v>802</v>
      </c>
      <c r="D134" s="7">
        <v>1689</v>
      </c>
      <c r="E134" s="7">
        <v>1689</v>
      </c>
      <c r="F134" s="7">
        <v>202</v>
      </c>
      <c r="G134" s="8">
        <v>74565</v>
      </c>
    </row>
    <row r="135" spans="1:7">
      <c r="A135" s="8">
        <v>12956</v>
      </c>
      <c r="B135" s="7" t="s">
        <v>709</v>
      </c>
      <c r="C135" s="8">
        <v>801</v>
      </c>
      <c r="D135" s="7">
        <v>370</v>
      </c>
      <c r="E135" s="7">
        <v>370</v>
      </c>
      <c r="F135" s="7">
        <v>202</v>
      </c>
      <c r="G135" s="8">
        <v>74783</v>
      </c>
    </row>
    <row r="136" spans="1:7">
      <c r="A136" s="8">
        <v>12957</v>
      </c>
      <c r="B136" s="7" t="s">
        <v>1087</v>
      </c>
      <c r="C136" s="8">
        <v>801</v>
      </c>
      <c r="D136" s="7">
        <v>20</v>
      </c>
      <c r="E136" s="7">
        <v>20</v>
      </c>
      <c r="F136" s="7">
        <v>355</v>
      </c>
      <c r="G136" s="8">
        <v>3673</v>
      </c>
    </row>
    <row r="137" spans="1:7">
      <c r="A137" s="8">
        <v>12957</v>
      </c>
      <c r="B137" s="7" t="s">
        <v>1087</v>
      </c>
      <c r="C137" s="8">
        <v>802</v>
      </c>
      <c r="D137" s="7">
        <v>119</v>
      </c>
      <c r="E137" s="7">
        <v>119</v>
      </c>
      <c r="F137" s="7">
        <v>366</v>
      </c>
      <c r="G137" s="8">
        <v>2227</v>
      </c>
    </row>
    <row r="138" spans="1:7">
      <c r="A138" s="8">
        <v>12957</v>
      </c>
      <c r="B138" s="7" t="s">
        <v>1087</v>
      </c>
      <c r="C138" s="8">
        <v>803</v>
      </c>
      <c r="D138" s="7">
        <v>296</v>
      </c>
      <c r="E138" s="7">
        <v>296</v>
      </c>
      <c r="F138" s="7">
        <v>354</v>
      </c>
      <c r="G138" s="8">
        <v>3819</v>
      </c>
    </row>
    <row r="139" spans="1:7">
      <c r="A139" s="8">
        <v>12957</v>
      </c>
      <c r="B139" s="7" t="s">
        <v>1087</v>
      </c>
      <c r="C139" s="8">
        <v>804</v>
      </c>
      <c r="D139" s="7">
        <v>556</v>
      </c>
      <c r="E139" s="7">
        <v>556</v>
      </c>
      <c r="F139" s="7">
        <v>355</v>
      </c>
      <c r="G139" s="8">
        <v>3565</v>
      </c>
    </row>
    <row r="140" spans="1:7">
      <c r="A140" s="8">
        <v>12957</v>
      </c>
      <c r="B140" s="7" t="s">
        <v>1087</v>
      </c>
      <c r="C140" s="8">
        <v>805</v>
      </c>
      <c r="D140" s="7">
        <v>38</v>
      </c>
      <c r="E140" s="7">
        <v>38</v>
      </c>
      <c r="F140" s="7">
        <v>357</v>
      </c>
      <c r="G140" s="8">
        <v>3377</v>
      </c>
    </row>
    <row r="141" spans="1:7">
      <c r="A141" s="8">
        <v>12957</v>
      </c>
      <c r="B141" s="7" t="s">
        <v>1087</v>
      </c>
      <c r="C141" s="8">
        <v>808</v>
      </c>
      <c r="D141" s="7">
        <v>18</v>
      </c>
      <c r="E141" s="7">
        <v>18</v>
      </c>
      <c r="F141" s="7">
        <v>359</v>
      </c>
      <c r="G141" s="8">
        <v>3122</v>
      </c>
    </row>
    <row r="142" spans="1:7">
      <c r="A142" s="8">
        <v>12957</v>
      </c>
      <c r="B142" s="7" t="s">
        <v>1087</v>
      </c>
      <c r="C142" s="8">
        <v>809</v>
      </c>
      <c r="D142" s="7">
        <v>53</v>
      </c>
      <c r="E142" s="7">
        <v>53</v>
      </c>
      <c r="F142" s="7">
        <v>353</v>
      </c>
      <c r="G142" s="8">
        <v>3924</v>
      </c>
    </row>
    <row r="143" spans="1:7">
      <c r="A143" s="8">
        <v>12958</v>
      </c>
      <c r="B143" s="7" t="s">
        <v>498</v>
      </c>
      <c r="C143" s="8">
        <v>801</v>
      </c>
      <c r="D143" s="7">
        <v>24</v>
      </c>
      <c r="E143" s="7">
        <v>24</v>
      </c>
      <c r="F143" s="7">
        <v>285</v>
      </c>
      <c r="G143" s="8">
        <v>21210</v>
      </c>
    </row>
    <row r="144" spans="1:7">
      <c r="A144" s="8">
        <v>12958</v>
      </c>
      <c r="B144" s="7" t="s">
        <v>498</v>
      </c>
      <c r="C144" s="8">
        <v>802</v>
      </c>
      <c r="D144" s="7">
        <v>20</v>
      </c>
      <c r="E144" s="7">
        <v>20</v>
      </c>
      <c r="F144" s="7">
        <v>265</v>
      </c>
      <c r="G144" s="8">
        <v>30409</v>
      </c>
    </row>
    <row r="145" spans="1:7">
      <c r="A145" s="8">
        <v>12958</v>
      </c>
      <c r="B145" s="7" t="s">
        <v>498</v>
      </c>
      <c r="C145" s="8">
        <v>803</v>
      </c>
      <c r="D145" s="7">
        <v>70</v>
      </c>
      <c r="E145" s="7">
        <v>70</v>
      </c>
      <c r="F145" s="7">
        <v>204</v>
      </c>
      <c r="G145" s="8">
        <v>72576</v>
      </c>
    </row>
    <row r="146" spans="1:7">
      <c r="A146" s="8">
        <v>12958</v>
      </c>
      <c r="B146" s="7" t="s">
        <v>498</v>
      </c>
      <c r="C146" s="8">
        <v>804</v>
      </c>
      <c r="D146" s="7">
        <v>30</v>
      </c>
      <c r="E146" s="7">
        <v>30</v>
      </c>
      <c r="F146" s="7">
        <v>197</v>
      </c>
      <c r="G146" s="8">
        <v>79055</v>
      </c>
    </row>
    <row r="147" spans="1:7">
      <c r="A147" s="8">
        <v>12958</v>
      </c>
      <c r="B147" s="7" t="s">
        <v>498</v>
      </c>
      <c r="C147" s="8">
        <v>805</v>
      </c>
      <c r="D147" s="7">
        <v>205</v>
      </c>
      <c r="E147" s="7">
        <v>205</v>
      </c>
      <c r="F147" s="7">
        <v>238</v>
      </c>
      <c r="G147" s="8">
        <v>46377</v>
      </c>
    </row>
    <row r="148" spans="1:7">
      <c r="A148" s="8">
        <v>12958</v>
      </c>
      <c r="B148" s="7" t="s">
        <v>498</v>
      </c>
      <c r="C148" s="8">
        <v>806</v>
      </c>
      <c r="D148" s="7">
        <v>157</v>
      </c>
      <c r="E148" s="7">
        <v>157</v>
      </c>
      <c r="F148" s="7">
        <v>212</v>
      </c>
      <c r="G148" s="8">
        <v>65603</v>
      </c>
    </row>
    <row r="149" spans="1:7">
      <c r="A149" s="8">
        <v>12958</v>
      </c>
      <c r="B149" s="7" t="s">
        <v>498</v>
      </c>
      <c r="C149" s="8">
        <v>807</v>
      </c>
      <c r="D149" s="7">
        <v>162</v>
      </c>
      <c r="E149" s="7">
        <v>162</v>
      </c>
      <c r="F149" s="7">
        <v>235</v>
      </c>
      <c r="G149" s="8">
        <v>48348</v>
      </c>
    </row>
    <row r="150" spans="1:7">
      <c r="A150" s="8">
        <v>12958</v>
      </c>
      <c r="B150" s="7" t="s">
        <v>498</v>
      </c>
      <c r="C150" s="8">
        <v>808</v>
      </c>
      <c r="D150" s="7">
        <v>156</v>
      </c>
      <c r="E150" s="7">
        <v>156</v>
      </c>
      <c r="F150" s="7">
        <v>250</v>
      </c>
      <c r="G150" s="8">
        <v>38486</v>
      </c>
    </row>
    <row r="151" spans="1:7">
      <c r="A151" s="8">
        <v>12958</v>
      </c>
      <c r="B151" s="7" t="s">
        <v>498</v>
      </c>
      <c r="C151" s="8">
        <v>809</v>
      </c>
      <c r="D151" s="7">
        <v>222</v>
      </c>
      <c r="E151" s="7">
        <v>222</v>
      </c>
      <c r="F151" s="7">
        <v>226</v>
      </c>
      <c r="G151" s="8">
        <v>54814</v>
      </c>
    </row>
    <row r="152" spans="1:7">
      <c r="A152" s="8">
        <v>12958</v>
      </c>
      <c r="B152" s="7" t="s">
        <v>498</v>
      </c>
      <c r="C152" s="8">
        <v>810</v>
      </c>
      <c r="D152" s="7">
        <v>45</v>
      </c>
      <c r="E152" s="7">
        <v>45</v>
      </c>
      <c r="F152" s="7">
        <v>230</v>
      </c>
      <c r="G152" s="8">
        <v>51834</v>
      </c>
    </row>
    <row r="153" spans="1:7">
      <c r="A153" s="8">
        <v>12958</v>
      </c>
      <c r="B153" s="7" t="s">
        <v>498</v>
      </c>
      <c r="C153" s="8">
        <v>811</v>
      </c>
      <c r="D153" s="7">
        <v>50</v>
      </c>
      <c r="E153" s="7">
        <v>50</v>
      </c>
      <c r="F153" s="7">
        <v>215</v>
      </c>
      <c r="G153" s="8">
        <v>63789</v>
      </c>
    </row>
    <row r="154" spans="1:7">
      <c r="A154" s="8">
        <v>12959</v>
      </c>
      <c r="B154" s="7" t="s">
        <v>267</v>
      </c>
      <c r="C154" s="8">
        <v>801</v>
      </c>
      <c r="D154" s="7">
        <v>2017</v>
      </c>
      <c r="E154" s="7">
        <v>2017</v>
      </c>
      <c r="F154" s="7">
        <v>298</v>
      </c>
      <c r="G154" s="8">
        <v>16657</v>
      </c>
    </row>
    <row r="155" spans="1:7">
      <c r="A155" s="8">
        <v>12959</v>
      </c>
      <c r="B155" s="7" t="s">
        <v>267</v>
      </c>
      <c r="C155" s="8">
        <v>803</v>
      </c>
      <c r="D155" s="7">
        <v>120</v>
      </c>
      <c r="E155" s="7">
        <v>120</v>
      </c>
      <c r="F155" s="7">
        <v>307</v>
      </c>
      <c r="G155" s="8">
        <v>13711</v>
      </c>
    </row>
    <row r="156" spans="1:7">
      <c r="A156" s="8">
        <v>12960</v>
      </c>
      <c r="B156" s="7" t="s">
        <v>381</v>
      </c>
      <c r="C156" s="8">
        <v>801</v>
      </c>
      <c r="D156" s="7">
        <v>170</v>
      </c>
      <c r="E156" s="7">
        <v>170</v>
      </c>
      <c r="F156" s="7">
        <v>228</v>
      </c>
      <c r="G156" s="8">
        <v>53383</v>
      </c>
    </row>
    <row r="157" spans="1:7">
      <c r="A157" s="8">
        <v>12961</v>
      </c>
      <c r="B157" s="7" t="s">
        <v>932</v>
      </c>
      <c r="C157" s="8">
        <v>801</v>
      </c>
      <c r="D157" s="7">
        <v>1360</v>
      </c>
      <c r="E157" s="7">
        <v>1360</v>
      </c>
      <c r="F157" s="7">
        <v>158</v>
      </c>
      <c r="G157" s="8">
        <v>124582</v>
      </c>
    </row>
    <row r="158" spans="1:7">
      <c r="A158" s="8">
        <v>12962</v>
      </c>
      <c r="B158" s="7" t="s">
        <v>691</v>
      </c>
      <c r="C158" s="8">
        <v>801</v>
      </c>
      <c r="D158" s="7">
        <v>160</v>
      </c>
      <c r="E158" s="7">
        <v>160</v>
      </c>
      <c r="F158" s="7">
        <v>263</v>
      </c>
      <c r="G158" s="8">
        <v>31370</v>
      </c>
    </row>
    <row r="159" spans="1:7">
      <c r="A159" s="8">
        <v>12962</v>
      </c>
      <c r="B159" s="7" t="s">
        <v>691</v>
      </c>
      <c r="C159" s="8">
        <v>802</v>
      </c>
      <c r="D159" s="7">
        <v>140</v>
      </c>
      <c r="E159" s="7">
        <v>140</v>
      </c>
      <c r="F159" s="7">
        <v>251</v>
      </c>
      <c r="G159" s="8">
        <v>37648</v>
      </c>
    </row>
    <row r="160" spans="1:7">
      <c r="A160" s="8">
        <v>12962</v>
      </c>
      <c r="B160" s="7" t="s">
        <v>691</v>
      </c>
      <c r="C160" s="8">
        <v>803</v>
      </c>
      <c r="D160" s="7">
        <v>10</v>
      </c>
      <c r="E160" s="7">
        <v>10</v>
      </c>
      <c r="F160" s="7">
        <v>256</v>
      </c>
      <c r="G160" s="8">
        <v>35221</v>
      </c>
    </row>
    <row r="161" spans="1:7">
      <c r="A161" s="8">
        <v>12962</v>
      </c>
      <c r="B161" s="7" t="s">
        <v>691</v>
      </c>
      <c r="C161" s="8">
        <v>804</v>
      </c>
      <c r="D161" s="7">
        <v>582</v>
      </c>
      <c r="E161" s="7">
        <v>582</v>
      </c>
      <c r="F161" s="7">
        <v>233</v>
      </c>
      <c r="G161" s="8">
        <v>49503</v>
      </c>
    </row>
    <row r="162" spans="1:7">
      <c r="A162" s="8">
        <v>12962</v>
      </c>
      <c r="B162" s="7" t="s">
        <v>691</v>
      </c>
      <c r="C162" s="8">
        <v>805</v>
      </c>
      <c r="D162" s="7">
        <v>70</v>
      </c>
      <c r="E162" s="7">
        <v>70</v>
      </c>
      <c r="F162" s="7">
        <v>215</v>
      </c>
      <c r="G162" s="8">
        <v>63791</v>
      </c>
    </row>
    <row r="163" spans="1:7">
      <c r="A163" s="8">
        <v>12962</v>
      </c>
      <c r="B163" s="7" t="s">
        <v>691</v>
      </c>
      <c r="C163" s="8">
        <v>806</v>
      </c>
      <c r="D163" s="7">
        <v>20</v>
      </c>
      <c r="E163" s="7">
        <v>20</v>
      </c>
      <c r="F163" s="7">
        <v>237</v>
      </c>
      <c r="G163" s="8">
        <v>47160</v>
      </c>
    </row>
    <row r="164" spans="1:7">
      <c r="A164" s="8">
        <v>12962</v>
      </c>
      <c r="B164" s="7" t="s">
        <v>691</v>
      </c>
      <c r="C164" s="8">
        <v>807</v>
      </c>
      <c r="D164" s="7">
        <v>70</v>
      </c>
      <c r="E164" s="7">
        <v>70</v>
      </c>
      <c r="F164" s="7">
        <v>230</v>
      </c>
      <c r="G164" s="8">
        <v>51801</v>
      </c>
    </row>
    <row r="165" spans="1:7">
      <c r="A165" s="8">
        <v>12962</v>
      </c>
      <c r="B165" s="7" t="s">
        <v>691</v>
      </c>
      <c r="C165" s="8">
        <v>808</v>
      </c>
      <c r="D165" s="7">
        <v>45</v>
      </c>
      <c r="E165" s="7">
        <v>45</v>
      </c>
      <c r="F165" s="7">
        <v>219</v>
      </c>
      <c r="G165" s="8">
        <v>60235</v>
      </c>
    </row>
    <row r="166" spans="1:7">
      <c r="A166" s="8">
        <v>12962</v>
      </c>
      <c r="B166" s="7" t="s">
        <v>691</v>
      </c>
      <c r="C166" s="8">
        <v>809</v>
      </c>
      <c r="D166" s="7">
        <v>20</v>
      </c>
      <c r="E166" s="7">
        <v>20</v>
      </c>
      <c r="F166" s="7">
        <v>237</v>
      </c>
      <c r="G166" s="8">
        <v>46727</v>
      </c>
    </row>
    <row r="167" spans="1:7">
      <c r="A167" s="8">
        <v>12962</v>
      </c>
      <c r="B167" s="7" t="s">
        <v>691</v>
      </c>
      <c r="C167" s="8">
        <v>810</v>
      </c>
      <c r="D167" s="7">
        <v>40</v>
      </c>
      <c r="E167" s="7">
        <v>40</v>
      </c>
      <c r="F167" s="7">
        <v>180</v>
      </c>
      <c r="G167" s="8">
        <v>97518</v>
      </c>
    </row>
    <row r="168" spans="1:7">
      <c r="A168" s="8">
        <v>12962</v>
      </c>
      <c r="B168" s="7" t="s">
        <v>691</v>
      </c>
      <c r="C168" s="8">
        <v>811</v>
      </c>
      <c r="D168" s="7">
        <v>30</v>
      </c>
      <c r="E168" s="7">
        <v>30</v>
      </c>
      <c r="F168" s="7">
        <v>183</v>
      </c>
      <c r="G168" s="8">
        <v>93500</v>
      </c>
    </row>
    <row r="169" spans="1:7">
      <c r="A169" s="8">
        <v>13707</v>
      </c>
      <c r="B169" s="7" t="s">
        <v>402</v>
      </c>
      <c r="C169" s="8">
        <v>801</v>
      </c>
      <c r="D169" s="7">
        <v>56</v>
      </c>
      <c r="E169" s="7">
        <v>56</v>
      </c>
      <c r="F169" s="7">
        <v>279</v>
      </c>
      <c r="G169" s="8">
        <v>23796</v>
      </c>
    </row>
    <row r="170" spans="1:7">
      <c r="A170" s="8">
        <v>13707</v>
      </c>
      <c r="B170" s="7" t="s">
        <v>402</v>
      </c>
      <c r="C170" s="8">
        <v>802</v>
      </c>
      <c r="D170" s="7">
        <v>15</v>
      </c>
      <c r="E170" s="7">
        <v>15</v>
      </c>
      <c r="F170" s="7">
        <v>248</v>
      </c>
      <c r="G170" s="8">
        <v>39753</v>
      </c>
    </row>
    <row r="171" spans="1:7">
      <c r="A171" s="8">
        <v>13707</v>
      </c>
      <c r="B171" s="7" t="s">
        <v>402</v>
      </c>
      <c r="C171" s="8">
        <v>804</v>
      </c>
      <c r="D171" s="7">
        <v>28</v>
      </c>
      <c r="E171" s="7">
        <v>28</v>
      </c>
      <c r="F171" s="7">
        <v>223</v>
      </c>
      <c r="G171" s="8">
        <v>57259</v>
      </c>
    </row>
    <row r="172" spans="1:7">
      <c r="A172" s="8">
        <v>13707</v>
      </c>
      <c r="B172" s="7" t="s">
        <v>402</v>
      </c>
      <c r="C172" s="8">
        <v>805</v>
      </c>
      <c r="D172" s="7">
        <v>7</v>
      </c>
      <c r="E172" s="7">
        <v>7</v>
      </c>
      <c r="F172" s="7">
        <v>273</v>
      </c>
      <c r="G172" s="8">
        <v>26462</v>
      </c>
    </row>
    <row r="173" spans="1:7">
      <c r="A173" s="8">
        <v>13707</v>
      </c>
      <c r="B173" s="7" t="s">
        <v>402</v>
      </c>
      <c r="C173" s="8">
        <v>806</v>
      </c>
      <c r="D173" s="7">
        <v>7</v>
      </c>
      <c r="E173" s="7">
        <v>7</v>
      </c>
      <c r="F173" s="7">
        <v>262</v>
      </c>
      <c r="G173" s="8">
        <v>31871</v>
      </c>
    </row>
    <row r="174" spans="1:7">
      <c r="A174" s="8">
        <v>13707</v>
      </c>
      <c r="B174" s="7" t="s">
        <v>402</v>
      </c>
      <c r="C174" s="8">
        <v>807</v>
      </c>
      <c r="D174" s="7">
        <v>7</v>
      </c>
      <c r="E174" s="7">
        <v>7</v>
      </c>
      <c r="F174" s="7">
        <v>243</v>
      </c>
      <c r="G174" s="8">
        <v>42969</v>
      </c>
    </row>
    <row r="175" spans="1:7">
      <c r="A175" s="8">
        <v>13707</v>
      </c>
      <c r="B175" s="7" t="s">
        <v>402</v>
      </c>
      <c r="C175" s="8">
        <v>808</v>
      </c>
      <c r="D175" s="7">
        <v>153</v>
      </c>
      <c r="E175" s="7">
        <v>153</v>
      </c>
      <c r="F175" s="7">
        <v>239</v>
      </c>
      <c r="G175" s="8">
        <v>45564</v>
      </c>
    </row>
    <row r="176" spans="1:7">
      <c r="A176" s="8">
        <v>13707</v>
      </c>
      <c r="B176" s="7" t="s">
        <v>402</v>
      </c>
      <c r="C176" s="8">
        <v>816</v>
      </c>
      <c r="D176" s="7">
        <v>7</v>
      </c>
      <c r="E176" s="7">
        <v>7</v>
      </c>
      <c r="F176" s="7">
        <v>238</v>
      </c>
      <c r="G176" s="8">
        <v>46254</v>
      </c>
    </row>
    <row r="177" spans="1:7">
      <c r="A177" s="8">
        <v>13708</v>
      </c>
      <c r="B177" s="7" t="s">
        <v>411</v>
      </c>
      <c r="C177" s="8">
        <v>802</v>
      </c>
      <c r="D177" s="7">
        <v>20</v>
      </c>
      <c r="E177" s="7">
        <v>20</v>
      </c>
      <c r="F177" s="7">
        <v>260</v>
      </c>
      <c r="G177" s="8">
        <v>32638</v>
      </c>
    </row>
    <row r="178" spans="1:7">
      <c r="A178" s="8">
        <v>13708</v>
      </c>
      <c r="B178" s="7" t="s">
        <v>411</v>
      </c>
      <c r="C178" s="8">
        <v>803</v>
      </c>
      <c r="D178" s="7">
        <v>38</v>
      </c>
      <c r="E178" s="7">
        <v>38</v>
      </c>
      <c r="F178" s="7">
        <v>257</v>
      </c>
      <c r="G178" s="8">
        <v>34499</v>
      </c>
    </row>
    <row r="179" spans="1:7">
      <c r="A179" s="8">
        <v>13708</v>
      </c>
      <c r="B179" s="7" t="s">
        <v>411</v>
      </c>
      <c r="C179" s="8">
        <v>804</v>
      </c>
      <c r="D179" s="7">
        <v>44</v>
      </c>
      <c r="E179" s="7">
        <v>44</v>
      </c>
      <c r="F179" s="7">
        <v>250</v>
      </c>
      <c r="G179" s="8">
        <v>38282</v>
      </c>
    </row>
    <row r="180" spans="1:7">
      <c r="A180" s="8">
        <v>13709</v>
      </c>
      <c r="B180" s="7" t="s">
        <v>429</v>
      </c>
      <c r="C180" s="8">
        <v>801</v>
      </c>
      <c r="D180" s="7">
        <v>322</v>
      </c>
      <c r="E180" s="7">
        <v>322</v>
      </c>
      <c r="F180" s="7">
        <v>225</v>
      </c>
      <c r="G180" s="8">
        <v>55902</v>
      </c>
    </row>
    <row r="181" spans="1:7">
      <c r="A181" s="8">
        <v>13709</v>
      </c>
      <c r="B181" s="7" t="s">
        <v>429</v>
      </c>
      <c r="C181" s="8">
        <v>802</v>
      </c>
      <c r="D181" s="7">
        <v>428</v>
      </c>
      <c r="E181" s="7">
        <v>428</v>
      </c>
      <c r="F181" s="7">
        <v>236</v>
      </c>
      <c r="G181" s="8">
        <v>47501</v>
      </c>
    </row>
    <row r="182" spans="1:7">
      <c r="A182" s="8">
        <v>13709</v>
      </c>
      <c r="B182" s="7" t="s">
        <v>429</v>
      </c>
      <c r="C182" s="8">
        <v>803</v>
      </c>
      <c r="D182" s="7">
        <v>36</v>
      </c>
      <c r="E182" s="7">
        <v>36</v>
      </c>
      <c r="F182" s="7">
        <v>225</v>
      </c>
      <c r="G182" s="8">
        <v>55357</v>
      </c>
    </row>
    <row r="183" spans="1:7">
      <c r="A183" s="8">
        <v>13710</v>
      </c>
      <c r="B183" s="7" t="s">
        <v>458</v>
      </c>
      <c r="C183" s="8">
        <v>802</v>
      </c>
      <c r="D183" s="7">
        <v>60</v>
      </c>
      <c r="E183" s="7">
        <v>60</v>
      </c>
      <c r="F183" s="7">
        <v>228</v>
      </c>
      <c r="G183" s="8">
        <v>53510</v>
      </c>
    </row>
    <row r="184" spans="1:7">
      <c r="A184" s="8">
        <v>13711</v>
      </c>
      <c r="B184" s="7" t="s">
        <v>236</v>
      </c>
      <c r="C184" s="8">
        <v>801</v>
      </c>
      <c r="D184" s="7">
        <v>362</v>
      </c>
      <c r="E184" s="7">
        <v>362</v>
      </c>
      <c r="F184" s="7">
        <v>228</v>
      </c>
      <c r="G184" s="8">
        <v>53400</v>
      </c>
    </row>
    <row r="185" spans="1:7">
      <c r="A185" s="8">
        <v>13711</v>
      </c>
      <c r="B185" s="7" t="s">
        <v>236</v>
      </c>
      <c r="C185" s="8">
        <v>802</v>
      </c>
      <c r="D185" s="7">
        <v>558</v>
      </c>
      <c r="E185" s="7">
        <v>558</v>
      </c>
      <c r="F185" s="7">
        <v>228</v>
      </c>
      <c r="G185" s="8">
        <v>53277</v>
      </c>
    </row>
    <row r="186" spans="1:7">
      <c r="A186" s="8">
        <v>13711</v>
      </c>
      <c r="B186" s="7" t="s">
        <v>236</v>
      </c>
      <c r="C186" s="8">
        <v>805</v>
      </c>
      <c r="D186" s="7">
        <v>81</v>
      </c>
      <c r="E186" s="7">
        <v>81</v>
      </c>
      <c r="F186" s="7">
        <v>211</v>
      </c>
      <c r="G186" s="8">
        <v>67203</v>
      </c>
    </row>
    <row r="187" spans="1:7">
      <c r="A187" s="8">
        <v>13711</v>
      </c>
      <c r="B187" s="7" t="s">
        <v>236</v>
      </c>
      <c r="C187" s="8">
        <v>806</v>
      </c>
      <c r="D187" s="7">
        <v>12</v>
      </c>
      <c r="E187" s="7">
        <v>12</v>
      </c>
      <c r="F187" s="7">
        <v>195</v>
      </c>
      <c r="G187" s="8">
        <v>81724</v>
      </c>
    </row>
    <row r="188" spans="1:7">
      <c r="A188" s="8">
        <v>13711</v>
      </c>
      <c r="B188" s="7" t="s">
        <v>236</v>
      </c>
      <c r="C188" s="8">
        <v>807</v>
      </c>
      <c r="D188" s="7">
        <v>8</v>
      </c>
      <c r="E188" s="7">
        <v>8</v>
      </c>
      <c r="F188" s="7">
        <v>330</v>
      </c>
      <c r="G188" s="8">
        <v>8136</v>
      </c>
    </row>
    <row r="189" spans="1:7">
      <c r="A189" s="8">
        <v>13711</v>
      </c>
      <c r="B189" s="7" t="s">
        <v>236</v>
      </c>
      <c r="C189" s="8">
        <v>808</v>
      </c>
      <c r="D189" s="7">
        <v>14</v>
      </c>
      <c r="E189" s="7">
        <v>14</v>
      </c>
      <c r="F189" s="7">
        <v>332</v>
      </c>
      <c r="G189" s="8">
        <v>7593</v>
      </c>
    </row>
    <row r="190" spans="1:7">
      <c r="A190" s="8">
        <v>13711</v>
      </c>
      <c r="B190" s="7" t="s">
        <v>236</v>
      </c>
      <c r="C190" s="8">
        <v>809</v>
      </c>
      <c r="D190" s="7">
        <v>29</v>
      </c>
      <c r="E190" s="7">
        <v>29</v>
      </c>
      <c r="F190" s="7">
        <v>267</v>
      </c>
      <c r="G190" s="8">
        <v>29225</v>
      </c>
    </row>
    <row r="191" spans="1:7">
      <c r="A191" s="8">
        <v>13711</v>
      </c>
      <c r="B191" s="7" t="s">
        <v>236</v>
      </c>
      <c r="C191" s="8">
        <v>810</v>
      </c>
      <c r="D191" s="7">
        <v>20</v>
      </c>
      <c r="E191" s="7">
        <v>20</v>
      </c>
      <c r="F191" s="7">
        <v>221</v>
      </c>
      <c r="G191" s="8">
        <v>58815</v>
      </c>
    </row>
    <row r="192" spans="1:7">
      <c r="A192" s="8">
        <v>13711</v>
      </c>
      <c r="B192" s="7" t="s">
        <v>236</v>
      </c>
      <c r="C192" s="8">
        <v>811</v>
      </c>
      <c r="D192" s="7">
        <v>14</v>
      </c>
      <c r="E192" s="7">
        <v>14</v>
      </c>
      <c r="F192" s="7">
        <v>207</v>
      </c>
      <c r="G192" s="8">
        <v>70252</v>
      </c>
    </row>
    <row r="193" spans="1:7">
      <c r="A193" s="8">
        <v>13712</v>
      </c>
      <c r="B193" s="7" t="s">
        <v>600</v>
      </c>
      <c r="C193" s="8">
        <v>801</v>
      </c>
      <c r="D193" s="7">
        <v>120</v>
      </c>
      <c r="E193" s="7">
        <v>120</v>
      </c>
      <c r="F193" s="7">
        <v>204</v>
      </c>
      <c r="G193" s="8">
        <v>72502</v>
      </c>
    </row>
    <row r="194" spans="1:7">
      <c r="A194" s="8">
        <v>13712</v>
      </c>
      <c r="B194" s="7" t="s">
        <v>600</v>
      </c>
      <c r="C194" s="8">
        <v>802</v>
      </c>
      <c r="D194" s="7">
        <v>238</v>
      </c>
      <c r="E194" s="7">
        <v>238</v>
      </c>
      <c r="F194" s="7">
        <v>203</v>
      </c>
      <c r="G194" s="8">
        <v>73472</v>
      </c>
    </row>
    <row r="195" spans="1:7">
      <c r="A195" s="8">
        <v>13712</v>
      </c>
      <c r="B195" s="7" t="s">
        <v>600</v>
      </c>
      <c r="C195" s="8">
        <v>803</v>
      </c>
      <c r="D195" s="7">
        <v>208</v>
      </c>
      <c r="E195" s="7">
        <v>208</v>
      </c>
      <c r="F195" s="7">
        <v>211</v>
      </c>
      <c r="G195" s="8">
        <v>67123</v>
      </c>
    </row>
    <row r="196" spans="1:7">
      <c r="A196" s="8">
        <v>13712</v>
      </c>
      <c r="B196" s="7" t="s">
        <v>600</v>
      </c>
      <c r="C196" s="8">
        <v>804</v>
      </c>
      <c r="D196" s="7">
        <v>230</v>
      </c>
      <c r="E196" s="7">
        <v>230</v>
      </c>
      <c r="F196" s="7">
        <v>206</v>
      </c>
      <c r="G196" s="8">
        <v>70696</v>
      </c>
    </row>
    <row r="197" spans="1:7">
      <c r="A197" s="8">
        <v>13712</v>
      </c>
      <c r="B197" s="7" t="s">
        <v>600</v>
      </c>
      <c r="C197" s="8">
        <v>805</v>
      </c>
      <c r="D197" s="7">
        <v>363</v>
      </c>
      <c r="E197" s="7">
        <v>363</v>
      </c>
      <c r="F197" s="7">
        <v>209</v>
      </c>
      <c r="G197" s="8">
        <v>68401</v>
      </c>
    </row>
    <row r="198" spans="1:7">
      <c r="A198" s="8">
        <v>13712</v>
      </c>
      <c r="B198" s="7" t="s">
        <v>600</v>
      </c>
      <c r="C198" s="8">
        <v>806</v>
      </c>
      <c r="D198" s="7">
        <v>270</v>
      </c>
      <c r="E198" s="7">
        <v>270</v>
      </c>
      <c r="F198" s="7">
        <v>202</v>
      </c>
      <c r="G198" s="8">
        <v>74955</v>
      </c>
    </row>
    <row r="199" spans="1:7">
      <c r="A199" s="8">
        <v>13712</v>
      </c>
      <c r="B199" s="7" t="s">
        <v>600</v>
      </c>
      <c r="C199" s="8">
        <v>807</v>
      </c>
      <c r="D199" s="7">
        <v>203</v>
      </c>
      <c r="E199" s="7">
        <v>203</v>
      </c>
      <c r="F199" s="7">
        <v>202</v>
      </c>
      <c r="G199" s="8">
        <v>74955</v>
      </c>
    </row>
    <row r="200" spans="1:7">
      <c r="A200" s="8">
        <v>13712</v>
      </c>
      <c r="B200" s="7" t="s">
        <v>600</v>
      </c>
      <c r="C200" s="8">
        <v>808</v>
      </c>
      <c r="D200" s="7">
        <v>162</v>
      </c>
      <c r="E200" s="7">
        <v>162</v>
      </c>
      <c r="F200" s="7">
        <v>201</v>
      </c>
      <c r="G200" s="8">
        <v>75761</v>
      </c>
    </row>
    <row r="201" spans="1:7">
      <c r="A201" s="8">
        <v>13713</v>
      </c>
      <c r="B201" s="7" t="s">
        <v>288</v>
      </c>
      <c r="C201" s="8">
        <v>801</v>
      </c>
      <c r="D201" s="7">
        <v>280</v>
      </c>
      <c r="E201" s="7">
        <v>280</v>
      </c>
      <c r="F201" s="7">
        <v>303</v>
      </c>
      <c r="G201" s="8">
        <v>14881</v>
      </c>
    </row>
    <row r="202" spans="1:7">
      <c r="A202" s="8">
        <v>13713</v>
      </c>
      <c r="B202" s="7" t="s">
        <v>288</v>
      </c>
      <c r="C202" s="8">
        <v>802</v>
      </c>
      <c r="D202" s="7">
        <v>194</v>
      </c>
      <c r="E202" s="7">
        <v>194</v>
      </c>
      <c r="F202" s="7">
        <v>294</v>
      </c>
      <c r="G202" s="8">
        <v>17806</v>
      </c>
    </row>
    <row r="203" spans="1:7">
      <c r="A203" s="8">
        <v>13713</v>
      </c>
      <c r="B203" s="7" t="s">
        <v>288</v>
      </c>
      <c r="C203" s="8">
        <v>803</v>
      </c>
      <c r="D203" s="7">
        <v>16</v>
      </c>
      <c r="E203" s="7">
        <v>16</v>
      </c>
      <c r="F203" s="7">
        <v>289</v>
      </c>
      <c r="G203" s="8">
        <v>19652</v>
      </c>
    </row>
    <row r="204" spans="1:7">
      <c r="A204" s="8">
        <v>13713</v>
      </c>
      <c r="B204" s="7" t="s">
        <v>288</v>
      </c>
      <c r="C204" s="8">
        <v>805</v>
      </c>
      <c r="D204" s="7">
        <v>10</v>
      </c>
      <c r="E204" s="7">
        <v>10</v>
      </c>
      <c r="F204" s="7">
        <v>317</v>
      </c>
      <c r="G204" s="8">
        <v>11184</v>
      </c>
    </row>
    <row r="205" spans="1:7">
      <c r="A205" s="8">
        <v>13715</v>
      </c>
      <c r="B205" s="7" t="s">
        <v>834</v>
      </c>
      <c r="C205" s="8">
        <v>801</v>
      </c>
      <c r="D205" s="7">
        <v>766</v>
      </c>
      <c r="E205" s="7">
        <v>766</v>
      </c>
      <c r="F205" s="7">
        <v>146</v>
      </c>
      <c r="G205" s="8">
        <v>141759</v>
      </c>
    </row>
    <row r="206" spans="1:7">
      <c r="A206" s="8">
        <v>13715</v>
      </c>
      <c r="B206" s="7" t="s">
        <v>834</v>
      </c>
      <c r="C206" s="8">
        <v>802</v>
      </c>
      <c r="D206" s="7">
        <v>45</v>
      </c>
      <c r="E206" s="7">
        <v>45</v>
      </c>
      <c r="F206" s="7">
        <v>137</v>
      </c>
      <c r="G206" s="8">
        <v>153448</v>
      </c>
    </row>
    <row r="207" spans="1:7">
      <c r="A207" s="8">
        <v>13715</v>
      </c>
      <c r="B207" s="7" t="s">
        <v>834</v>
      </c>
      <c r="C207" s="8">
        <v>803</v>
      </c>
      <c r="D207" s="7">
        <v>65</v>
      </c>
      <c r="E207" s="7">
        <v>65</v>
      </c>
      <c r="F207" s="7">
        <v>133</v>
      </c>
      <c r="G207" s="8">
        <v>159564</v>
      </c>
    </row>
    <row r="208" spans="1:7">
      <c r="A208" s="8">
        <v>13715</v>
      </c>
      <c r="B208" s="7" t="s">
        <v>834</v>
      </c>
      <c r="C208" s="8">
        <v>804</v>
      </c>
      <c r="D208" s="7">
        <v>15</v>
      </c>
      <c r="E208" s="7">
        <v>15</v>
      </c>
      <c r="F208" s="7">
        <v>117</v>
      </c>
      <c r="G208" s="8">
        <v>176937</v>
      </c>
    </row>
    <row r="209" spans="1:7">
      <c r="A209" s="8">
        <v>13715</v>
      </c>
      <c r="B209" s="7" t="s">
        <v>834</v>
      </c>
      <c r="C209" s="8">
        <v>805</v>
      </c>
      <c r="D209" s="7">
        <v>10</v>
      </c>
      <c r="E209" s="7">
        <v>10</v>
      </c>
      <c r="F209" s="7">
        <v>123</v>
      </c>
      <c r="G209" s="8">
        <v>170777</v>
      </c>
    </row>
    <row r="210" spans="1:7">
      <c r="A210" s="8">
        <v>13716</v>
      </c>
      <c r="B210" s="7" t="s">
        <v>980</v>
      </c>
      <c r="C210" s="8">
        <v>801</v>
      </c>
      <c r="D210" s="7">
        <v>2640</v>
      </c>
      <c r="E210" s="7">
        <v>2640</v>
      </c>
      <c r="F210" s="7">
        <v>144</v>
      </c>
      <c r="G210" s="8">
        <v>144483</v>
      </c>
    </row>
    <row r="211" spans="1:7">
      <c r="A211" s="8">
        <v>13716</v>
      </c>
      <c r="B211" s="7" t="s">
        <v>980</v>
      </c>
      <c r="C211" s="8">
        <v>802</v>
      </c>
      <c r="D211" s="7">
        <v>60</v>
      </c>
      <c r="E211" s="7">
        <v>60</v>
      </c>
      <c r="F211" s="7">
        <v>126</v>
      </c>
      <c r="G211" s="8">
        <v>167418</v>
      </c>
    </row>
    <row r="212" spans="1:7">
      <c r="A212" s="8">
        <v>13717</v>
      </c>
      <c r="B212" s="7" t="s">
        <v>765</v>
      </c>
      <c r="C212" s="8">
        <v>811</v>
      </c>
      <c r="D212" s="7">
        <v>160</v>
      </c>
      <c r="E212" s="7">
        <v>160</v>
      </c>
      <c r="F212" s="7">
        <v>198</v>
      </c>
      <c r="G212" s="8">
        <v>78837</v>
      </c>
    </row>
    <row r="213" spans="1:7">
      <c r="A213" s="8">
        <v>13717</v>
      </c>
      <c r="B213" s="7" t="s">
        <v>765</v>
      </c>
      <c r="C213" s="8">
        <v>812</v>
      </c>
      <c r="D213" s="7">
        <v>15</v>
      </c>
      <c r="E213" s="7">
        <v>15</v>
      </c>
      <c r="F213" s="7">
        <v>175</v>
      </c>
      <c r="G213" s="8">
        <v>103572</v>
      </c>
    </row>
    <row r="214" spans="1:7">
      <c r="A214" s="8">
        <v>13717</v>
      </c>
      <c r="B214" s="7" t="s">
        <v>765</v>
      </c>
      <c r="C214" s="8">
        <v>813</v>
      </c>
      <c r="D214" s="7">
        <v>10</v>
      </c>
      <c r="E214" s="7">
        <v>10</v>
      </c>
      <c r="F214" s="7">
        <v>139</v>
      </c>
      <c r="G214" s="8">
        <v>151095</v>
      </c>
    </row>
    <row r="215" spans="1:7">
      <c r="A215" s="8">
        <v>13718</v>
      </c>
      <c r="B215" s="7" t="s">
        <v>871</v>
      </c>
      <c r="C215" s="8">
        <v>801</v>
      </c>
      <c r="D215" s="7">
        <v>688</v>
      </c>
      <c r="E215" s="7">
        <v>688</v>
      </c>
      <c r="F215" s="7">
        <v>183</v>
      </c>
      <c r="G215" s="8">
        <v>94469</v>
      </c>
    </row>
    <row r="216" spans="1:7">
      <c r="A216" s="8">
        <v>13718</v>
      </c>
      <c r="B216" s="7" t="s">
        <v>871</v>
      </c>
      <c r="C216" s="8">
        <v>802</v>
      </c>
      <c r="D216" s="7">
        <v>15</v>
      </c>
      <c r="E216" s="7">
        <v>15</v>
      </c>
      <c r="F216" s="7">
        <v>165</v>
      </c>
      <c r="G216" s="8">
        <v>116060</v>
      </c>
    </row>
    <row r="217" spans="1:7">
      <c r="A217" s="8">
        <v>13719</v>
      </c>
      <c r="B217" s="7" t="s">
        <v>1025</v>
      </c>
      <c r="C217" s="8">
        <v>801</v>
      </c>
      <c r="D217" s="7">
        <v>30</v>
      </c>
      <c r="E217" s="7">
        <v>30</v>
      </c>
      <c r="F217" s="7">
        <v>195</v>
      </c>
      <c r="G217" s="8">
        <v>80845</v>
      </c>
    </row>
    <row r="218" spans="1:7">
      <c r="A218" s="8">
        <v>13720</v>
      </c>
      <c r="B218" s="7" t="s">
        <v>1088</v>
      </c>
      <c r="C218" s="8">
        <v>801</v>
      </c>
      <c r="D218" s="7">
        <v>110</v>
      </c>
      <c r="E218" s="7">
        <v>110</v>
      </c>
      <c r="F218" s="7">
        <v>179</v>
      </c>
      <c r="G218" s="8">
        <v>98434</v>
      </c>
    </row>
    <row r="219" spans="1:7">
      <c r="A219" s="8">
        <v>13721</v>
      </c>
      <c r="B219" s="7" t="s">
        <v>826</v>
      </c>
      <c r="C219" s="8">
        <v>801</v>
      </c>
      <c r="D219" s="7">
        <v>568</v>
      </c>
      <c r="E219" s="7">
        <v>568</v>
      </c>
      <c r="F219" s="7">
        <v>146</v>
      </c>
      <c r="G219" s="8">
        <v>142033</v>
      </c>
    </row>
    <row r="220" spans="1:7">
      <c r="A220" s="8">
        <v>13721</v>
      </c>
      <c r="B220" s="7" t="s">
        <v>826</v>
      </c>
      <c r="C220" s="8">
        <v>802</v>
      </c>
      <c r="D220" s="7">
        <v>65</v>
      </c>
      <c r="E220" s="7">
        <v>65</v>
      </c>
      <c r="F220" s="7">
        <v>123</v>
      </c>
      <c r="G220" s="8">
        <v>170477</v>
      </c>
    </row>
    <row r="221" spans="1:7">
      <c r="A221" s="8">
        <v>13810</v>
      </c>
      <c r="B221" s="7" t="s">
        <v>144</v>
      </c>
      <c r="C221" s="8">
        <v>801</v>
      </c>
      <c r="D221" s="7">
        <v>240</v>
      </c>
      <c r="E221" s="7">
        <v>240</v>
      </c>
      <c r="F221" s="7">
        <v>269</v>
      </c>
      <c r="G221" s="8">
        <v>28405</v>
      </c>
    </row>
    <row r="222" spans="1:7">
      <c r="A222" s="8">
        <v>13810</v>
      </c>
      <c r="B222" s="7" t="s">
        <v>144</v>
      </c>
      <c r="C222" s="8">
        <v>802</v>
      </c>
      <c r="D222" s="7">
        <v>440</v>
      </c>
      <c r="E222" s="7">
        <v>440</v>
      </c>
      <c r="F222" s="7">
        <v>234</v>
      </c>
      <c r="G222" s="8">
        <v>48897</v>
      </c>
    </row>
    <row r="223" spans="1:7">
      <c r="A223" s="8">
        <v>13810</v>
      </c>
      <c r="B223" s="7" t="s">
        <v>144</v>
      </c>
      <c r="C223" s="8">
        <v>803</v>
      </c>
      <c r="D223" s="7">
        <v>60</v>
      </c>
      <c r="E223" s="7">
        <v>60</v>
      </c>
      <c r="F223" s="7">
        <v>203</v>
      </c>
      <c r="G223" s="8">
        <v>73710</v>
      </c>
    </row>
    <row r="224" spans="1:7">
      <c r="A224" s="8">
        <v>13912</v>
      </c>
      <c r="B224" s="7" t="s">
        <v>817</v>
      </c>
      <c r="C224" s="8">
        <v>801</v>
      </c>
      <c r="D224" s="7">
        <v>1700</v>
      </c>
      <c r="E224" s="7">
        <v>1700</v>
      </c>
      <c r="F224" s="7">
        <v>144</v>
      </c>
      <c r="G224" s="8">
        <v>143547</v>
      </c>
    </row>
    <row r="225" spans="1:7">
      <c r="A225" s="8">
        <v>13919</v>
      </c>
      <c r="B225" s="7" t="s">
        <v>348</v>
      </c>
      <c r="C225" s="8">
        <v>801</v>
      </c>
      <c r="D225" s="7">
        <v>270</v>
      </c>
      <c r="E225" s="7">
        <v>270</v>
      </c>
      <c r="F225" s="7">
        <v>265</v>
      </c>
      <c r="G225" s="8">
        <v>30248</v>
      </c>
    </row>
    <row r="226" spans="1:7">
      <c r="A226" s="8">
        <v>13919</v>
      </c>
      <c r="B226" s="7" t="s">
        <v>348</v>
      </c>
      <c r="C226" s="8">
        <v>802</v>
      </c>
      <c r="D226" s="7">
        <v>200</v>
      </c>
      <c r="E226" s="7">
        <v>200</v>
      </c>
      <c r="F226" s="7">
        <v>257</v>
      </c>
      <c r="G226" s="8">
        <v>34377</v>
      </c>
    </row>
    <row r="227" spans="1:7">
      <c r="A227" s="8">
        <v>13919</v>
      </c>
      <c r="B227" s="7" t="s">
        <v>348</v>
      </c>
      <c r="C227" s="8">
        <v>803</v>
      </c>
      <c r="D227" s="7">
        <v>140</v>
      </c>
      <c r="E227" s="7">
        <v>140</v>
      </c>
      <c r="F227" s="7">
        <v>265</v>
      </c>
      <c r="G227" s="8">
        <v>30138</v>
      </c>
    </row>
    <row r="228" spans="1:7">
      <c r="A228" s="8">
        <v>13919</v>
      </c>
      <c r="B228" s="7" t="s">
        <v>348</v>
      </c>
      <c r="C228" s="8">
        <v>804</v>
      </c>
      <c r="D228" s="7">
        <v>145</v>
      </c>
      <c r="E228" s="7">
        <v>145</v>
      </c>
      <c r="F228" s="7">
        <v>267</v>
      </c>
      <c r="G228" s="8">
        <v>29133</v>
      </c>
    </row>
    <row r="229" spans="1:7">
      <c r="A229" s="8">
        <v>13919</v>
      </c>
      <c r="B229" s="7" t="s">
        <v>348</v>
      </c>
      <c r="C229" s="8">
        <v>805</v>
      </c>
      <c r="D229" s="7">
        <v>92</v>
      </c>
      <c r="E229" s="7">
        <v>92</v>
      </c>
      <c r="F229" s="7">
        <v>259</v>
      </c>
      <c r="G229" s="8">
        <v>33521</v>
      </c>
    </row>
    <row r="230" spans="1:7">
      <c r="A230" s="8">
        <v>13919</v>
      </c>
      <c r="B230" s="7" t="s">
        <v>348</v>
      </c>
      <c r="C230" s="8">
        <v>806</v>
      </c>
      <c r="D230" s="7">
        <v>114</v>
      </c>
      <c r="E230" s="7">
        <v>114</v>
      </c>
      <c r="F230" s="7">
        <v>235</v>
      </c>
      <c r="G230" s="8">
        <v>48060</v>
      </c>
    </row>
    <row r="231" spans="1:7">
      <c r="A231" s="8">
        <v>13919</v>
      </c>
      <c r="B231" s="7" t="s">
        <v>348</v>
      </c>
      <c r="C231" s="8">
        <v>808</v>
      </c>
      <c r="D231" s="7">
        <v>25</v>
      </c>
      <c r="E231" s="7">
        <v>25</v>
      </c>
      <c r="F231" s="7">
        <v>250</v>
      </c>
      <c r="G231" s="8">
        <v>38168</v>
      </c>
    </row>
    <row r="232" spans="1:7">
      <c r="A232" s="8">
        <v>13927</v>
      </c>
      <c r="B232" s="7" t="s">
        <v>961</v>
      </c>
      <c r="C232" s="8">
        <v>801</v>
      </c>
      <c r="D232" s="7">
        <v>2300</v>
      </c>
      <c r="E232" s="7">
        <v>2300</v>
      </c>
      <c r="F232" s="7">
        <v>140</v>
      </c>
      <c r="G232" s="8">
        <v>150106</v>
      </c>
    </row>
    <row r="233" spans="1:7">
      <c r="A233" s="8">
        <v>13928</v>
      </c>
      <c r="B233" s="7" t="s">
        <v>807</v>
      </c>
      <c r="C233" s="8">
        <v>801</v>
      </c>
      <c r="D233" s="7">
        <v>3600</v>
      </c>
      <c r="E233" s="7">
        <v>3600</v>
      </c>
      <c r="F233" s="7">
        <v>145</v>
      </c>
      <c r="G233" s="8">
        <v>142529</v>
      </c>
    </row>
    <row r="234" spans="1:7">
      <c r="A234" s="8">
        <v>13929</v>
      </c>
      <c r="B234" s="7" t="s">
        <v>338</v>
      </c>
      <c r="C234" s="8">
        <v>801</v>
      </c>
      <c r="D234" s="7">
        <v>833</v>
      </c>
      <c r="E234" s="7">
        <v>833</v>
      </c>
      <c r="F234" s="7">
        <v>281</v>
      </c>
      <c r="G234" s="8">
        <v>22954</v>
      </c>
    </row>
    <row r="235" spans="1:7">
      <c r="A235" s="8">
        <v>13929</v>
      </c>
      <c r="B235" s="7" t="s">
        <v>338</v>
      </c>
      <c r="C235" s="8">
        <v>802</v>
      </c>
      <c r="D235" s="7">
        <v>67</v>
      </c>
      <c r="E235" s="7">
        <v>67</v>
      </c>
      <c r="F235" s="7">
        <v>285</v>
      </c>
      <c r="G235" s="8">
        <v>21334</v>
      </c>
    </row>
    <row r="236" spans="1:7">
      <c r="A236" s="8">
        <v>13930</v>
      </c>
      <c r="B236" s="7" t="s">
        <v>525</v>
      </c>
      <c r="C236" s="8">
        <v>801</v>
      </c>
      <c r="D236" s="7">
        <v>1710</v>
      </c>
      <c r="E236" s="7">
        <v>1710</v>
      </c>
      <c r="F236" s="7">
        <v>240</v>
      </c>
      <c r="G236" s="8">
        <v>44699</v>
      </c>
    </row>
    <row r="237" spans="1:7">
      <c r="A237" s="8">
        <v>13930</v>
      </c>
      <c r="B237" s="7" t="s">
        <v>525</v>
      </c>
      <c r="C237" s="8">
        <v>802</v>
      </c>
      <c r="D237" s="7">
        <v>20</v>
      </c>
      <c r="E237" s="7">
        <v>20</v>
      </c>
      <c r="F237" s="7">
        <v>228</v>
      </c>
      <c r="G237" s="8">
        <v>52971</v>
      </c>
    </row>
    <row r="238" spans="1:7">
      <c r="A238" s="8">
        <v>13930</v>
      </c>
      <c r="B238" s="7" t="s">
        <v>525</v>
      </c>
      <c r="C238" s="8">
        <v>803</v>
      </c>
      <c r="D238" s="7">
        <v>280</v>
      </c>
      <c r="E238" s="7">
        <v>280</v>
      </c>
      <c r="F238" s="7">
        <v>242</v>
      </c>
      <c r="G238" s="8">
        <v>43689</v>
      </c>
    </row>
    <row r="239" spans="1:7">
      <c r="A239" s="8">
        <v>13943</v>
      </c>
      <c r="B239" s="7" t="s">
        <v>212</v>
      </c>
      <c r="C239" s="8">
        <v>801</v>
      </c>
      <c r="D239" s="7">
        <v>255</v>
      </c>
      <c r="E239" s="7">
        <v>255</v>
      </c>
      <c r="F239" s="7">
        <v>270</v>
      </c>
      <c r="G239" s="8">
        <v>28044</v>
      </c>
    </row>
    <row r="240" spans="1:7">
      <c r="A240" s="8">
        <v>13943</v>
      </c>
      <c r="B240" s="7" t="s">
        <v>212</v>
      </c>
      <c r="C240" s="8">
        <v>802</v>
      </c>
      <c r="D240" s="7">
        <v>48</v>
      </c>
      <c r="E240" s="7">
        <v>48</v>
      </c>
      <c r="F240" s="7">
        <v>267</v>
      </c>
      <c r="G240" s="8">
        <v>29475</v>
      </c>
    </row>
    <row r="241" spans="1:7">
      <c r="A241" s="8">
        <v>13943</v>
      </c>
      <c r="B241" s="7" t="s">
        <v>212</v>
      </c>
      <c r="C241" s="8">
        <v>803</v>
      </c>
      <c r="D241" s="7">
        <v>203</v>
      </c>
      <c r="E241" s="7">
        <v>203</v>
      </c>
      <c r="F241" s="7">
        <v>265</v>
      </c>
      <c r="G241" s="8">
        <v>30001</v>
      </c>
    </row>
    <row r="242" spans="1:7">
      <c r="A242" s="8">
        <v>13943</v>
      </c>
      <c r="B242" s="7" t="s">
        <v>212</v>
      </c>
      <c r="C242" s="8">
        <v>804</v>
      </c>
      <c r="D242" s="7">
        <v>44</v>
      </c>
      <c r="E242" s="7">
        <v>44</v>
      </c>
      <c r="F242" s="7">
        <v>277</v>
      </c>
      <c r="G242" s="8">
        <v>24662</v>
      </c>
    </row>
    <row r="243" spans="1:7">
      <c r="A243" s="8">
        <v>13943</v>
      </c>
      <c r="B243" s="7" t="s">
        <v>212</v>
      </c>
      <c r="C243" s="8">
        <v>805</v>
      </c>
      <c r="D243" s="7">
        <v>100</v>
      </c>
      <c r="E243" s="7">
        <v>100</v>
      </c>
      <c r="F243" s="7">
        <v>260</v>
      </c>
      <c r="G243" s="8">
        <v>32694</v>
      </c>
    </row>
    <row r="244" spans="1:7">
      <c r="A244" s="8">
        <v>13943</v>
      </c>
      <c r="B244" s="7" t="s">
        <v>212</v>
      </c>
      <c r="C244" s="8">
        <v>806</v>
      </c>
      <c r="D244" s="7">
        <v>228</v>
      </c>
      <c r="E244" s="7">
        <v>228</v>
      </c>
      <c r="F244" s="7">
        <v>272</v>
      </c>
      <c r="G244" s="8">
        <v>27068</v>
      </c>
    </row>
    <row r="245" spans="1:7">
      <c r="A245" s="8">
        <v>13943</v>
      </c>
      <c r="B245" s="7" t="s">
        <v>212</v>
      </c>
      <c r="C245" s="8">
        <v>807</v>
      </c>
      <c r="D245" s="7">
        <v>135</v>
      </c>
      <c r="E245" s="7">
        <v>135</v>
      </c>
      <c r="F245" s="7">
        <v>264</v>
      </c>
      <c r="G245" s="8">
        <v>30869</v>
      </c>
    </row>
    <row r="246" spans="1:7">
      <c r="A246" s="8">
        <v>13943</v>
      </c>
      <c r="B246" s="7" t="s">
        <v>212</v>
      </c>
      <c r="C246" s="8">
        <v>808</v>
      </c>
      <c r="D246" s="7">
        <v>45</v>
      </c>
      <c r="E246" s="7">
        <v>45</v>
      </c>
      <c r="F246" s="7">
        <v>266</v>
      </c>
      <c r="G246" s="8">
        <v>29556</v>
      </c>
    </row>
    <row r="247" spans="1:7">
      <c r="A247" s="8">
        <v>13943</v>
      </c>
      <c r="B247" s="7" t="s">
        <v>212</v>
      </c>
      <c r="C247" s="8">
        <v>809</v>
      </c>
      <c r="D247" s="7">
        <v>37</v>
      </c>
      <c r="E247" s="7">
        <v>37</v>
      </c>
      <c r="F247" s="7">
        <v>303</v>
      </c>
      <c r="G247" s="8">
        <v>14913</v>
      </c>
    </row>
    <row r="248" spans="1:7">
      <c r="A248" s="8">
        <v>13943</v>
      </c>
      <c r="B248" s="7" t="s">
        <v>212</v>
      </c>
      <c r="C248" s="8">
        <v>810</v>
      </c>
      <c r="D248" s="7">
        <v>55</v>
      </c>
      <c r="E248" s="7">
        <v>55</v>
      </c>
      <c r="F248" s="7">
        <v>258</v>
      </c>
      <c r="G248" s="8">
        <v>33883</v>
      </c>
    </row>
    <row r="249" spans="1:7">
      <c r="A249" s="8">
        <v>14063</v>
      </c>
      <c r="B249" s="7" t="s">
        <v>534</v>
      </c>
      <c r="C249" s="8">
        <v>804</v>
      </c>
      <c r="D249" s="7">
        <v>1719</v>
      </c>
      <c r="E249" s="7">
        <v>1719</v>
      </c>
      <c r="F249" s="7">
        <v>278</v>
      </c>
      <c r="G249" s="8">
        <v>24134</v>
      </c>
    </row>
    <row r="250" spans="1:7">
      <c r="A250" s="8">
        <v>14063</v>
      </c>
      <c r="B250" s="7" t="s">
        <v>534</v>
      </c>
      <c r="C250" s="8">
        <v>805</v>
      </c>
      <c r="D250" s="7">
        <v>332</v>
      </c>
      <c r="E250" s="7">
        <v>332</v>
      </c>
      <c r="F250" s="7">
        <v>271</v>
      </c>
      <c r="G250" s="8">
        <v>27457</v>
      </c>
    </row>
    <row r="251" spans="1:7">
      <c r="A251" s="8">
        <v>14065</v>
      </c>
      <c r="B251" s="7" t="s">
        <v>310</v>
      </c>
      <c r="C251" s="8">
        <v>802</v>
      </c>
      <c r="D251" s="7">
        <v>90</v>
      </c>
      <c r="E251" s="7">
        <v>90</v>
      </c>
      <c r="F251" s="7">
        <v>226</v>
      </c>
      <c r="G251" s="8">
        <v>54563</v>
      </c>
    </row>
    <row r="252" spans="1:7">
      <c r="A252" s="8">
        <v>14065</v>
      </c>
      <c r="B252" s="7" t="s">
        <v>310</v>
      </c>
      <c r="C252" s="8">
        <v>803</v>
      </c>
      <c r="D252" s="7">
        <v>45</v>
      </c>
      <c r="E252" s="7">
        <v>45</v>
      </c>
      <c r="F252" s="7">
        <v>243</v>
      </c>
      <c r="G252" s="8">
        <v>42617</v>
      </c>
    </row>
    <row r="253" spans="1:7">
      <c r="A253" s="8">
        <v>14065</v>
      </c>
      <c r="B253" s="7" t="s">
        <v>310</v>
      </c>
      <c r="C253" s="8">
        <v>804</v>
      </c>
      <c r="D253" s="7">
        <v>230</v>
      </c>
      <c r="E253" s="7">
        <v>230</v>
      </c>
      <c r="F253" s="7">
        <v>235</v>
      </c>
      <c r="G253" s="8">
        <v>48174</v>
      </c>
    </row>
    <row r="254" spans="1:7">
      <c r="A254" s="8">
        <v>14065</v>
      </c>
      <c r="B254" s="7" t="s">
        <v>310</v>
      </c>
      <c r="C254" s="8">
        <v>805</v>
      </c>
      <c r="D254" s="7">
        <v>310</v>
      </c>
      <c r="E254" s="7">
        <v>310</v>
      </c>
      <c r="F254" s="7">
        <v>234</v>
      </c>
      <c r="G254" s="8">
        <v>49238</v>
      </c>
    </row>
    <row r="255" spans="1:7">
      <c r="A255" s="8">
        <v>14065</v>
      </c>
      <c r="B255" s="7" t="s">
        <v>310</v>
      </c>
      <c r="C255" s="8">
        <v>806</v>
      </c>
      <c r="D255" s="7">
        <v>160</v>
      </c>
      <c r="E255" s="7">
        <v>160</v>
      </c>
      <c r="F255" s="7">
        <v>231</v>
      </c>
      <c r="G255" s="8">
        <v>50958</v>
      </c>
    </row>
    <row r="256" spans="1:7">
      <c r="A256" s="8">
        <v>14065</v>
      </c>
      <c r="B256" s="7" t="s">
        <v>310</v>
      </c>
      <c r="C256" s="8">
        <v>807</v>
      </c>
      <c r="D256" s="7">
        <v>650</v>
      </c>
      <c r="E256" s="7">
        <v>650</v>
      </c>
      <c r="F256" s="7">
        <v>225</v>
      </c>
      <c r="G256" s="8">
        <v>55624</v>
      </c>
    </row>
    <row r="257" spans="1:7">
      <c r="A257" s="8">
        <v>14065</v>
      </c>
      <c r="B257" s="7" t="s">
        <v>310</v>
      </c>
      <c r="C257" s="8">
        <v>808</v>
      </c>
      <c r="D257" s="7">
        <v>45</v>
      </c>
      <c r="E257" s="7">
        <v>45</v>
      </c>
      <c r="F257" s="7">
        <v>233</v>
      </c>
      <c r="G257" s="8">
        <v>49627</v>
      </c>
    </row>
    <row r="258" spans="1:7">
      <c r="A258" s="8">
        <v>14066</v>
      </c>
      <c r="B258" s="7" t="s">
        <v>223</v>
      </c>
      <c r="C258" s="8">
        <v>801</v>
      </c>
      <c r="D258" s="7">
        <v>180</v>
      </c>
      <c r="E258" s="7">
        <v>180</v>
      </c>
      <c r="F258" s="7">
        <v>286</v>
      </c>
      <c r="G258" s="8">
        <v>21015</v>
      </c>
    </row>
    <row r="259" spans="1:7">
      <c r="A259" s="8">
        <v>14066</v>
      </c>
      <c r="B259" s="7" t="s">
        <v>223</v>
      </c>
      <c r="C259" s="8">
        <v>802</v>
      </c>
      <c r="D259" s="7">
        <v>259</v>
      </c>
      <c r="E259" s="7">
        <v>259</v>
      </c>
      <c r="F259" s="7">
        <v>275</v>
      </c>
      <c r="G259" s="8">
        <v>25560</v>
      </c>
    </row>
    <row r="260" spans="1:7">
      <c r="A260" s="8">
        <v>14066</v>
      </c>
      <c r="B260" s="7" t="s">
        <v>223</v>
      </c>
      <c r="C260" s="8">
        <v>803</v>
      </c>
      <c r="D260" s="7">
        <v>271</v>
      </c>
      <c r="E260" s="7">
        <v>271</v>
      </c>
      <c r="F260" s="7">
        <v>261</v>
      </c>
      <c r="G260" s="8">
        <v>32348</v>
      </c>
    </row>
    <row r="261" spans="1:7">
      <c r="A261" s="8">
        <v>14066</v>
      </c>
      <c r="B261" s="7" t="s">
        <v>223</v>
      </c>
      <c r="C261" s="8">
        <v>804</v>
      </c>
      <c r="D261" s="7">
        <v>25</v>
      </c>
      <c r="E261" s="7">
        <v>25</v>
      </c>
      <c r="F261" s="7">
        <v>270</v>
      </c>
      <c r="G261" s="8">
        <v>28037</v>
      </c>
    </row>
    <row r="262" spans="1:7">
      <c r="A262" s="8">
        <v>14066</v>
      </c>
      <c r="B262" s="7" t="s">
        <v>223</v>
      </c>
      <c r="C262" s="8">
        <v>805</v>
      </c>
      <c r="D262" s="7">
        <v>40</v>
      </c>
      <c r="E262" s="7">
        <v>40</v>
      </c>
      <c r="F262" s="7">
        <v>270</v>
      </c>
      <c r="G262" s="8">
        <v>27767</v>
      </c>
    </row>
    <row r="263" spans="1:7">
      <c r="A263" s="8">
        <v>14066</v>
      </c>
      <c r="B263" s="7" t="s">
        <v>223</v>
      </c>
      <c r="C263" s="8">
        <v>806</v>
      </c>
      <c r="D263" s="7">
        <v>130</v>
      </c>
      <c r="E263" s="7">
        <v>130</v>
      </c>
      <c r="F263" s="7">
        <v>272</v>
      </c>
      <c r="G263" s="8">
        <v>26807</v>
      </c>
    </row>
    <row r="264" spans="1:7">
      <c r="A264" s="8">
        <v>14066</v>
      </c>
      <c r="B264" s="7" t="s">
        <v>223</v>
      </c>
      <c r="C264" s="8">
        <v>807</v>
      </c>
      <c r="D264" s="7">
        <v>33</v>
      </c>
      <c r="E264" s="7">
        <v>33</v>
      </c>
      <c r="F264" s="7">
        <v>201</v>
      </c>
      <c r="G264" s="8">
        <v>75895</v>
      </c>
    </row>
    <row r="265" spans="1:7">
      <c r="A265" s="8">
        <v>14123</v>
      </c>
      <c r="B265" s="7" t="s">
        <v>881</v>
      </c>
      <c r="C265" s="8">
        <v>801</v>
      </c>
      <c r="D265" s="7">
        <v>676</v>
      </c>
      <c r="E265" s="7">
        <v>676</v>
      </c>
      <c r="F265" s="7">
        <v>160</v>
      </c>
      <c r="G265" s="8">
        <v>122368</v>
      </c>
    </row>
    <row r="266" spans="1:7">
      <c r="A266" s="8">
        <v>14125</v>
      </c>
      <c r="B266" s="7" t="s">
        <v>843</v>
      </c>
      <c r="C266" s="8">
        <v>801</v>
      </c>
      <c r="D266" s="7">
        <v>3182</v>
      </c>
      <c r="E266" s="7">
        <v>3182</v>
      </c>
      <c r="F266" s="7">
        <v>159</v>
      </c>
      <c r="G266" s="8">
        <v>123837</v>
      </c>
    </row>
    <row r="267" spans="1:7">
      <c r="A267" s="8">
        <v>14126</v>
      </c>
      <c r="B267" s="7" t="s">
        <v>998</v>
      </c>
      <c r="C267" s="8">
        <v>801</v>
      </c>
      <c r="D267" s="7">
        <v>3772</v>
      </c>
      <c r="E267" s="7">
        <v>3625</v>
      </c>
      <c r="F267" s="7">
        <v>115</v>
      </c>
      <c r="G267" s="8">
        <v>178683</v>
      </c>
    </row>
    <row r="268" spans="1:7">
      <c r="A268" s="8">
        <v>14136</v>
      </c>
      <c r="B268" s="7" t="s">
        <v>796</v>
      </c>
      <c r="C268" s="8">
        <v>801</v>
      </c>
      <c r="D268" s="7">
        <v>1800</v>
      </c>
      <c r="E268" s="7">
        <v>1800</v>
      </c>
      <c r="F268" s="7">
        <v>190</v>
      </c>
      <c r="G268" s="8">
        <v>86324</v>
      </c>
    </row>
    <row r="269" spans="1:7">
      <c r="A269" s="8">
        <v>14263</v>
      </c>
      <c r="B269" s="7" t="s">
        <v>254</v>
      </c>
      <c r="C269" s="8">
        <v>801</v>
      </c>
      <c r="D269" s="7">
        <v>40</v>
      </c>
      <c r="E269" s="7">
        <v>40</v>
      </c>
      <c r="F269" s="7">
        <v>292</v>
      </c>
      <c r="G269" s="8">
        <v>18530</v>
      </c>
    </row>
    <row r="270" spans="1:7">
      <c r="A270" s="8">
        <v>14263</v>
      </c>
      <c r="B270" s="7" t="s">
        <v>254</v>
      </c>
      <c r="C270" s="8">
        <v>802</v>
      </c>
      <c r="D270" s="7">
        <v>215</v>
      </c>
      <c r="E270" s="7">
        <v>215</v>
      </c>
      <c r="F270" s="7">
        <v>312</v>
      </c>
      <c r="G270" s="8">
        <v>12485</v>
      </c>
    </row>
    <row r="271" spans="1:7">
      <c r="A271" s="8">
        <v>14263</v>
      </c>
      <c r="B271" s="7" t="s">
        <v>254</v>
      </c>
      <c r="C271" s="8">
        <v>803</v>
      </c>
      <c r="D271" s="7">
        <v>385</v>
      </c>
      <c r="E271" s="7">
        <v>385</v>
      </c>
      <c r="F271" s="7">
        <v>316</v>
      </c>
      <c r="G271" s="8">
        <v>11306</v>
      </c>
    </row>
    <row r="272" spans="1:7">
      <c r="A272" s="8">
        <v>14263</v>
      </c>
      <c r="B272" s="7" t="s">
        <v>254</v>
      </c>
      <c r="C272" s="8">
        <v>804</v>
      </c>
      <c r="D272" s="7">
        <v>368</v>
      </c>
      <c r="E272" s="7">
        <v>368</v>
      </c>
      <c r="F272" s="7">
        <v>303</v>
      </c>
      <c r="G272" s="8">
        <v>15038</v>
      </c>
    </row>
    <row r="273" spans="1:7">
      <c r="A273" s="8">
        <v>14263</v>
      </c>
      <c r="B273" s="7" t="s">
        <v>254</v>
      </c>
      <c r="C273" s="8">
        <v>806</v>
      </c>
      <c r="D273" s="7">
        <v>10</v>
      </c>
      <c r="E273" s="7">
        <v>10</v>
      </c>
      <c r="F273" s="7">
        <v>326</v>
      </c>
      <c r="G273" s="8">
        <v>8842</v>
      </c>
    </row>
    <row r="274" spans="1:7">
      <c r="A274" s="8">
        <v>14263</v>
      </c>
      <c r="B274" s="7" t="s">
        <v>254</v>
      </c>
      <c r="C274" s="8">
        <v>807</v>
      </c>
      <c r="D274" s="7">
        <v>40</v>
      </c>
      <c r="E274" s="7">
        <v>40</v>
      </c>
      <c r="F274" s="7">
        <v>319</v>
      </c>
      <c r="G274" s="8">
        <v>10610</v>
      </c>
    </row>
    <row r="275" spans="1:7">
      <c r="A275" s="8">
        <v>14263</v>
      </c>
      <c r="B275" s="7" t="s">
        <v>254</v>
      </c>
      <c r="C275" s="8">
        <v>808</v>
      </c>
      <c r="D275" s="7">
        <v>20</v>
      </c>
      <c r="E275" s="7">
        <v>20</v>
      </c>
      <c r="F275" s="7">
        <v>239</v>
      </c>
      <c r="G275" s="8">
        <v>45725</v>
      </c>
    </row>
    <row r="276" spans="1:7">
      <c r="A276" s="8">
        <v>14263</v>
      </c>
      <c r="B276" s="7" t="s">
        <v>254</v>
      </c>
      <c r="C276" s="8">
        <v>810</v>
      </c>
      <c r="D276" s="7">
        <v>10</v>
      </c>
      <c r="E276" s="7">
        <v>10</v>
      </c>
      <c r="F276" s="7">
        <v>322</v>
      </c>
      <c r="G276" s="8">
        <v>9876</v>
      </c>
    </row>
    <row r="277" spans="1:7">
      <c r="A277" s="8">
        <v>14263</v>
      </c>
      <c r="B277" s="7" t="s">
        <v>254</v>
      </c>
      <c r="C277" s="8">
        <v>811</v>
      </c>
      <c r="D277" s="7">
        <v>47</v>
      </c>
      <c r="E277" s="7">
        <v>47</v>
      </c>
      <c r="F277" s="7">
        <v>290</v>
      </c>
      <c r="G277" s="8">
        <v>19383</v>
      </c>
    </row>
    <row r="278" spans="1:7">
      <c r="A278" s="8">
        <v>14265</v>
      </c>
      <c r="B278" s="7" t="s">
        <v>916</v>
      </c>
      <c r="C278" s="8">
        <v>801</v>
      </c>
      <c r="D278" s="7">
        <v>4240</v>
      </c>
      <c r="E278" s="7">
        <v>4240</v>
      </c>
      <c r="F278" s="7">
        <v>151</v>
      </c>
      <c r="G278" s="8">
        <v>134717</v>
      </c>
    </row>
    <row r="279" spans="1:7">
      <c r="A279" s="8">
        <v>14266</v>
      </c>
      <c r="B279" s="7" t="s">
        <v>890</v>
      </c>
      <c r="C279" s="8">
        <v>801</v>
      </c>
      <c r="D279" s="7">
        <v>3400</v>
      </c>
      <c r="E279" s="7">
        <v>3401</v>
      </c>
      <c r="F279" s="7">
        <v>139</v>
      </c>
      <c r="G279" s="8">
        <v>151450</v>
      </c>
    </row>
    <row r="280" spans="1:7">
      <c r="A280" s="8">
        <v>14266</v>
      </c>
      <c r="B280" s="7" t="s">
        <v>890</v>
      </c>
      <c r="C280" s="8">
        <v>802</v>
      </c>
      <c r="D280" s="7">
        <v>400</v>
      </c>
      <c r="E280" s="7">
        <v>400</v>
      </c>
      <c r="F280" s="7">
        <v>140</v>
      </c>
      <c r="G280" s="8">
        <v>149433</v>
      </c>
    </row>
    <row r="281" spans="1:7">
      <c r="A281" s="8">
        <v>14268</v>
      </c>
      <c r="B281" s="7" t="s">
        <v>970</v>
      </c>
      <c r="C281" s="8">
        <v>801</v>
      </c>
      <c r="D281" s="7">
        <v>1245</v>
      </c>
      <c r="E281" s="7">
        <v>1245</v>
      </c>
      <c r="F281" s="7">
        <v>141</v>
      </c>
      <c r="G281" s="8">
        <v>148431</v>
      </c>
    </row>
    <row r="282" spans="1:7">
      <c r="A282" s="8">
        <v>14268</v>
      </c>
      <c r="B282" s="7" t="s">
        <v>970</v>
      </c>
      <c r="C282" s="8">
        <v>802</v>
      </c>
      <c r="D282" s="7">
        <v>290</v>
      </c>
      <c r="E282" s="7">
        <v>290</v>
      </c>
      <c r="F282" s="7">
        <v>147</v>
      </c>
      <c r="G282" s="8">
        <v>139828</v>
      </c>
    </row>
    <row r="283" spans="1:7">
      <c r="A283" s="8">
        <v>14268</v>
      </c>
      <c r="B283" s="7" t="s">
        <v>970</v>
      </c>
      <c r="C283" s="8">
        <v>803</v>
      </c>
      <c r="D283" s="7">
        <v>95</v>
      </c>
      <c r="E283" s="7">
        <v>95</v>
      </c>
      <c r="F283" s="7">
        <v>139</v>
      </c>
      <c r="G283" s="8">
        <v>150646</v>
      </c>
    </row>
    <row r="284" spans="1:7">
      <c r="A284" s="8">
        <v>14268</v>
      </c>
      <c r="B284" s="7" t="s">
        <v>970</v>
      </c>
      <c r="C284" s="8">
        <v>804</v>
      </c>
      <c r="D284" s="7">
        <v>70</v>
      </c>
      <c r="E284" s="7">
        <v>70</v>
      </c>
      <c r="F284" s="7">
        <v>167</v>
      </c>
      <c r="G284" s="8">
        <v>113378</v>
      </c>
    </row>
    <row r="285" spans="1:7">
      <c r="A285" s="8">
        <v>14311</v>
      </c>
      <c r="B285" s="7" t="s">
        <v>654</v>
      </c>
      <c r="C285" s="8">
        <v>801</v>
      </c>
      <c r="D285" s="7">
        <v>37</v>
      </c>
      <c r="E285" s="7">
        <v>37</v>
      </c>
      <c r="F285" s="7">
        <v>226</v>
      </c>
      <c r="G285" s="8">
        <v>54757</v>
      </c>
    </row>
    <row r="286" spans="1:7">
      <c r="A286" s="8">
        <v>14311</v>
      </c>
      <c r="B286" s="7" t="s">
        <v>654</v>
      </c>
      <c r="C286" s="8">
        <v>802</v>
      </c>
      <c r="D286" s="7">
        <v>767</v>
      </c>
      <c r="E286" s="7">
        <v>767</v>
      </c>
      <c r="F286" s="7">
        <v>217</v>
      </c>
      <c r="G286" s="8">
        <v>62035</v>
      </c>
    </row>
    <row r="287" spans="1:7">
      <c r="A287" s="8">
        <v>14311</v>
      </c>
      <c r="B287" s="7" t="s">
        <v>654</v>
      </c>
      <c r="C287" s="8">
        <v>803</v>
      </c>
      <c r="D287" s="7">
        <v>125</v>
      </c>
      <c r="E287" s="7">
        <v>125</v>
      </c>
      <c r="F287" s="7">
        <v>199</v>
      </c>
      <c r="G287" s="8">
        <v>77734</v>
      </c>
    </row>
    <row r="288" spans="1:7">
      <c r="A288" s="8">
        <v>14311</v>
      </c>
      <c r="B288" s="7" t="s">
        <v>654</v>
      </c>
      <c r="C288" s="8">
        <v>804</v>
      </c>
      <c r="D288" s="7">
        <v>130</v>
      </c>
      <c r="E288" s="7">
        <v>130</v>
      </c>
      <c r="F288" s="7">
        <v>212</v>
      </c>
      <c r="G288" s="8">
        <v>65815</v>
      </c>
    </row>
    <row r="289" spans="1:7">
      <c r="A289" s="8">
        <v>14362</v>
      </c>
      <c r="B289" s="7" t="s">
        <v>1006</v>
      </c>
      <c r="C289" s="8">
        <v>801</v>
      </c>
      <c r="D289" s="7">
        <v>1199</v>
      </c>
      <c r="E289" s="7">
        <v>1200</v>
      </c>
      <c r="F289" s="7">
        <v>135</v>
      </c>
      <c r="G289" s="8">
        <v>156722</v>
      </c>
    </row>
    <row r="290" spans="1:7">
      <c r="A290" s="8">
        <v>14363</v>
      </c>
      <c r="B290" s="7" t="s">
        <v>942</v>
      </c>
      <c r="C290" s="8">
        <v>801</v>
      </c>
      <c r="D290" s="7">
        <v>1345</v>
      </c>
      <c r="E290" s="7">
        <v>1345</v>
      </c>
      <c r="F290" s="7">
        <v>162</v>
      </c>
      <c r="G290" s="8">
        <v>119188</v>
      </c>
    </row>
    <row r="291" spans="1:7">
      <c r="A291" s="8">
        <v>14363</v>
      </c>
      <c r="B291" s="7" t="s">
        <v>942</v>
      </c>
      <c r="C291" s="8">
        <v>802</v>
      </c>
      <c r="D291" s="7">
        <v>20</v>
      </c>
      <c r="E291" s="7">
        <v>20</v>
      </c>
      <c r="F291" s="7">
        <v>172</v>
      </c>
      <c r="G291" s="8">
        <v>106457</v>
      </c>
    </row>
    <row r="292" spans="1:7">
      <c r="A292" s="8">
        <v>14407</v>
      </c>
      <c r="B292" s="7" t="s">
        <v>701</v>
      </c>
      <c r="C292" s="8">
        <v>801</v>
      </c>
      <c r="D292" s="7">
        <v>269</v>
      </c>
      <c r="E292" s="7">
        <v>269</v>
      </c>
      <c r="F292" s="7">
        <v>194</v>
      </c>
      <c r="G292" s="8">
        <v>82277</v>
      </c>
    </row>
    <row r="293" spans="1:7">
      <c r="A293" s="8">
        <v>14407</v>
      </c>
      <c r="B293" s="7" t="s">
        <v>701</v>
      </c>
      <c r="C293" s="8">
        <v>802</v>
      </c>
      <c r="D293" s="7">
        <v>80</v>
      </c>
      <c r="E293" s="7">
        <v>80</v>
      </c>
      <c r="F293" s="7">
        <v>220</v>
      </c>
      <c r="G293" s="8">
        <v>59401</v>
      </c>
    </row>
    <row r="294" spans="1:7">
      <c r="A294" s="8">
        <v>14407</v>
      </c>
      <c r="B294" s="7" t="s">
        <v>701</v>
      </c>
      <c r="C294" s="8">
        <v>803</v>
      </c>
      <c r="D294" s="7">
        <v>100</v>
      </c>
      <c r="E294" s="7">
        <v>100</v>
      </c>
      <c r="F294" s="7">
        <v>216</v>
      </c>
      <c r="G294" s="8">
        <v>62692</v>
      </c>
    </row>
    <row r="295" spans="1:7">
      <c r="A295" s="8">
        <v>14407</v>
      </c>
      <c r="B295" s="7" t="s">
        <v>701</v>
      </c>
      <c r="C295" s="8">
        <v>804</v>
      </c>
      <c r="D295" s="7">
        <v>15</v>
      </c>
      <c r="E295" s="7">
        <v>15</v>
      </c>
      <c r="F295" s="7">
        <v>211</v>
      </c>
      <c r="G295" s="8">
        <v>67052</v>
      </c>
    </row>
    <row r="296" spans="1:7">
      <c r="A296" s="8">
        <v>14408</v>
      </c>
      <c r="B296" s="7" t="s">
        <v>328</v>
      </c>
      <c r="C296" s="8">
        <v>801</v>
      </c>
      <c r="D296" s="7">
        <v>330</v>
      </c>
      <c r="E296" s="7">
        <v>330</v>
      </c>
      <c r="F296" s="7">
        <v>224</v>
      </c>
      <c r="G296" s="8">
        <v>56335</v>
      </c>
    </row>
    <row r="297" spans="1:7">
      <c r="A297" s="8">
        <v>14408</v>
      </c>
      <c r="B297" s="7" t="s">
        <v>328</v>
      </c>
      <c r="C297" s="8">
        <v>802</v>
      </c>
      <c r="D297" s="7">
        <v>885</v>
      </c>
      <c r="E297" s="7">
        <v>885</v>
      </c>
      <c r="F297" s="7">
        <v>202</v>
      </c>
      <c r="G297" s="8">
        <v>74322</v>
      </c>
    </row>
    <row r="298" spans="1:7">
      <c r="A298" s="8">
        <v>14427</v>
      </c>
      <c r="B298" s="7" t="s">
        <v>924</v>
      </c>
      <c r="C298" s="8">
        <v>801</v>
      </c>
      <c r="D298" s="7">
        <v>460</v>
      </c>
      <c r="E298" s="7">
        <v>460</v>
      </c>
      <c r="F298" s="7">
        <v>168</v>
      </c>
      <c r="G298" s="8">
        <v>111631</v>
      </c>
    </row>
    <row r="299" spans="1:7">
      <c r="A299" s="8">
        <v>14509</v>
      </c>
      <c r="B299" s="7" t="s">
        <v>490</v>
      </c>
      <c r="C299" s="8">
        <v>801</v>
      </c>
      <c r="D299" s="7">
        <v>925</v>
      </c>
      <c r="E299" s="7">
        <v>925</v>
      </c>
      <c r="F299" s="7">
        <v>211</v>
      </c>
      <c r="G299" s="8">
        <v>67197</v>
      </c>
    </row>
    <row r="300" spans="1:7">
      <c r="A300" s="8">
        <v>14509</v>
      </c>
      <c r="B300" s="7" t="s">
        <v>490</v>
      </c>
      <c r="C300" s="8">
        <v>802</v>
      </c>
      <c r="D300" s="7">
        <v>141</v>
      </c>
      <c r="E300" s="7">
        <v>141</v>
      </c>
      <c r="F300" s="7">
        <v>215</v>
      </c>
      <c r="G300" s="8">
        <v>63781</v>
      </c>
    </row>
    <row r="301" spans="1:7">
      <c r="A301" s="8">
        <v>14509</v>
      </c>
      <c r="B301" s="7" t="s">
        <v>490</v>
      </c>
      <c r="C301" s="8">
        <v>803</v>
      </c>
      <c r="D301" s="7">
        <v>350</v>
      </c>
      <c r="E301" s="7">
        <v>350</v>
      </c>
      <c r="F301" s="7">
        <v>217</v>
      </c>
      <c r="G301" s="8">
        <v>61664</v>
      </c>
    </row>
    <row r="302" spans="1:7">
      <c r="A302" s="8">
        <v>14509</v>
      </c>
      <c r="B302" s="7" t="s">
        <v>490</v>
      </c>
      <c r="C302" s="8">
        <v>804</v>
      </c>
      <c r="D302" s="7">
        <v>309</v>
      </c>
      <c r="E302" s="7">
        <v>309</v>
      </c>
      <c r="F302" s="7">
        <v>224</v>
      </c>
      <c r="G302" s="8">
        <v>56598</v>
      </c>
    </row>
    <row r="303" spans="1:7">
      <c r="A303" s="8">
        <v>14509</v>
      </c>
      <c r="B303" s="7" t="s">
        <v>490</v>
      </c>
      <c r="C303" s="8">
        <v>805</v>
      </c>
      <c r="D303" s="7">
        <v>432</v>
      </c>
      <c r="E303" s="7">
        <v>432</v>
      </c>
      <c r="F303" s="7">
        <v>218</v>
      </c>
      <c r="G303" s="8">
        <v>61415</v>
      </c>
    </row>
    <row r="304" spans="1:7">
      <c r="A304" s="8">
        <v>14510</v>
      </c>
      <c r="B304" s="7" t="s">
        <v>609</v>
      </c>
      <c r="C304" s="8">
        <v>801</v>
      </c>
      <c r="D304" s="7">
        <v>995</v>
      </c>
      <c r="E304" s="7">
        <v>995</v>
      </c>
      <c r="F304" s="7">
        <v>215</v>
      </c>
      <c r="G304" s="8">
        <v>63704</v>
      </c>
    </row>
    <row r="305" spans="1:7">
      <c r="A305" s="8">
        <v>14511</v>
      </c>
      <c r="B305" s="7" t="s">
        <v>990</v>
      </c>
      <c r="C305" s="8">
        <v>801</v>
      </c>
      <c r="D305" s="7">
        <v>2110</v>
      </c>
      <c r="E305" s="7">
        <v>1654</v>
      </c>
      <c r="F305" s="7">
        <v>115</v>
      </c>
      <c r="G305" s="8">
        <v>178677</v>
      </c>
    </row>
    <row r="306" spans="1:7">
      <c r="A306" s="8">
        <v>14556</v>
      </c>
      <c r="B306" s="7" t="s">
        <v>319</v>
      </c>
      <c r="C306" s="8">
        <v>801</v>
      </c>
      <c r="D306" s="7">
        <v>910</v>
      </c>
      <c r="E306" s="7">
        <v>910</v>
      </c>
      <c r="F306" s="7">
        <v>218</v>
      </c>
      <c r="G306" s="8">
        <v>61368</v>
      </c>
    </row>
    <row r="307" spans="1:7">
      <c r="A307" s="8">
        <v>14556</v>
      </c>
      <c r="B307" s="7" t="s">
        <v>319</v>
      </c>
      <c r="C307" s="8">
        <v>802</v>
      </c>
      <c r="D307" s="7">
        <v>20</v>
      </c>
      <c r="E307" s="7">
        <v>20</v>
      </c>
      <c r="F307" s="7">
        <v>207</v>
      </c>
      <c r="G307" s="8">
        <v>70602</v>
      </c>
    </row>
    <row r="308" spans="1:7">
      <c r="A308" s="8">
        <v>14572</v>
      </c>
      <c r="B308" s="7" t="s">
        <v>1015</v>
      </c>
      <c r="C308" s="8">
        <v>801</v>
      </c>
      <c r="D308" s="7">
        <v>2760</v>
      </c>
      <c r="E308" s="7">
        <v>1852</v>
      </c>
      <c r="F308" s="7">
        <v>115</v>
      </c>
      <c r="G308" s="8">
        <v>178683</v>
      </c>
    </row>
    <row r="309" spans="1:7">
      <c r="A309" s="8">
        <v>14587</v>
      </c>
      <c r="B309" s="7" t="s">
        <v>757</v>
      </c>
      <c r="C309" s="8">
        <v>801</v>
      </c>
      <c r="D309" s="7">
        <v>51</v>
      </c>
      <c r="E309" s="7">
        <v>51</v>
      </c>
      <c r="F309" s="7">
        <v>225</v>
      </c>
      <c r="G309" s="8">
        <v>55198</v>
      </c>
    </row>
    <row r="310" spans="1:7">
      <c r="A310" s="8">
        <v>14587</v>
      </c>
      <c r="B310" s="7" t="s">
        <v>757</v>
      </c>
      <c r="C310" s="8">
        <v>802</v>
      </c>
      <c r="D310" s="7">
        <v>40</v>
      </c>
      <c r="E310" s="7">
        <v>40</v>
      </c>
      <c r="F310" s="7">
        <v>218</v>
      </c>
      <c r="G310" s="8">
        <v>61094</v>
      </c>
    </row>
    <row r="311" spans="1:7">
      <c r="A311" s="8">
        <v>14587</v>
      </c>
      <c r="B311" s="7" t="s">
        <v>757</v>
      </c>
      <c r="C311" s="8">
        <v>803</v>
      </c>
      <c r="D311" s="7">
        <v>38</v>
      </c>
      <c r="E311" s="7">
        <v>38</v>
      </c>
      <c r="F311" s="7">
        <v>191</v>
      </c>
      <c r="G311" s="8">
        <v>84811</v>
      </c>
    </row>
    <row r="312" spans="1:7">
      <c r="A312" s="8">
        <v>14587</v>
      </c>
      <c r="B312" s="7" t="s">
        <v>757</v>
      </c>
      <c r="C312" s="8">
        <v>804</v>
      </c>
      <c r="D312" s="7">
        <v>22</v>
      </c>
      <c r="E312" s="7">
        <v>22</v>
      </c>
      <c r="F312" s="7">
        <v>215</v>
      </c>
      <c r="G312" s="8">
        <v>63180</v>
      </c>
    </row>
    <row r="313" spans="1:7">
      <c r="A313" s="8">
        <v>14587</v>
      </c>
      <c r="B313" s="7" t="s">
        <v>757</v>
      </c>
      <c r="C313" s="8">
        <v>805</v>
      </c>
      <c r="D313" s="7">
        <v>54</v>
      </c>
      <c r="E313" s="7">
        <v>54</v>
      </c>
      <c r="F313" s="7">
        <v>248</v>
      </c>
      <c r="G313" s="8">
        <v>39491</v>
      </c>
    </row>
    <row r="314" spans="1:7">
      <c r="A314" s="8">
        <v>14587</v>
      </c>
      <c r="B314" s="7" t="s">
        <v>757</v>
      </c>
      <c r="C314" s="8">
        <v>806</v>
      </c>
      <c r="D314" s="7">
        <v>15</v>
      </c>
      <c r="E314" s="7">
        <v>15</v>
      </c>
      <c r="F314" s="7">
        <v>219</v>
      </c>
      <c r="G314" s="8">
        <v>60174</v>
      </c>
    </row>
    <row r="315" spans="1:7">
      <c r="A315" s="8">
        <v>14587</v>
      </c>
      <c r="B315" s="7" t="s">
        <v>757</v>
      </c>
      <c r="C315" s="8">
        <v>807</v>
      </c>
      <c r="D315" s="7">
        <v>10</v>
      </c>
      <c r="E315" s="7">
        <v>10</v>
      </c>
      <c r="F315" s="7">
        <v>197</v>
      </c>
      <c r="G315" s="8">
        <v>79490</v>
      </c>
    </row>
    <row r="316" spans="1:7">
      <c r="A316" s="8">
        <v>14587</v>
      </c>
      <c r="B316" s="7" t="s">
        <v>757</v>
      </c>
      <c r="C316" s="8">
        <v>808</v>
      </c>
      <c r="D316" s="7">
        <v>244</v>
      </c>
      <c r="E316" s="7">
        <v>244</v>
      </c>
      <c r="F316" s="7">
        <v>199</v>
      </c>
      <c r="G316" s="8">
        <v>77044</v>
      </c>
    </row>
    <row r="317" spans="1:7">
      <c r="A317" s="8">
        <v>14587</v>
      </c>
      <c r="B317" s="7" t="s">
        <v>757</v>
      </c>
      <c r="C317" s="8">
        <v>809</v>
      </c>
      <c r="D317" s="7">
        <v>38</v>
      </c>
      <c r="E317" s="7">
        <v>38</v>
      </c>
      <c r="F317" s="7">
        <v>204</v>
      </c>
      <c r="G317" s="8">
        <v>73018</v>
      </c>
    </row>
    <row r="318" spans="1:7">
      <c r="A318" s="8">
        <v>14587</v>
      </c>
      <c r="B318" s="7" t="s">
        <v>757</v>
      </c>
      <c r="C318" s="8">
        <v>810</v>
      </c>
      <c r="D318" s="7">
        <v>31</v>
      </c>
      <c r="E318" s="7">
        <v>31</v>
      </c>
      <c r="F318" s="7">
        <v>225</v>
      </c>
      <c r="G318" s="8">
        <v>55733</v>
      </c>
    </row>
    <row r="319" spans="1:7">
      <c r="A319" s="8">
        <v>14587</v>
      </c>
      <c r="B319" s="7" t="s">
        <v>757</v>
      </c>
      <c r="C319" s="8">
        <v>811</v>
      </c>
      <c r="D319" s="7">
        <v>18</v>
      </c>
      <c r="E319" s="7">
        <v>18</v>
      </c>
      <c r="F319" s="7">
        <v>197</v>
      </c>
      <c r="G319" s="8">
        <v>79616</v>
      </c>
    </row>
    <row r="320" spans="1:7">
      <c r="A320" s="8">
        <v>14587</v>
      </c>
      <c r="B320" s="7" t="s">
        <v>757</v>
      </c>
      <c r="C320" s="8">
        <v>812</v>
      </c>
      <c r="D320" s="7">
        <v>52</v>
      </c>
      <c r="E320" s="7">
        <v>52</v>
      </c>
      <c r="F320" s="7">
        <v>180</v>
      </c>
      <c r="G320" s="8">
        <v>96819</v>
      </c>
    </row>
    <row r="321" spans="1:7">
      <c r="A321" s="8">
        <v>14587</v>
      </c>
      <c r="B321" s="7" t="s">
        <v>757</v>
      </c>
      <c r="C321" s="8">
        <v>813</v>
      </c>
      <c r="D321" s="7">
        <v>58</v>
      </c>
      <c r="E321" s="7">
        <v>58</v>
      </c>
      <c r="F321" s="7">
        <v>189</v>
      </c>
      <c r="G321" s="8">
        <v>87430</v>
      </c>
    </row>
    <row r="322" spans="1:7">
      <c r="A322" s="8">
        <v>14587</v>
      </c>
      <c r="B322" s="7" t="s">
        <v>757</v>
      </c>
      <c r="C322" s="8">
        <v>814</v>
      </c>
      <c r="D322" s="7">
        <v>35</v>
      </c>
      <c r="E322" s="7">
        <v>35</v>
      </c>
      <c r="F322" s="7">
        <v>175</v>
      </c>
      <c r="G322" s="8">
        <v>102777</v>
      </c>
    </row>
    <row r="323" spans="1:7">
      <c r="A323" s="8">
        <v>14587</v>
      </c>
      <c r="B323" s="7" t="s">
        <v>757</v>
      </c>
      <c r="C323" s="8">
        <v>815</v>
      </c>
      <c r="D323" s="7">
        <v>43</v>
      </c>
      <c r="E323" s="7">
        <v>43</v>
      </c>
      <c r="F323" s="7">
        <v>189</v>
      </c>
      <c r="G323" s="8">
        <v>87845</v>
      </c>
    </row>
    <row r="324" spans="1:7">
      <c r="A324" s="8">
        <v>14587</v>
      </c>
      <c r="B324" s="7" t="s">
        <v>757</v>
      </c>
      <c r="C324" s="8">
        <v>816</v>
      </c>
      <c r="D324" s="7">
        <v>6</v>
      </c>
      <c r="E324" s="7">
        <v>6</v>
      </c>
      <c r="F324" s="7">
        <v>204</v>
      </c>
      <c r="G324" s="8">
        <v>72996</v>
      </c>
    </row>
    <row r="325" spans="1:7">
      <c r="A325" s="8">
        <v>14592</v>
      </c>
      <c r="B325" s="7" t="s">
        <v>246</v>
      </c>
      <c r="C325" s="8">
        <v>802</v>
      </c>
      <c r="D325" s="7">
        <v>301</v>
      </c>
      <c r="E325" s="7">
        <v>301</v>
      </c>
      <c r="F325" s="7">
        <v>266</v>
      </c>
      <c r="G325" s="8">
        <v>29858</v>
      </c>
    </row>
    <row r="326" spans="1:7">
      <c r="A326" s="8">
        <v>14592</v>
      </c>
      <c r="B326" s="7" t="s">
        <v>246</v>
      </c>
      <c r="C326" s="8">
        <v>803</v>
      </c>
      <c r="D326" s="7">
        <v>55</v>
      </c>
      <c r="E326" s="7">
        <v>55</v>
      </c>
      <c r="F326" s="7">
        <v>285</v>
      </c>
      <c r="G326" s="8">
        <v>21155</v>
      </c>
    </row>
    <row r="327" spans="1:7">
      <c r="A327" s="8">
        <v>14592</v>
      </c>
      <c r="B327" s="7" t="s">
        <v>246</v>
      </c>
      <c r="C327" s="8">
        <v>804</v>
      </c>
      <c r="D327" s="7">
        <v>146</v>
      </c>
      <c r="E327" s="7">
        <v>139</v>
      </c>
      <c r="F327" s="7">
        <v>125</v>
      </c>
      <c r="G327" s="8">
        <v>168760</v>
      </c>
    </row>
    <row r="328" spans="1:7">
      <c r="A328" s="8">
        <v>14592</v>
      </c>
      <c r="B328" s="7" t="s">
        <v>246</v>
      </c>
      <c r="C328" s="8">
        <v>805</v>
      </c>
      <c r="D328" s="7">
        <v>180</v>
      </c>
      <c r="E328" s="7">
        <v>180</v>
      </c>
      <c r="F328" s="7">
        <v>194</v>
      </c>
      <c r="G328" s="8">
        <v>82296</v>
      </c>
    </row>
    <row r="329" spans="1:7">
      <c r="A329" s="8">
        <v>14609</v>
      </c>
      <c r="B329" s="7" t="s">
        <v>591</v>
      </c>
      <c r="C329" s="8">
        <v>801</v>
      </c>
      <c r="D329" s="7">
        <v>650</v>
      </c>
      <c r="E329" s="7">
        <v>650</v>
      </c>
      <c r="F329" s="7">
        <v>225</v>
      </c>
      <c r="G329" s="8">
        <v>55639</v>
      </c>
    </row>
    <row r="330" spans="1:7">
      <c r="A330" s="8">
        <v>14610</v>
      </c>
      <c r="B330" s="7" t="s">
        <v>510</v>
      </c>
      <c r="C330" s="8">
        <v>801</v>
      </c>
      <c r="D330" s="7">
        <v>760</v>
      </c>
      <c r="E330" s="7">
        <v>760</v>
      </c>
      <c r="F330" s="7">
        <v>241</v>
      </c>
      <c r="G330" s="8">
        <v>44419</v>
      </c>
    </row>
    <row r="331" spans="1:7">
      <c r="A331" s="8">
        <v>14638</v>
      </c>
      <c r="B331" s="7" t="s">
        <v>674</v>
      </c>
      <c r="C331" s="8">
        <v>801</v>
      </c>
      <c r="D331" s="7">
        <v>250</v>
      </c>
      <c r="E331" s="7">
        <v>250</v>
      </c>
      <c r="F331" s="7">
        <v>210</v>
      </c>
      <c r="G331" s="8">
        <v>67835</v>
      </c>
    </row>
    <row r="332" spans="1:7">
      <c r="A332" s="8">
        <v>14638</v>
      </c>
      <c r="B332" s="7" t="s">
        <v>674</v>
      </c>
      <c r="C332" s="8">
        <v>802</v>
      </c>
      <c r="D332" s="7">
        <v>723</v>
      </c>
      <c r="E332" s="7">
        <v>723</v>
      </c>
      <c r="F332" s="7">
        <v>202</v>
      </c>
      <c r="G332" s="8">
        <v>74950</v>
      </c>
    </row>
    <row r="333" spans="1:7">
      <c r="A333" s="8">
        <v>14664</v>
      </c>
      <c r="B333" s="7" t="s">
        <v>438</v>
      </c>
      <c r="C333" s="8">
        <v>801</v>
      </c>
      <c r="D333" s="7">
        <v>50</v>
      </c>
      <c r="E333" s="7">
        <v>50</v>
      </c>
      <c r="F333" s="7">
        <v>237</v>
      </c>
      <c r="G333" s="8">
        <v>46850</v>
      </c>
    </row>
    <row r="334" spans="1:7">
      <c r="A334" s="8">
        <v>14664</v>
      </c>
      <c r="B334" s="7" t="s">
        <v>438</v>
      </c>
      <c r="C334" s="8">
        <v>802</v>
      </c>
      <c r="D334" s="7">
        <v>53</v>
      </c>
      <c r="E334" s="7">
        <v>53</v>
      </c>
      <c r="F334" s="7">
        <v>205</v>
      </c>
      <c r="G334" s="8">
        <v>72072</v>
      </c>
    </row>
    <row r="335" spans="1:7">
      <c r="A335" s="8">
        <v>14664</v>
      </c>
      <c r="B335" s="7" t="s">
        <v>438</v>
      </c>
      <c r="C335" s="8">
        <v>803</v>
      </c>
      <c r="D335" s="7">
        <v>40</v>
      </c>
      <c r="E335" s="7">
        <v>40</v>
      </c>
      <c r="F335" s="7">
        <v>214</v>
      </c>
      <c r="G335" s="8">
        <v>64083</v>
      </c>
    </row>
    <row r="336" spans="1:7">
      <c r="A336" s="8">
        <v>14664</v>
      </c>
      <c r="B336" s="7" t="s">
        <v>438</v>
      </c>
      <c r="C336" s="8">
        <v>804</v>
      </c>
      <c r="D336" s="7">
        <v>68</v>
      </c>
      <c r="E336" s="7">
        <v>68</v>
      </c>
      <c r="F336" s="7">
        <v>207</v>
      </c>
      <c r="G336" s="8">
        <v>70167</v>
      </c>
    </row>
    <row r="337" spans="1:7">
      <c r="A337" s="8">
        <v>14667</v>
      </c>
      <c r="B337" s="7" t="s">
        <v>626</v>
      </c>
      <c r="C337" s="8">
        <v>801</v>
      </c>
      <c r="D337" s="7">
        <v>667</v>
      </c>
      <c r="E337" s="7">
        <v>667</v>
      </c>
      <c r="F337" s="7">
        <v>226</v>
      </c>
      <c r="G337" s="8">
        <v>55073</v>
      </c>
    </row>
    <row r="338" spans="1:7">
      <c r="A338" s="8">
        <v>14667</v>
      </c>
      <c r="B338" s="7" t="s">
        <v>626</v>
      </c>
      <c r="C338" s="8">
        <v>802</v>
      </c>
      <c r="D338" s="7">
        <v>315</v>
      </c>
      <c r="E338" s="7">
        <v>315</v>
      </c>
      <c r="F338" s="7">
        <v>225</v>
      </c>
      <c r="G338" s="8">
        <v>55882</v>
      </c>
    </row>
    <row r="339" spans="1:7">
      <c r="A339" s="8">
        <v>14667</v>
      </c>
      <c r="B339" s="7" t="s">
        <v>626</v>
      </c>
      <c r="C339" s="8">
        <v>804</v>
      </c>
      <c r="D339" s="7">
        <v>82</v>
      </c>
      <c r="E339" s="7">
        <v>82</v>
      </c>
      <c r="F339" s="7">
        <v>227</v>
      </c>
      <c r="G339" s="8">
        <v>53929</v>
      </c>
    </row>
    <row r="340" spans="1:7">
      <c r="A340" s="8">
        <v>14667</v>
      </c>
      <c r="B340" s="7" t="s">
        <v>626</v>
      </c>
      <c r="C340" s="8">
        <v>805</v>
      </c>
      <c r="D340" s="7">
        <v>41</v>
      </c>
      <c r="E340" s="7">
        <v>41</v>
      </c>
      <c r="F340" s="7">
        <v>221</v>
      </c>
      <c r="G340" s="8">
        <v>58949</v>
      </c>
    </row>
    <row r="341" spans="1:7">
      <c r="A341" s="8">
        <v>14667</v>
      </c>
      <c r="B341" s="7" t="s">
        <v>626</v>
      </c>
      <c r="C341" s="8">
        <v>806</v>
      </c>
      <c r="D341" s="7">
        <v>107</v>
      </c>
      <c r="E341" s="7">
        <v>107</v>
      </c>
      <c r="F341" s="7">
        <v>232</v>
      </c>
      <c r="G341" s="8">
        <v>50200</v>
      </c>
    </row>
    <row r="342" spans="1:7">
      <c r="A342" s="8">
        <v>14756</v>
      </c>
      <c r="B342" s="7" t="s">
        <v>519</v>
      </c>
      <c r="C342" s="8">
        <v>801</v>
      </c>
      <c r="D342" s="7">
        <v>255</v>
      </c>
      <c r="E342" s="7">
        <v>255</v>
      </c>
      <c r="F342" s="7">
        <v>274</v>
      </c>
      <c r="G342" s="8">
        <v>25853</v>
      </c>
    </row>
    <row r="343" spans="1:7">
      <c r="A343" s="8">
        <v>14756</v>
      </c>
      <c r="B343" s="7" t="s">
        <v>519</v>
      </c>
      <c r="C343" s="8">
        <v>802</v>
      </c>
      <c r="D343" s="7">
        <v>100</v>
      </c>
      <c r="E343" s="7">
        <v>100</v>
      </c>
      <c r="F343" s="7">
        <v>246</v>
      </c>
      <c r="G343" s="8">
        <v>41002</v>
      </c>
    </row>
    <row r="344" spans="1:7">
      <c r="A344" s="8">
        <v>14756</v>
      </c>
      <c r="B344" s="7" t="s">
        <v>519</v>
      </c>
      <c r="C344" s="8">
        <v>803</v>
      </c>
      <c r="D344" s="7">
        <v>50</v>
      </c>
      <c r="E344" s="7">
        <v>50</v>
      </c>
      <c r="F344" s="7">
        <v>268</v>
      </c>
      <c r="G344" s="8">
        <v>28980</v>
      </c>
    </row>
    <row r="345" spans="1:7">
      <c r="A345" s="8">
        <v>14756</v>
      </c>
      <c r="B345" s="7" t="s">
        <v>519</v>
      </c>
      <c r="C345" s="8">
        <v>804</v>
      </c>
      <c r="D345" s="7">
        <v>50</v>
      </c>
      <c r="E345" s="7">
        <v>50</v>
      </c>
      <c r="F345" s="7">
        <v>250</v>
      </c>
      <c r="G345" s="8">
        <v>38248</v>
      </c>
    </row>
    <row r="346" spans="1:7">
      <c r="A346" s="8">
        <v>14756</v>
      </c>
      <c r="B346" s="7" t="s">
        <v>519</v>
      </c>
      <c r="C346" s="8">
        <v>805</v>
      </c>
      <c r="D346" s="7">
        <v>20</v>
      </c>
      <c r="E346" s="7">
        <v>20</v>
      </c>
      <c r="F346" s="7">
        <v>274</v>
      </c>
      <c r="G346" s="8">
        <v>25837</v>
      </c>
    </row>
    <row r="347" spans="1:7">
      <c r="A347" s="8">
        <v>14756</v>
      </c>
      <c r="B347" s="7" t="s">
        <v>519</v>
      </c>
      <c r="C347" s="8">
        <v>806</v>
      </c>
      <c r="D347" s="7">
        <v>50</v>
      </c>
      <c r="E347" s="7">
        <v>50</v>
      </c>
      <c r="F347" s="7">
        <v>204</v>
      </c>
      <c r="G347" s="8">
        <v>72898</v>
      </c>
    </row>
    <row r="348" spans="1:7">
      <c r="A348" s="8">
        <v>14757</v>
      </c>
      <c r="B348" s="7" t="s">
        <v>749</v>
      </c>
      <c r="C348" s="8">
        <v>801</v>
      </c>
      <c r="D348" s="7">
        <v>100</v>
      </c>
      <c r="E348" s="7">
        <v>100</v>
      </c>
      <c r="F348" s="7">
        <v>257</v>
      </c>
      <c r="G348" s="8">
        <v>34605</v>
      </c>
    </row>
    <row r="349" spans="1:7">
      <c r="A349" s="8">
        <v>14757</v>
      </c>
      <c r="B349" s="7" t="s">
        <v>749</v>
      </c>
      <c r="C349" s="8">
        <v>802</v>
      </c>
      <c r="D349" s="7">
        <v>58</v>
      </c>
      <c r="E349" s="7">
        <v>58</v>
      </c>
      <c r="F349" s="7">
        <v>170</v>
      </c>
      <c r="G349" s="8">
        <v>108951</v>
      </c>
    </row>
    <row r="350" spans="1:7">
      <c r="A350" s="8">
        <v>14757</v>
      </c>
      <c r="B350" s="7" t="s">
        <v>749</v>
      </c>
      <c r="C350" s="8">
        <v>803</v>
      </c>
      <c r="D350" s="7">
        <v>10</v>
      </c>
      <c r="E350" s="7">
        <v>10</v>
      </c>
      <c r="F350" s="7">
        <v>219</v>
      </c>
      <c r="G350" s="8">
        <v>60008</v>
      </c>
    </row>
    <row r="351" spans="1:7">
      <c r="A351" s="8">
        <v>14757</v>
      </c>
      <c r="B351" s="7" t="s">
        <v>749</v>
      </c>
      <c r="C351" s="8">
        <v>804</v>
      </c>
      <c r="D351" s="7">
        <v>66</v>
      </c>
      <c r="E351" s="7">
        <v>66</v>
      </c>
      <c r="F351" s="7">
        <v>195</v>
      </c>
      <c r="G351" s="8">
        <v>81766</v>
      </c>
    </row>
    <row r="352" spans="1:7">
      <c r="A352" s="8">
        <v>14758</v>
      </c>
      <c r="B352" s="7" t="s">
        <v>682</v>
      </c>
      <c r="C352" s="8">
        <v>801</v>
      </c>
      <c r="D352" s="7">
        <v>202</v>
      </c>
      <c r="E352" s="7">
        <v>202</v>
      </c>
      <c r="F352" s="7">
        <v>213</v>
      </c>
      <c r="G352" s="8">
        <v>65195</v>
      </c>
    </row>
    <row r="353" spans="1:7">
      <c r="A353" s="8">
        <v>14758</v>
      </c>
      <c r="B353" s="7" t="s">
        <v>682</v>
      </c>
      <c r="C353" s="8">
        <v>802</v>
      </c>
      <c r="D353" s="7">
        <v>198</v>
      </c>
      <c r="E353" s="7">
        <v>198</v>
      </c>
      <c r="F353" s="7">
        <v>215</v>
      </c>
      <c r="G353" s="8">
        <v>63453</v>
      </c>
    </row>
    <row r="354" spans="1:7">
      <c r="A354" s="8">
        <v>14758</v>
      </c>
      <c r="B354" s="7" t="s">
        <v>682</v>
      </c>
      <c r="C354" s="8">
        <v>803</v>
      </c>
      <c r="D354" s="7">
        <v>200</v>
      </c>
      <c r="E354" s="7">
        <v>200</v>
      </c>
      <c r="F354" s="7">
        <v>212</v>
      </c>
      <c r="G354" s="8">
        <v>66005</v>
      </c>
    </row>
    <row r="355" spans="1:7">
      <c r="A355" s="8">
        <v>14758</v>
      </c>
      <c r="B355" s="7" t="s">
        <v>682</v>
      </c>
      <c r="C355" s="8">
        <v>804</v>
      </c>
      <c r="D355" s="7">
        <v>200</v>
      </c>
      <c r="E355" s="7">
        <v>200</v>
      </c>
      <c r="F355" s="7">
        <v>212</v>
      </c>
      <c r="G355" s="8">
        <v>66259</v>
      </c>
    </row>
    <row r="356" spans="1:7">
      <c r="A356" s="8">
        <v>14758</v>
      </c>
      <c r="B356" s="7" t="s">
        <v>682</v>
      </c>
      <c r="C356" s="8">
        <v>805</v>
      </c>
      <c r="D356" s="7">
        <v>200</v>
      </c>
      <c r="E356" s="7">
        <v>200</v>
      </c>
      <c r="F356" s="7">
        <v>208</v>
      </c>
      <c r="G356" s="8">
        <v>69188</v>
      </c>
    </row>
    <row r="357" spans="1:7">
      <c r="A357" s="8">
        <v>14759</v>
      </c>
      <c r="B357" s="7" t="s">
        <v>552</v>
      </c>
      <c r="C357" s="8">
        <v>801</v>
      </c>
      <c r="D357" s="7">
        <v>492</v>
      </c>
      <c r="E357" s="7">
        <v>492</v>
      </c>
      <c r="F357" s="7">
        <v>234</v>
      </c>
      <c r="G357" s="8">
        <v>49151</v>
      </c>
    </row>
    <row r="358" spans="1:7">
      <c r="A358" s="8">
        <v>14760</v>
      </c>
      <c r="B358" s="7" t="s">
        <v>544</v>
      </c>
      <c r="C358" s="8">
        <v>801</v>
      </c>
      <c r="D358" s="7">
        <v>462</v>
      </c>
      <c r="E358" s="7">
        <v>462</v>
      </c>
      <c r="F358" s="7">
        <v>211</v>
      </c>
      <c r="G358" s="8">
        <v>66893</v>
      </c>
    </row>
    <row r="359" spans="1:7">
      <c r="A359" s="8">
        <v>14760</v>
      </c>
      <c r="B359" s="7" t="s">
        <v>544</v>
      </c>
      <c r="C359" s="8">
        <v>802</v>
      </c>
      <c r="D359" s="7">
        <v>320</v>
      </c>
      <c r="E359" s="7">
        <v>320</v>
      </c>
      <c r="F359" s="7">
        <v>215</v>
      </c>
      <c r="G359" s="8">
        <v>63094</v>
      </c>
    </row>
    <row r="360" spans="1:7">
      <c r="A360" s="8">
        <v>14760</v>
      </c>
      <c r="B360" s="7" t="s">
        <v>544</v>
      </c>
      <c r="C360" s="8">
        <v>803</v>
      </c>
      <c r="D360" s="7">
        <v>47</v>
      </c>
      <c r="E360" s="7">
        <v>47</v>
      </c>
      <c r="F360" s="7">
        <v>229</v>
      </c>
      <c r="G360" s="8">
        <v>52712</v>
      </c>
    </row>
    <row r="361" spans="1:7">
      <c r="A361" s="8">
        <v>14761</v>
      </c>
      <c r="B361" s="7" t="s">
        <v>908</v>
      </c>
      <c r="C361" s="8">
        <v>801</v>
      </c>
      <c r="D361" s="7">
        <v>3280</v>
      </c>
      <c r="E361" s="7">
        <v>3280</v>
      </c>
      <c r="F361" s="7">
        <v>116</v>
      </c>
      <c r="G361" s="8">
        <v>177266</v>
      </c>
    </row>
    <row r="362" spans="1:7">
      <c r="A362" s="8">
        <v>14761</v>
      </c>
      <c r="B362" s="7" t="s">
        <v>908</v>
      </c>
      <c r="C362" s="8">
        <v>802</v>
      </c>
      <c r="D362" s="7">
        <v>100</v>
      </c>
      <c r="E362" s="7">
        <v>100</v>
      </c>
      <c r="F362" s="7">
        <v>131</v>
      </c>
      <c r="G362" s="8">
        <v>161276</v>
      </c>
    </row>
    <row r="363" spans="1:7">
      <c r="A363" s="8">
        <v>50853</v>
      </c>
      <c r="B363" s="7" t="s">
        <v>740</v>
      </c>
      <c r="C363" s="8">
        <v>801</v>
      </c>
      <c r="D363" s="7">
        <v>223</v>
      </c>
      <c r="E363" s="7">
        <v>223</v>
      </c>
      <c r="F363" s="7">
        <v>237</v>
      </c>
      <c r="G363" s="8">
        <v>47135</v>
      </c>
    </row>
    <row r="364" spans="1:7">
      <c r="A364" s="8">
        <v>50853</v>
      </c>
      <c r="B364" s="7" t="s">
        <v>740</v>
      </c>
      <c r="C364" s="8">
        <v>802</v>
      </c>
      <c r="D364" s="7">
        <v>76</v>
      </c>
      <c r="E364" s="7">
        <v>76</v>
      </c>
      <c r="F364" s="7">
        <v>204</v>
      </c>
      <c r="G364" s="8">
        <v>73026</v>
      </c>
    </row>
    <row r="365" spans="1:7">
      <c r="A365" s="8">
        <v>50853</v>
      </c>
      <c r="B365" s="7" t="s">
        <v>740</v>
      </c>
      <c r="C365" s="8">
        <v>803</v>
      </c>
      <c r="D365" s="7">
        <v>4</v>
      </c>
      <c r="E365" s="7">
        <v>4</v>
      </c>
      <c r="F365" s="7">
        <v>200</v>
      </c>
      <c r="G365" s="8">
        <v>76123</v>
      </c>
    </row>
    <row r="366" spans="1:7">
      <c r="A366" s="8">
        <v>50853</v>
      </c>
      <c r="B366" s="7" t="s">
        <v>740</v>
      </c>
      <c r="C366" s="8">
        <v>804</v>
      </c>
      <c r="D366" s="7">
        <v>20</v>
      </c>
      <c r="E366" s="7">
        <v>20</v>
      </c>
      <c r="F366" s="7">
        <v>191</v>
      </c>
      <c r="G366" s="8">
        <v>85645</v>
      </c>
    </row>
    <row r="367" spans="1:7">
      <c r="A367" s="8">
        <v>50853</v>
      </c>
      <c r="B367" s="7" t="s">
        <v>740</v>
      </c>
      <c r="C367" s="8">
        <v>805</v>
      </c>
      <c r="D367" s="7">
        <v>25</v>
      </c>
      <c r="E367" s="7">
        <v>25</v>
      </c>
      <c r="F367" s="7">
        <v>182</v>
      </c>
      <c r="G367" s="8">
        <v>94831</v>
      </c>
    </row>
    <row r="368" spans="1:7">
      <c r="A368" s="8">
        <v>50853</v>
      </c>
      <c r="B368" s="7" t="s">
        <v>740</v>
      </c>
      <c r="C368" s="8">
        <v>806</v>
      </c>
      <c r="D368" s="7">
        <v>113</v>
      </c>
      <c r="E368" s="7">
        <v>113</v>
      </c>
      <c r="F368" s="7">
        <v>203</v>
      </c>
      <c r="G368" s="8">
        <v>73509</v>
      </c>
    </row>
    <row r="369" spans="1:7">
      <c r="A369" s="8">
        <v>50853</v>
      </c>
      <c r="B369" s="7" t="s">
        <v>740</v>
      </c>
      <c r="C369" s="8">
        <v>807</v>
      </c>
      <c r="D369" s="7">
        <v>49</v>
      </c>
      <c r="E369" s="7">
        <v>49</v>
      </c>
      <c r="F369" s="7">
        <v>201</v>
      </c>
      <c r="G369" s="8">
        <v>75642</v>
      </c>
    </row>
    <row r="370" spans="1:7">
      <c r="A370" s="8">
        <v>50853</v>
      </c>
      <c r="B370" s="7" t="s">
        <v>740</v>
      </c>
      <c r="C370" s="8">
        <v>808</v>
      </c>
      <c r="D370" s="7">
        <v>63</v>
      </c>
      <c r="E370" s="7">
        <v>63</v>
      </c>
      <c r="F370" s="7">
        <v>201</v>
      </c>
      <c r="G370" s="8">
        <v>75390</v>
      </c>
    </row>
    <row r="371" spans="1:7">
      <c r="A371" s="8">
        <v>50853</v>
      </c>
      <c r="B371" s="7" t="s">
        <v>740</v>
      </c>
      <c r="C371" s="8">
        <v>809</v>
      </c>
      <c r="D371" s="7">
        <v>179</v>
      </c>
      <c r="E371" s="7">
        <v>179</v>
      </c>
      <c r="F371" s="7">
        <v>200</v>
      </c>
      <c r="G371" s="8">
        <v>76601</v>
      </c>
    </row>
    <row r="372" spans="1:7">
      <c r="A372" s="8">
        <v>50853</v>
      </c>
      <c r="B372" s="7" t="s">
        <v>740</v>
      </c>
      <c r="C372" s="8">
        <v>810</v>
      </c>
      <c r="D372" s="7">
        <v>17</v>
      </c>
      <c r="E372" s="7">
        <v>17</v>
      </c>
      <c r="F372" s="7">
        <v>199</v>
      </c>
      <c r="G372" s="8">
        <v>77186</v>
      </c>
    </row>
  </sheetData>
  <sheetProtection formatCells="0" insertHyperlinks="0" autoFilter="0"/>
  <mergeCells count="1">
    <mergeCell ref="A1:G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95"/>
  <sheetViews>
    <sheetView workbookViewId="0">
      <selection activeCell="J23" sqref="J23"/>
    </sheetView>
  </sheetViews>
  <sheetFormatPr defaultColWidth="8.89166666666667" defaultRowHeight="13.5" outlineLevelCol="6"/>
  <cols>
    <col min="1" max="1" width="8.775" customWidth="1"/>
    <col min="2" max="2" width="36.1083333333333" customWidth="1"/>
    <col min="3" max="3" width="22.225" customWidth="1"/>
    <col min="4" max="4" width="21.8916666666667" customWidth="1"/>
    <col min="6" max="7" width="18.6666666666667" customWidth="1"/>
  </cols>
  <sheetData>
    <row r="1" ht="20.25" spans="1:7">
      <c r="A1" s="1" t="s">
        <v>1195</v>
      </c>
      <c r="B1" s="2"/>
      <c r="C1" s="2"/>
      <c r="D1" s="2"/>
      <c r="E1" s="2"/>
      <c r="F1" s="2"/>
      <c r="G1" s="2"/>
    </row>
    <row r="2" spans="1:7">
      <c r="A2" s="3" t="s">
        <v>1090</v>
      </c>
      <c r="B2" s="3" t="s">
        <v>1091</v>
      </c>
      <c r="C2" s="3" t="s">
        <v>1092</v>
      </c>
      <c r="D2" s="3" t="s">
        <v>1093</v>
      </c>
      <c r="E2" s="3" t="s">
        <v>1094</v>
      </c>
      <c r="F2" s="3" t="s">
        <v>1095</v>
      </c>
      <c r="G2" s="3" t="s">
        <v>1096</v>
      </c>
    </row>
    <row r="3" spans="1:7">
      <c r="A3" s="4">
        <v>10831</v>
      </c>
      <c r="B3" s="5" t="s">
        <v>1097</v>
      </c>
      <c r="C3" s="4">
        <v>802</v>
      </c>
      <c r="D3" s="4">
        <v>36</v>
      </c>
      <c r="E3" s="4">
        <v>36</v>
      </c>
      <c r="F3" s="4">
        <v>348</v>
      </c>
      <c r="G3" s="4">
        <v>5068</v>
      </c>
    </row>
    <row r="4" spans="1:7">
      <c r="A4" s="4">
        <v>10831</v>
      </c>
      <c r="B4" s="5" t="s">
        <v>1097</v>
      </c>
      <c r="C4" s="4">
        <v>803</v>
      </c>
      <c r="D4" s="4">
        <v>114</v>
      </c>
      <c r="E4" s="4">
        <v>114</v>
      </c>
      <c r="F4" s="4">
        <v>348</v>
      </c>
      <c r="G4" s="4">
        <v>5156</v>
      </c>
    </row>
    <row r="5" spans="1:7">
      <c r="A5" s="4">
        <v>10831</v>
      </c>
      <c r="B5" s="5" t="s">
        <v>1097</v>
      </c>
      <c r="C5" s="4">
        <v>804</v>
      </c>
      <c r="D5" s="4">
        <v>6</v>
      </c>
      <c r="E5" s="4">
        <v>6</v>
      </c>
      <c r="F5" s="4">
        <v>344</v>
      </c>
      <c r="G5" s="4">
        <v>6130</v>
      </c>
    </row>
    <row r="6" spans="1:7">
      <c r="A6" s="4">
        <v>10831</v>
      </c>
      <c r="B6" s="5" t="s">
        <v>1097</v>
      </c>
      <c r="C6" s="4">
        <v>805</v>
      </c>
      <c r="D6" s="4">
        <v>431</v>
      </c>
      <c r="E6" s="4">
        <v>431</v>
      </c>
      <c r="F6" s="4">
        <v>348</v>
      </c>
      <c r="G6" s="4">
        <v>5104</v>
      </c>
    </row>
    <row r="7" spans="1:7">
      <c r="A7" s="4">
        <v>10833</v>
      </c>
      <c r="B7" s="5" t="s">
        <v>1098</v>
      </c>
      <c r="C7" s="4">
        <v>802</v>
      </c>
      <c r="D7" s="4">
        <v>442</v>
      </c>
      <c r="E7" s="4">
        <v>442</v>
      </c>
      <c r="F7" s="4">
        <v>297</v>
      </c>
      <c r="G7" s="4">
        <v>21969</v>
      </c>
    </row>
    <row r="8" spans="1:7">
      <c r="A8" s="4">
        <v>10833</v>
      </c>
      <c r="B8" s="5" t="s">
        <v>1098</v>
      </c>
      <c r="C8" s="4">
        <v>803</v>
      </c>
      <c r="D8" s="4">
        <v>35</v>
      </c>
      <c r="E8" s="4">
        <v>35</v>
      </c>
      <c r="F8" s="4">
        <v>208</v>
      </c>
      <c r="G8" s="4">
        <v>89713</v>
      </c>
    </row>
    <row r="9" spans="1:7">
      <c r="A9" s="4">
        <v>10833</v>
      </c>
      <c r="B9" s="5" t="s">
        <v>1098</v>
      </c>
      <c r="C9" s="4">
        <v>804</v>
      </c>
      <c r="D9" s="4">
        <v>55</v>
      </c>
      <c r="E9" s="4">
        <v>55</v>
      </c>
      <c r="F9" s="4">
        <v>349</v>
      </c>
      <c r="G9" s="4">
        <v>4882</v>
      </c>
    </row>
    <row r="10" spans="1:7">
      <c r="A10" s="4">
        <v>10833</v>
      </c>
      <c r="B10" s="5" t="s">
        <v>1098</v>
      </c>
      <c r="C10" s="4">
        <v>805</v>
      </c>
      <c r="D10" s="4">
        <v>110</v>
      </c>
      <c r="E10" s="4">
        <v>110</v>
      </c>
      <c r="F10" s="4">
        <v>341</v>
      </c>
      <c r="G10" s="4">
        <v>6737</v>
      </c>
    </row>
    <row r="11" spans="1:7">
      <c r="A11" s="4">
        <v>10833</v>
      </c>
      <c r="B11" s="5" t="s">
        <v>1098</v>
      </c>
      <c r="C11" s="4">
        <v>806</v>
      </c>
      <c r="D11" s="4">
        <v>275</v>
      </c>
      <c r="E11" s="4">
        <v>275</v>
      </c>
      <c r="F11" s="4">
        <v>337</v>
      </c>
      <c r="G11" s="4">
        <v>7875</v>
      </c>
    </row>
    <row r="12" spans="1:7">
      <c r="A12" s="4">
        <v>10833</v>
      </c>
      <c r="B12" s="5" t="s">
        <v>1098</v>
      </c>
      <c r="C12" s="4">
        <v>807</v>
      </c>
      <c r="D12" s="4">
        <v>125</v>
      </c>
      <c r="E12" s="4">
        <v>125</v>
      </c>
      <c r="F12" s="4">
        <v>350</v>
      </c>
      <c r="G12" s="4">
        <v>4686</v>
      </c>
    </row>
    <row r="13" spans="1:7">
      <c r="A13" s="4">
        <v>10833</v>
      </c>
      <c r="B13" s="5" t="s">
        <v>1098</v>
      </c>
      <c r="C13" s="4">
        <v>808</v>
      </c>
      <c r="D13" s="4">
        <v>110</v>
      </c>
      <c r="E13" s="4">
        <v>110</v>
      </c>
      <c r="F13" s="4">
        <v>344</v>
      </c>
      <c r="G13" s="4">
        <v>5972</v>
      </c>
    </row>
    <row r="14" spans="1:7">
      <c r="A14" s="4">
        <v>10833</v>
      </c>
      <c r="B14" s="5" t="s">
        <v>1098</v>
      </c>
      <c r="C14" s="4">
        <v>809</v>
      </c>
      <c r="D14" s="4">
        <v>398</v>
      </c>
      <c r="E14" s="4">
        <v>398</v>
      </c>
      <c r="F14" s="4">
        <v>336</v>
      </c>
      <c r="G14" s="4">
        <v>8188</v>
      </c>
    </row>
    <row r="15" spans="1:7">
      <c r="A15" s="4">
        <v>10861</v>
      </c>
      <c r="B15" s="5" t="s">
        <v>1099</v>
      </c>
      <c r="C15" s="4">
        <v>801</v>
      </c>
      <c r="D15" s="4">
        <v>1232</v>
      </c>
      <c r="E15" s="4">
        <v>1232</v>
      </c>
      <c r="F15" s="4">
        <v>271</v>
      </c>
      <c r="G15" s="4">
        <v>36794</v>
      </c>
    </row>
    <row r="16" spans="1:7">
      <c r="A16" s="4">
        <v>10861</v>
      </c>
      <c r="B16" s="5" t="s">
        <v>1099</v>
      </c>
      <c r="C16" s="4">
        <v>802</v>
      </c>
      <c r="D16" s="4">
        <v>746</v>
      </c>
      <c r="E16" s="4">
        <v>746</v>
      </c>
      <c r="F16" s="4">
        <v>255</v>
      </c>
      <c r="G16" s="4">
        <v>48961</v>
      </c>
    </row>
    <row r="17" spans="1:7">
      <c r="A17" s="4">
        <v>10861</v>
      </c>
      <c r="B17" s="5" t="s">
        <v>1099</v>
      </c>
      <c r="C17" s="4">
        <v>803</v>
      </c>
      <c r="D17" s="4">
        <v>22</v>
      </c>
      <c r="E17" s="4">
        <v>22</v>
      </c>
      <c r="F17" s="4">
        <v>232</v>
      </c>
      <c r="G17" s="4">
        <v>68048</v>
      </c>
    </row>
    <row r="18" spans="1:7">
      <c r="A18" s="4">
        <v>10861</v>
      </c>
      <c r="B18" s="5" t="s">
        <v>1099</v>
      </c>
      <c r="C18" s="4">
        <v>804</v>
      </c>
      <c r="D18" s="4">
        <v>22</v>
      </c>
      <c r="E18" s="4">
        <v>22</v>
      </c>
      <c r="F18" s="4">
        <v>232</v>
      </c>
      <c r="G18" s="4">
        <v>67837</v>
      </c>
    </row>
    <row r="19" spans="1:7">
      <c r="A19" s="4">
        <v>10861</v>
      </c>
      <c r="B19" s="5" t="s">
        <v>1099</v>
      </c>
      <c r="C19" s="4">
        <v>805</v>
      </c>
      <c r="D19" s="4">
        <v>25</v>
      </c>
      <c r="E19" s="4">
        <v>25</v>
      </c>
      <c r="F19" s="4">
        <v>233</v>
      </c>
      <c r="G19" s="4">
        <v>67520</v>
      </c>
    </row>
    <row r="20" spans="1:7">
      <c r="A20" s="4">
        <v>10861</v>
      </c>
      <c r="B20" s="5" t="s">
        <v>1099</v>
      </c>
      <c r="C20" s="4">
        <v>806</v>
      </c>
      <c r="D20" s="4">
        <v>38</v>
      </c>
      <c r="E20" s="4">
        <v>38</v>
      </c>
      <c r="F20" s="4">
        <v>213</v>
      </c>
      <c r="G20" s="4">
        <v>85512</v>
      </c>
    </row>
    <row r="21" spans="1:7">
      <c r="A21" s="4">
        <v>10862</v>
      </c>
      <c r="B21" s="5" t="s">
        <v>1100</v>
      </c>
      <c r="C21" s="4">
        <v>801</v>
      </c>
      <c r="D21" s="4">
        <v>292</v>
      </c>
      <c r="E21" s="4">
        <v>292</v>
      </c>
      <c r="F21" s="4">
        <v>279</v>
      </c>
      <c r="G21" s="4">
        <v>31709</v>
      </c>
    </row>
    <row r="22" spans="1:7">
      <c r="A22" s="4">
        <v>10862</v>
      </c>
      <c r="B22" s="5" t="s">
        <v>1100</v>
      </c>
      <c r="C22" s="4">
        <v>802</v>
      </c>
      <c r="D22" s="4">
        <v>260</v>
      </c>
      <c r="E22" s="4">
        <v>260</v>
      </c>
      <c r="F22" s="4">
        <v>278</v>
      </c>
      <c r="G22" s="4">
        <v>32144</v>
      </c>
    </row>
    <row r="23" spans="1:7">
      <c r="A23" s="4">
        <v>10862</v>
      </c>
      <c r="B23" s="5" t="s">
        <v>1100</v>
      </c>
      <c r="C23" s="4">
        <v>803</v>
      </c>
      <c r="D23" s="4">
        <v>204</v>
      </c>
      <c r="E23" s="4">
        <v>204</v>
      </c>
      <c r="F23" s="4">
        <v>251</v>
      </c>
      <c r="G23" s="4">
        <v>51846</v>
      </c>
    </row>
    <row r="24" spans="1:7">
      <c r="A24" s="4">
        <v>10862</v>
      </c>
      <c r="B24" s="5" t="s">
        <v>1100</v>
      </c>
      <c r="C24" s="4">
        <v>804</v>
      </c>
      <c r="D24" s="4">
        <v>152</v>
      </c>
      <c r="E24" s="4">
        <v>152</v>
      </c>
      <c r="F24" s="4">
        <v>270</v>
      </c>
      <c r="G24" s="4">
        <v>37615</v>
      </c>
    </row>
    <row r="25" spans="1:7">
      <c r="A25" s="4">
        <v>10862</v>
      </c>
      <c r="B25" s="5" t="s">
        <v>1100</v>
      </c>
      <c r="C25" s="4">
        <v>805</v>
      </c>
      <c r="D25" s="4">
        <v>180</v>
      </c>
      <c r="E25" s="4">
        <v>180</v>
      </c>
      <c r="F25" s="4">
        <v>284</v>
      </c>
      <c r="G25" s="4">
        <v>29163</v>
      </c>
    </row>
    <row r="26" spans="1:7">
      <c r="A26" s="4">
        <v>10862</v>
      </c>
      <c r="B26" s="5" t="s">
        <v>1100</v>
      </c>
      <c r="C26" s="4">
        <v>806</v>
      </c>
      <c r="D26" s="4">
        <v>94</v>
      </c>
      <c r="E26" s="4">
        <v>94</v>
      </c>
      <c r="F26" s="4">
        <v>253</v>
      </c>
      <c r="G26" s="4">
        <v>50299</v>
      </c>
    </row>
    <row r="27" spans="1:7">
      <c r="A27" s="4">
        <v>10862</v>
      </c>
      <c r="B27" s="5" t="s">
        <v>1100</v>
      </c>
      <c r="C27" s="4">
        <v>807</v>
      </c>
      <c r="D27" s="4">
        <v>245</v>
      </c>
      <c r="E27" s="4">
        <v>245</v>
      </c>
      <c r="F27" s="4">
        <v>246</v>
      </c>
      <c r="G27" s="4">
        <v>55896</v>
      </c>
    </row>
    <row r="28" spans="1:7">
      <c r="A28" s="4">
        <v>10862</v>
      </c>
      <c r="B28" s="5" t="s">
        <v>1100</v>
      </c>
      <c r="C28" s="4">
        <v>808</v>
      </c>
      <c r="D28" s="4">
        <v>325</v>
      </c>
      <c r="E28" s="4">
        <v>325</v>
      </c>
      <c r="F28" s="4">
        <v>280</v>
      </c>
      <c r="G28" s="4">
        <v>31188</v>
      </c>
    </row>
    <row r="29" spans="1:7">
      <c r="A29" s="4">
        <v>10862</v>
      </c>
      <c r="B29" s="5" t="s">
        <v>1100</v>
      </c>
      <c r="C29" s="4">
        <v>809</v>
      </c>
      <c r="D29" s="4">
        <v>240</v>
      </c>
      <c r="E29" s="4">
        <v>240</v>
      </c>
      <c r="F29" s="4">
        <v>271</v>
      </c>
      <c r="G29" s="4">
        <v>36937</v>
      </c>
    </row>
    <row r="30" spans="1:7">
      <c r="A30" s="4">
        <v>10862</v>
      </c>
      <c r="B30" s="5" t="s">
        <v>1100</v>
      </c>
      <c r="C30" s="4">
        <v>810</v>
      </c>
      <c r="D30" s="4">
        <v>215</v>
      </c>
      <c r="E30" s="4">
        <v>215</v>
      </c>
      <c r="F30" s="4">
        <v>260</v>
      </c>
      <c r="G30" s="4">
        <v>45152</v>
      </c>
    </row>
    <row r="31" spans="1:7">
      <c r="A31" s="4">
        <v>10862</v>
      </c>
      <c r="B31" s="5" t="s">
        <v>1100</v>
      </c>
      <c r="C31" s="4">
        <v>811</v>
      </c>
      <c r="D31" s="4">
        <v>58</v>
      </c>
      <c r="E31" s="4">
        <v>58</v>
      </c>
      <c r="F31" s="4">
        <v>221</v>
      </c>
      <c r="G31" s="4">
        <v>78070</v>
      </c>
    </row>
    <row r="32" spans="1:7">
      <c r="A32" s="4">
        <v>10862</v>
      </c>
      <c r="B32" s="5" t="s">
        <v>1100</v>
      </c>
      <c r="C32" s="4">
        <v>812</v>
      </c>
      <c r="D32" s="4">
        <v>25</v>
      </c>
      <c r="E32" s="4">
        <v>25</v>
      </c>
      <c r="F32" s="4">
        <v>242</v>
      </c>
      <c r="G32" s="4">
        <v>59487</v>
      </c>
    </row>
    <row r="33" spans="1:7">
      <c r="A33" s="4">
        <v>10862</v>
      </c>
      <c r="B33" s="5" t="s">
        <v>1100</v>
      </c>
      <c r="C33" s="4">
        <v>813</v>
      </c>
      <c r="D33" s="4">
        <v>20</v>
      </c>
      <c r="E33" s="4">
        <v>20</v>
      </c>
      <c r="F33" s="4">
        <v>221</v>
      </c>
      <c r="G33" s="4">
        <v>77689</v>
      </c>
    </row>
    <row r="34" spans="1:7">
      <c r="A34" s="4">
        <v>10862</v>
      </c>
      <c r="B34" s="5" t="s">
        <v>1100</v>
      </c>
      <c r="C34" s="4">
        <v>814</v>
      </c>
      <c r="D34" s="4">
        <v>35</v>
      </c>
      <c r="E34" s="4">
        <v>35</v>
      </c>
      <c r="F34" s="4">
        <v>237</v>
      </c>
      <c r="G34" s="4">
        <v>63833</v>
      </c>
    </row>
    <row r="35" spans="1:7">
      <c r="A35" s="4">
        <v>10862</v>
      </c>
      <c r="B35" s="5" t="s">
        <v>1100</v>
      </c>
      <c r="C35" s="4">
        <v>815</v>
      </c>
      <c r="D35" s="4">
        <v>60</v>
      </c>
      <c r="E35" s="4">
        <v>60</v>
      </c>
      <c r="F35" s="4">
        <v>237</v>
      </c>
      <c r="G35" s="4">
        <v>63671</v>
      </c>
    </row>
    <row r="36" spans="1:7">
      <c r="A36" s="4">
        <v>10862</v>
      </c>
      <c r="B36" s="5" t="s">
        <v>1100</v>
      </c>
      <c r="C36" s="4">
        <v>817</v>
      </c>
      <c r="D36" s="4">
        <v>23</v>
      </c>
      <c r="E36" s="4">
        <v>23</v>
      </c>
      <c r="F36" s="4">
        <v>219</v>
      </c>
      <c r="G36" s="4">
        <v>80115</v>
      </c>
    </row>
    <row r="37" spans="1:7">
      <c r="A37" s="4">
        <v>10965</v>
      </c>
      <c r="B37" s="5" t="s">
        <v>1101</v>
      </c>
      <c r="C37" s="4">
        <v>801</v>
      </c>
      <c r="D37" s="4">
        <v>200</v>
      </c>
      <c r="E37" s="4">
        <v>200</v>
      </c>
      <c r="F37" s="4">
        <v>206</v>
      </c>
      <c r="G37" s="4">
        <v>91273</v>
      </c>
    </row>
    <row r="38" spans="1:7">
      <c r="A38" s="4">
        <v>11113</v>
      </c>
      <c r="B38" s="5" t="s">
        <v>1102</v>
      </c>
      <c r="C38" s="4">
        <v>801</v>
      </c>
      <c r="D38" s="4">
        <v>337</v>
      </c>
      <c r="E38" s="4">
        <v>337</v>
      </c>
      <c r="F38" s="4">
        <v>384</v>
      </c>
      <c r="G38" s="4">
        <v>555</v>
      </c>
    </row>
    <row r="39" spans="1:7">
      <c r="A39" s="4">
        <v>11113</v>
      </c>
      <c r="B39" s="5" t="s">
        <v>1102</v>
      </c>
      <c r="C39" s="4">
        <v>802</v>
      </c>
      <c r="D39" s="4">
        <v>393</v>
      </c>
      <c r="E39" s="4">
        <v>393</v>
      </c>
      <c r="F39" s="4">
        <v>368</v>
      </c>
      <c r="G39" s="4">
        <v>1916</v>
      </c>
    </row>
    <row r="40" spans="1:7">
      <c r="A40" s="4">
        <v>11113</v>
      </c>
      <c r="B40" s="5" t="s">
        <v>1102</v>
      </c>
      <c r="C40" s="4">
        <v>803</v>
      </c>
      <c r="D40" s="4">
        <v>516</v>
      </c>
      <c r="E40" s="4">
        <v>516</v>
      </c>
      <c r="F40" s="4">
        <v>354</v>
      </c>
      <c r="G40" s="4">
        <v>3965</v>
      </c>
    </row>
    <row r="41" spans="1:7">
      <c r="A41" s="4">
        <v>11113</v>
      </c>
      <c r="B41" s="5" t="s">
        <v>1102</v>
      </c>
      <c r="C41" s="4">
        <v>804</v>
      </c>
      <c r="D41" s="4">
        <v>272</v>
      </c>
      <c r="E41" s="4">
        <v>272</v>
      </c>
      <c r="F41" s="4">
        <v>361</v>
      </c>
      <c r="G41" s="4">
        <v>2919</v>
      </c>
    </row>
    <row r="42" spans="1:7">
      <c r="A42" s="4">
        <v>11113</v>
      </c>
      <c r="B42" s="5" t="s">
        <v>1102</v>
      </c>
      <c r="C42" s="4">
        <v>805</v>
      </c>
      <c r="D42" s="4">
        <v>56</v>
      </c>
      <c r="E42" s="4">
        <v>56</v>
      </c>
      <c r="F42" s="4">
        <v>355</v>
      </c>
      <c r="G42" s="4">
        <v>3933</v>
      </c>
    </row>
    <row r="43" spans="1:7">
      <c r="A43" s="4">
        <v>11113</v>
      </c>
      <c r="B43" s="5" t="s">
        <v>1102</v>
      </c>
      <c r="C43" s="4">
        <v>806</v>
      </c>
      <c r="D43" s="4">
        <v>124</v>
      </c>
      <c r="E43" s="4">
        <v>124</v>
      </c>
      <c r="F43" s="4">
        <v>358</v>
      </c>
      <c r="G43" s="4">
        <v>3334</v>
      </c>
    </row>
    <row r="44" spans="1:7">
      <c r="A44" s="4">
        <v>11113</v>
      </c>
      <c r="B44" s="5" t="s">
        <v>1102</v>
      </c>
      <c r="C44" s="4">
        <v>807</v>
      </c>
      <c r="D44" s="4">
        <v>24</v>
      </c>
      <c r="E44" s="4">
        <v>24</v>
      </c>
      <c r="F44" s="4">
        <v>353</v>
      </c>
      <c r="G44" s="4">
        <v>4117</v>
      </c>
    </row>
    <row r="45" spans="1:7">
      <c r="A45" s="4">
        <v>11113</v>
      </c>
      <c r="B45" s="5" t="s">
        <v>1102</v>
      </c>
      <c r="C45" s="4">
        <v>808</v>
      </c>
      <c r="D45" s="4">
        <v>58</v>
      </c>
      <c r="E45" s="4">
        <v>58</v>
      </c>
      <c r="F45" s="4">
        <v>358</v>
      </c>
      <c r="G45" s="4">
        <v>3367</v>
      </c>
    </row>
    <row r="46" spans="1:7">
      <c r="A46" s="4">
        <v>11113</v>
      </c>
      <c r="B46" s="5" t="s">
        <v>1102</v>
      </c>
      <c r="C46" s="4">
        <v>809</v>
      </c>
      <c r="D46" s="4">
        <v>172</v>
      </c>
      <c r="E46" s="4">
        <v>172</v>
      </c>
      <c r="F46" s="4">
        <v>360</v>
      </c>
      <c r="G46" s="4">
        <v>3014</v>
      </c>
    </row>
    <row r="47" spans="1:7">
      <c r="A47" s="4">
        <v>11113</v>
      </c>
      <c r="B47" s="5" t="s">
        <v>1102</v>
      </c>
      <c r="C47" s="4">
        <v>810</v>
      </c>
      <c r="D47" s="4">
        <v>5</v>
      </c>
      <c r="E47" s="4">
        <v>5</v>
      </c>
      <c r="F47" s="4">
        <v>352</v>
      </c>
      <c r="G47" s="4">
        <v>4468</v>
      </c>
    </row>
    <row r="48" spans="1:7">
      <c r="A48" s="4">
        <v>11114</v>
      </c>
      <c r="B48" s="5" t="s">
        <v>1103</v>
      </c>
      <c r="C48" s="4">
        <v>801</v>
      </c>
      <c r="D48" s="4">
        <v>1000</v>
      </c>
      <c r="E48" s="4">
        <v>1000</v>
      </c>
      <c r="F48" s="4">
        <v>258</v>
      </c>
      <c r="G48" s="4">
        <v>46270</v>
      </c>
    </row>
    <row r="49" spans="1:7">
      <c r="A49" s="4">
        <v>11121</v>
      </c>
      <c r="B49" s="5" t="s">
        <v>1104</v>
      </c>
      <c r="C49" s="4">
        <v>801</v>
      </c>
      <c r="D49" s="4">
        <v>645</v>
      </c>
      <c r="E49" s="4">
        <v>645</v>
      </c>
      <c r="F49" s="4">
        <v>205</v>
      </c>
      <c r="G49" s="4">
        <v>92295</v>
      </c>
    </row>
    <row r="50" spans="1:7">
      <c r="A50" s="4">
        <v>11121</v>
      </c>
      <c r="B50" s="5" t="s">
        <v>1104</v>
      </c>
      <c r="C50" s="4">
        <v>802</v>
      </c>
      <c r="D50" s="4">
        <v>64</v>
      </c>
      <c r="E50" s="4">
        <v>64</v>
      </c>
      <c r="F50" s="4">
        <v>196</v>
      </c>
      <c r="G50" s="4">
        <v>101396</v>
      </c>
    </row>
    <row r="51" spans="1:7">
      <c r="A51" s="4">
        <v>12040</v>
      </c>
      <c r="B51" s="5" t="s">
        <v>1105</v>
      </c>
      <c r="C51" s="4">
        <v>801</v>
      </c>
      <c r="D51" s="4">
        <v>125</v>
      </c>
      <c r="E51" s="4">
        <v>125</v>
      </c>
      <c r="F51" s="4">
        <v>312</v>
      </c>
      <c r="G51" s="4">
        <v>15605</v>
      </c>
    </row>
    <row r="52" spans="1:7">
      <c r="A52" s="4">
        <v>12040</v>
      </c>
      <c r="B52" s="5" t="s">
        <v>1105</v>
      </c>
      <c r="C52" s="4">
        <v>802</v>
      </c>
      <c r="D52" s="4">
        <v>60</v>
      </c>
      <c r="E52" s="4">
        <v>60</v>
      </c>
      <c r="F52" s="4">
        <v>305</v>
      </c>
      <c r="G52" s="4">
        <v>18440</v>
      </c>
    </row>
    <row r="53" spans="1:7">
      <c r="A53" s="4">
        <v>12046</v>
      </c>
      <c r="B53" s="5" t="s">
        <v>1106</v>
      </c>
      <c r="C53" s="4">
        <v>801</v>
      </c>
      <c r="D53" s="4">
        <v>111</v>
      </c>
      <c r="E53" s="4">
        <v>111</v>
      </c>
      <c r="F53" s="4">
        <v>345</v>
      </c>
      <c r="G53" s="4">
        <v>5813</v>
      </c>
    </row>
    <row r="54" spans="1:7">
      <c r="A54" s="4">
        <v>12046</v>
      </c>
      <c r="B54" s="5" t="s">
        <v>1106</v>
      </c>
      <c r="C54" s="4">
        <v>802</v>
      </c>
      <c r="D54" s="4">
        <v>139</v>
      </c>
      <c r="E54" s="4">
        <v>139</v>
      </c>
      <c r="F54" s="4">
        <v>336</v>
      </c>
      <c r="G54" s="4">
        <v>8181</v>
      </c>
    </row>
    <row r="55" spans="1:7">
      <c r="A55" s="4">
        <v>12046</v>
      </c>
      <c r="B55" s="5" t="s">
        <v>1106</v>
      </c>
      <c r="C55" s="4">
        <v>803</v>
      </c>
      <c r="D55" s="4">
        <v>126</v>
      </c>
      <c r="E55" s="4">
        <v>126</v>
      </c>
      <c r="F55" s="4">
        <v>340</v>
      </c>
      <c r="G55" s="4">
        <v>6937</v>
      </c>
    </row>
    <row r="56" spans="1:7">
      <c r="A56" s="4">
        <v>12046</v>
      </c>
      <c r="B56" s="5" t="s">
        <v>1106</v>
      </c>
      <c r="C56" s="4">
        <v>804</v>
      </c>
      <c r="D56" s="4">
        <v>130</v>
      </c>
      <c r="E56" s="4">
        <v>130</v>
      </c>
      <c r="F56" s="4">
        <v>328</v>
      </c>
      <c r="G56" s="4">
        <v>10314</v>
      </c>
    </row>
    <row r="57" spans="1:7">
      <c r="A57" s="4">
        <v>12046</v>
      </c>
      <c r="B57" s="5" t="s">
        <v>1106</v>
      </c>
      <c r="C57" s="4">
        <v>807</v>
      </c>
      <c r="D57" s="4">
        <v>94</v>
      </c>
      <c r="E57" s="4">
        <v>94</v>
      </c>
      <c r="F57" s="4">
        <v>352</v>
      </c>
      <c r="G57" s="4">
        <v>4433</v>
      </c>
    </row>
    <row r="58" spans="1:7">
      <c r="A58" s="4">
        <v>12046</v>
      </c>
      <c r="B58" s="5" t="s">
        <v>1106</v>
      </c>
      <c r="C58" s="4">
        <v>808</v>
      </c>
      <c r="D58" s="4">
        <v>126</v>
      </c>
      <c r="E58" s="4">
        <v>126</v>
      </c>
      <c r="F58" s="4">
        <v>346</v>
      </c>
      <c r="G58" s="4">
        <v>5560</v>
      </c>
    </row>
    <row r="59" spans="1:7">
      <c r="A59" s="4">
        <v>12046</v>
      </c>
      <c r="B59" s="5" t="s">
        <v>1106</v>
      </c>
      <c r="C59" s="4">
        <v>811</v>
      </c>
      <c r="D59" s="4">
        <v>82</v>
      </c>
      <c r="E59" s="4">
        <v>82</v>
      </c>
      <c r="F59" s="4">
        <v>331</v>
      </c>
      <c r="G59" s="4">
        <v>9468</v>
      </c>
    </row>
    <row r="60" spans="1:7">
      <c r="A60" s="4">
        <v>12046</v>
      </c>
      <c r="B60" s="5" t="s">
        <v>1106</v>
      </c>
      <c r="C60" s="4">
        <v>812</v>
      </c>
      <c r="D60" s="4">
        <v>75</v>
      </c>
      <c r="E60" s="4">
        <v>62</v>
      </c>
      <c r="F60" s="4">
        <v>122</v>
      </c>
      <c r="G60" s="4">
        <v>184509</v>
      </c>
    </row>
    <row r="61" spans="1:7">
      <c r="A61" s="4">
        <v>12046</v>
      </c>
      <c r="B61" s="5" t="s">
        <v>1106</v>
      </c>
      <c r="C61" s="4">
        <v>813</v>
      </c>
      <c r="D61" s="4">
        <v>42</v>
      </c>
      <c r="E61" s="4">
        <v>42</v>
      </c>
      <c r="F61" s="4">
        <v>342</v>
      </c>
      <c r="G61" s="4">
        <v>6430</v>
      </c>
    </row>
    <row r="62" spans="1:7">
      <c r="A62" s="4">
        <v>12046</v>
      </c>
      <c r="B62" s="5" t="s">
        <v>1106</v>
      </c>
      <c r="C62" s="4">
        <v>814</v>
      </c>
      <c r="D62" s="4">
        <v>47</v>
      </c>
      <c r="E62" s="4">
        <v>47</v>
      </c>
      <c r="F62" s="4">
        <v>328</v>
      </c>
      <c r="G62" s="4">
        <v>10414</v>
      </c>
    </row>
    <row r="63" spans="1:7">
      <c r="A63" s="4">
        <v>12046</v>
      </c>
      <c r="B63" s="5" t="s">
        <v>1106</v>
      </c>
      <c r="C63" s="4">
        <v>815</v>
      </c>
      <c r="D63" s="4">
        <v>18</v>
      </c>
      <c r="E63" s="4">
        <v>18</v>
      </c>
      <c r="F63" s="4">
        <v>344</v>
      </c>
      <c r="G63" s="4">
        <v>6091</v>
      </c>
    </row>
    <row r="64" spans="1:7">
      <c r="A64" s="4">
        <v>12060</v>
      </c>
      <c r="B64" s="5" t="s">
        <v>1107</v>
      </c>
      <c r="C64" s="4">
        <v>801</v>
      </c>
      <c r="D64" s="4">
        <v>2067</v>
      </c>
      <c r="E64" s="4">
        <v>2067</v>
      </c>
      <c r="F64" s="4">
        <v>227</v>
      </c>
      <c r="G64" s="4">
        <v>72461</v>
      </c>
    </row>
    <row r="65" spans="1:7">
      <c r="A65" s="4">
        <v>12060</v>
      </c>
      <c r="B65" s="5" t="s">
        <v>1107</v>
      </c>
      <c r="C65" s="4">
        <v>802</v>
      </c>
      <c r="D65" s="4">
        <v>550</v>
      </c>
      <c r="E65" s="4">
        <v>550</v>
      </c>
      <c r="F65" s="4">
        <v>224</v>
      </c>
      <c r="G65" s="4">
        <v>75143</v>
      </c>
    </row>
    <row r="66" spans="1:7">
      <c r="A66" s="4">
        <v>12322</v>
      </c>
      <c r="B66" s="5" t="s">
        <v>1108</v>
      </c>
      <c r="C66" s="4">
        <v>801</v>
      </c>
      <c r="D66" s="4">
        <v>1615</v>
      </c>
      <c r="E66" s="4">
        <v>1615</v>
      </c>
      <c r="F66" s="4">
        <v>281</v>
      </c>
      <c r="G66" s="4">
        <v>30527</v>
      </c>
    </row>
    <row r="67" spans="1:7">
      <c r="A67" s="4">
        <v>12322</v>
      </c>
      <c r="B67" s="5" t="s">
        <v>1108</v>
      </c>
      <c r="C67" s="4">
        <v>802</v>
      </c>
      <c r="D67" s="4">
        <v>45</v>
      </c>
      <c r="E67" s="4">
        <v>45</v>
      </c>
      <c r="F67" s="4">
        <v>277</v>
      </c>
      <c r="G67" s="4">
        <v>32904</v>
      </c>
    </row>
    <row r="68" spans="1:7">
      <c r="A68" s="4">
        <v>12322</v>
      </c>
      <c r="B68" s="5" t="s">
        <v>1108</v>
      </c>
      <c r="C68" s="4">
        <v>803</v>
      </c>
      <c r="D68" s="4">
        <v>70</v>
      </c>
      <c r="E68" s="4">
        <v>70</v>
      </c>
      <c r="F68" s="4">
        <v>228</v>
      </c>
      <c r="G68" s="4">
        <v>71347</v>
      </c>
    </row>
    <row r="69" spans="1:7">
      <c r="A69" s="4">
        <v>12322</v>
      </c>
      <c r="B69" s="5" t="s">
        <v>1108</v>
      </c>
      <c r="C69" s="4">
        <v>806</v>
      </c>
      <c r="D69" s="4">
        <v>210</v>
      </c>
      <c r="E69" s="4">
        <v>210</v>
      </c>
      <c r="F69" s="4">
        <v>279</v>
      </c>
      <c r="G69" s="4">
        <v>32010</v>
      </c>
    </row>
    <row r="70" spans="1:7">
      <c r="A70" s="4">
        <v>12325</v>
      </c>
      <c r="B70" s="5" t="s">
        <v>1109</v>
      </c>
      <c r="C70" s="4">
        <v>801</v>
      </c>
      <c r="D70" s="4">
        <v>470</v>
      </c>
      <c r="E70" s="4">
        <v>470</v>
      </c>
      <c r="F70" s="4">
        <v>207</v>
      </c>
      <c r="G70" s="4">
        <v>90556</v>
      </c>
    </row>
    <row r="71" spans="1:7">
      <c r="A71" s="4">
        <v>12325</v>
      </c>
      <c r="B71" s="5" t="s">
        <v>1109</v>
      </c>
      <c r="C71" s="4">
        <v>802</v>
      </c>
      <c r="D71" s="4">
        <v>15</v>
      </c>
      <c r="E71" s="4">
        <v>15</v>
      </c>
      <c r="F71" s="4">
        <v>211</v>
      </c>
      <c r="G71" s="4">
        <v>87143</v>
      </c>
    </row>
    <row r="72" spans="1:7">
      <c r="A72" s="4">
        <v>12327</v>
      </c>
      <c r="B72" s="5" t="s">
        <v>1110</v>
      </c>
      <c r="C72" s="4">
        <v>801</v>
      </c>
      <c r="D72" s="4">
        <v>110</v>
      </c>
      <c r="E72" s="4">
        <v>110</v>
      </c>
      <c r="F72" s="4">
        <v>336</v>
      </c>
      <c r="G72" s="4">
        <v>8095</v>
      </c>
    </row>
    <row r="73" spans="1:7">
      <c r="A73" s="4">
        <v>12327</v>
      </c>
      <c r="B73" s="5" t="s">
        <v>1110</v>
      </c>
      <c r="C73" s="4">
        <v>803</v>
      </c>
      <c r="D73" s="4">
        <v>57</v>
      </c>
      <c r="E73" s="4">
        <v>57</v>
      </c>
      <c r="F73" s="4">
        <v>317</v>
      </c>
      <c r="G73" s="4">
        <v>13675</v>
      </c>
    </row>
    <row r="74" spans="1:7">
      <c r="A74" s="4">
        <v>12327</v>
      </c>
      <c r="B74" s="5" t="s">
        <v>1110</v>
      </c>
      <c r="C74" s="4">
        <v>804</v>
      </c>
      <c r="D74" s="4">
        <v>113</v>
      </c>
      <c r="E74" s="4">
        <v>113</v>
      </c>
      <c r="F74" s="4">
        <v>329</v>
      </c>
      <c r="G74" s="4">
        <v>10011</v>
      </c>
    </row>
    <row r="75" spans="1:7">
      <c r="A75" s="4">
        <v>12327</v>
      </c>
      <c r="B75" s="5" t="s">
        <v>1110</v>
      </c>
      <c r="C75" s="4">
        <v>805</v>
      </c>
      <c r="D75" s="4">
        <v>55</v>
      </c>
      <c r="E75" s="4">
        <v>55</v>
      </c>
      <c r="F75" s="4">
        <v>331</v>
      </c>
      <c r="G75" s="4">
        <v>9362</v>
      </c>
    </row>
    <row r="76" spans="1:7">
      <c r="A76" s="4">
        <v>12327</v>
      </c>
      <c r="B76" s="5" t="s">
        <v>1110</v>
      </c>
      <c r="C76" s="4">
        <v>806</v>
      </c>
      <c r="D76" s="4">
        <v>55</v>
      </c>
      <c r="E76" s="4">
        <v>55</v>
      </c>
      <c r="F76" s="4">
        <v>313</v>
      </c>
      <c r="G76" s="4">
        <v>15306</v>
      </c>
    </row>
    <row r="77" spans="1:7">
      <c r="A77" s="4">
        <v>12572</v>
      </c>
      <c r="B77" s="5" t="s">
        <v>1111</v>
      </c>
      <c r="C77" s="4">
        <v>801</v>
      </c>
      <c r="D77" s="4">
        <v>321</v>
      </c>
      <c r="E77" s="4">
        <v>321</v>
      </c>
      <c r="F77" s="4">
        <v>330</v>
      </c>
      <c r="G77" s="4">
        <v>9735</v>
      </c>
    </row>
    <row r="78" spans="1:7">
      <c r="A78" s="4">
        <v>12572</v>
      </c>
      <c r="B78" s="5" t="s">
        <v>1111</v>
      </c>
      <c r="C78" s="4">
        <v>802</v>
      </c>
      <c r="D78" s="4">
        <v>301</v>
      </c>
      <c r="E78" s="4">
        <v>301</v>
      </c>
      <c r="F78" s="4">
        <v>321</v>
      </c>
      <c r="G78" s="4">
        <v>12583</v>
      </c>
    </row>
    <row r="79" spans="1:7">
      <c r="A79" s="4">
        <v>12572</v>
      </c>
      <c r="B79" s="5" t="s">
        <v>1111</v>
      </c>
      <c r="C79" s="4">
        <v>803</v>
      </c>
      <c r="D79" s="4">
        <v>299</v>
      </c>
      <c r="E79" s="4">
        <v>299</v>
      </c>
      <c r="F79" s="4">
        <v>331</v>
      </c>
      <c r="G79" s="4">
        <v>9556</v>
      </c>
    </row>
    <row r="80" spans="1:7">
      <c r="A80" s="4">
        <v>12572</v>
      </c>
      <c r="B80" s="5" t="s">
        <v>1111</v>
      </c>
      <c r="C80" s="4">
        <v>804</v>
      </c>
      <c r="D80" s="4">
        <v>154</v>
      </c>
      <c r="E80" s="4">
        <v>154</v>
      </c>
      <c r="F80" s="4">
        <v>305</v>
      </c>
      <c r="G80" s="4">
        <v>18581</v>
      </c>
    </row>
    <row r="81" spans="1:7">
      <c r="A81" s="4">
        <v>12572</v>
      </c>
      <c r="B81" s="5" t="s">
        <v>1111</v>
      </c>
      <c r="C81" s="4">
        <v>806</v>
      </c>
      <c r="D81" s="4">
        <v>99</v>
      </c>
      <c r="E81" s="4">
        <v>99</v>
      </c>
      <c r="F81" s="4">
        <v>324</v>
      </c>
      <c r="G81" s="4">
        <v>11530</v>
      </c>
    </row>
    <row r="82" spans="1:7">
      <c r="A82" s="4">
        <v>12572</v>
      </c>
      <c r="B82" s="5" t="s">
        <v>1111</v>
      </c>
      <c r="C82" s="4">
        <v>807</v>
      </c>
      <c r="D82" s="4">
        <v>99</v>
      </c>
      <c r="E82" s="4">
        <v>99</v>
      </c>
      <c r="F82" s="4">
        <v>331</v>
      </c>
      <c r="G82" s="4">
        <v>9328</v>
      </c>
    </row>
    <row r="83" spans="1:7">
      <c r="A83" s="4">
        <v>12572</v>
      </c>
      <c r="B83" s="5" t="s">
        <v>1111</v>
      </c>
      <c r="C83" s="4">
        <v>808</v>
      </c>
      <c r="D83" s="4">
        <v>70</v>
      </c>
      <c r="E83" s="4">
        <v>70</v>
      </c>
      <c r="F83" s="4">
        <v>265</v>
      </c>
      <c r="G83" s="4">
        <v>41330</v>
      </c>
    </row>
    <row r="84" spans="1:7">
      <c r="A84" s="4">
        <v>12572</v>
      </c>
      <c r="B84" s="5" t="s">
        <v>1111</v>
      </c>
      <c r="C84" s="4">
        <v>810</v>
      </c>
      <c r="D84" s="4">
        <v>50</v>
      </c>
      <c r="E84" s="4">
        <v>50</v>
      </c>
      <c r="F84" s="4">
        <v>335</v>
      </c>
      <c r="G84" s="4">
        <v>8476</v>
      </c>
    </row>
    <row r="85" spans="1:7">
      <c r="A85" s="4">
        <v>12572</v>
      </c>
      <c r="B85" s="5" t="s">
        <v>1111</v>
      </c>
      <c r="C85" s="4">
        <v>811</v>
      </c>
      <c r="D85" s="4">
        <v>44</v>
      </c>
      <c r="E85" s="4">
        <v>44</v>
      </c>
      <c r="F85" s="4">
        <v>315</v>
      </c>
      <c r="G85" s="4">
        <v>14559</v>
      </c>
    </row>
    <row r="86" spans="1:7">
      <c r="A86" s="4">
        <v>12572</v>
      </c>
      <c r="B86" s="5" t="s">
        <v>1111</v>
      </c>
      <c r="C86" s="4">
        <v>813</v>
      </c>
      <c r="D86" s="4">
        <v>50</v>
      </c>
      <c r="E86" s="4">
        <v>50</v>
      </c>
      <c r="F86" s="4">
        <v>203</v>
      </c>
      <c r="G86" s="4">
        <v>94638</v>
      </c>
    </row>
    <row r="87" spans="1:7">
      <c r="A87" s="4">
        <v>12573</v>
      </c>
      <c r="B87" s="5" t="s">
        <v>1112</v>
      </c>
      <c r="C87" s="4">
        <v>801</v>
      </c>
      <c r="D87" s="4">
        <v>779</v>
      </c>
      <c r="E87" s="4">
        <v>779</v>
      </c>
      <c r="F87" s="4">
        <v>281</v>
      </c>
      <c r="G87" s="4">
        <v>30881</v>
      </c>
    </row>
    <row r="88" spans="1:7">
      <c r="A88" s="4">
        <v>12573</v>
      </c>
      <c r="B88" s="5" t="s">
        <v>1112</v>
      </c>
      <c r="C88" s="4">
        <v>802</v>
      </c>
      <c r="D88" s="4">
        <v>515</v>
      </c>
      <c r="E88" s="4">
        <v>515</v>
      </c>
      <c r="F88" s="4">
        <v>265</v>
      </c>
      <c r="G88" s="4">
        <v>41298</v>
      </c>
    </row>
    <row r="89" spans="1:7">
      <c r="A89" s="4">
        <v>12573</v>
      </c>
      <c r="B89" s="5" t="s">
        <v>1112</v>
      </c>
      <c r="C89" s="4">
        <v>803</v>
      </c>
      <c r="D89" s="4">
        <v>251</v>
      </c>
      <c r="E89" s="4">
        <v>251</v>
      </c>
      <c r="F89" s="4">
        <v>274</v>
      </c>
      <c r="G89" s="4">
        <v>35385</v>
      </c>
    </row>
    <row r="90" spans="1:7">
      <c r="A90" s="4">
        <v>12573</v>
      </c>
      <c r="B90" s="5" t="s">
        <v>1112</v>
      </c>
      <c r="C90" s="4">
        <v>804</v>
      </c>
      <c r="D90" s="4">
        <v>61</v>
      </c>
      <c r="E90" s="4">
        <v>61</v>
      </c>
      <c r="F90" s="4">
        <v>226</v>
      </c>
      <c r="G90" s="4">
        <v>73868</v>
      </c>
    </row>
    <row r="91" spans="1:7">
      <c r="A91" s="4">
        <v>12573</v>
      </c>
      <c r="B91" s="5" t="s">
        <v>1112</v>
      </c>
      <c r="C91" s="4">
        <v>805</v>
      </c>
      <c r="D91" s="4">
        <v>67</v>
      </c>
      <c r="E91" s="4">
        <v>67</v>
      </c>
      <c r="F91" s="4">
        <v>257</v>
      </c>
      <c r="G91" s="4">
        <v>47212</v>
      </c>
    </row>
    <row r="92" spans="1:7">
      <c r="A92" s="4">
        <v>12575</v>
      </c>
      <c r="B92" s="5" t="s">
        <v>1113</v>
      </c>
      <c r="C92" s="4">
        <v>801</v>
      </c>
      <c r="D92" s="4">
        <v>350</v>
      </c>
      <c r="E92" s="4">
        <v>350</v>
      </c>
      <c r="F92" s="4">
        <v>204</v>
      </c>
      <c r="G92" s="4">
        <v>93987</v>
      </c>
    </row>
    <row r="93" spans="1:7">
      <c r="A93" s="4">
        <v>12575</v>
      </c>
      <c r="B93" s="5" t="s">
        <v>1113</v>
      </c>
      <c r="C93" s="4">
        <v>802</v>
      </c>
      <c r="D93" s="4">
        <v>245</v>
      </c>
      <c r="E93" s="4">
        <v>245</v>
      </c>
      <c r="F93" s="4">
        <v>187</v>
      </c>
      <c r="G93" s="4">
        <v>110448</v>
      </c>
    </row>
    <row r="94" spans="1:7">
      <c r="A94" s="4">
        <v>12576</v>
      </c>
      <c r="B94" s="5" t="s">
        <v>1114</v>
      </c>
      <c r="C94" s="4">
        <v>801</v>
      </c>
      <c r="D94" s="4">
        <v>810</v>
      </c>
      <c r="E94" s="4">
        <v>810</v>
      </c>
      <c r="F94" s="4">
        <v>166</v>
      </c>
      <c r="G94" s="4">
        <v>135273</v>
      </c>
    </row>
    <row r="95" spans="1:7">
      <c r="A95" s="4">
        <v>12577</v>
      </c>
      <c r="B95" s="5" t="s">
        <v>1115</v>
      </c>
      <c r="C95" s="4">
        <v>801</v>
      </c>
      <c r="D95" s="4">
        <v>1930</v>
      </c>
      <c r="E95" s="4">
        <v>1930</v>
      </c>
      <c r="F95" s="4">
        <v>251</v>
      </c>
      <c r="G95" s="4">
        <v>52204</v>
      </c>
    </row>
    <row r="96" spans="1:7">
      <c r="A96" s="4">
        <v>12578</v>
      </c>
      <c r="B96" s="5" t="s">
        <v>1116</v>
      </c>
      <c r="C96" s="4">
        <v>802</v>
      </c>
      <c r="D96" s="4">
        <v>172</v>
      </c>
      <c r="E96" s="4">
        <v>172</v>
      </c>
      <c r="F96" s="4">
        <v>225</v>
      </c>
      <c r="G96" s="4">
        <v>74675</v>
      </c>
    </row>
    <row r="97" spans="1:7">
      <c r="A97" s="4">
        <v>12736</v>
      </c>
      <c r="B97" s="5" t="s">
        <v>1117</v>
      </c>
      <c r="C97" s="4">
        <v>801</v>
      </c>
      <c r="D97" s="4">
        <v>1490</v>
      </c>
      <c r="E97" s="4">
        <v>1490</v>
      </c>
      <c r="F97" s="4">
        <v>255</v>
      </c>
      <c r="G97" s="4">
        <v>48898</v>
      </c>
    </row>
    <row r="98" spans="1:7">
      <c r="A98" s="4">
        <v>12736</v>
      </c>
      <c r="B98" s="5" t="s">
        <v>1117</v>
      </c>
      <c r="C98" s="4">
        <v>802</v>
      </c>
      <c r="D98" s="4">
        <v>240</v>
      </c>
      <c r="E98" s="4">
        <v>240</v>
      </c>
      <c r="F98" s="4">
        <v>220</v>
      </c>
      <c r="G98" s="4">
        <v>78627</v>
      </c>
    </row>
    <row r="99" spans="1:7">
      <c r="A99" s="4">
        <v>12736</v>
      </c>
      <c r="B99" s="5" t="s">
        <v>1117</v>
      </c>
      <c r="C99" s="4">
        <v>804</v>
      </c>
      <c r="D99" s="4">
        <v>15</v>
      </c>
      <c r="E99" s="4">
        <v>15</v>
      </c>
      <c r="F99" s="4">
        <v>214</v>
      </c>
      <c r="G99" s="4">
        <v>84212</v>
      </c>
    </row>
    <row r="100" spans="1:7">
      <c r="A100" s="4">
        <v>12736</v>
      </c>
      <c r="B100" s="5" t="s">
        <v>1117</v>
      </c>
      <c r="C100" s="4">
        <v>805</v>
      </c>
      <c r="D100" s="4">
        <v>55</v>
      </c>
      <c r="E100" s="4">
        <v>55</v>
      </c>
      <c r="F100" s="4">
        <v>217</v>
      </c>
      <c r="G100" s="4">
        <v>81868</v>
      </c>
    </row>
    <row r="101" spans="1:7">
      <c r="A101" s="4">
        <v>12741</v>
      </c>
      <c r="B101" s="5" t="s">
        <v>1118</v>
      </c>
      <c r="C101" s="4">
        <v>801</v>
      </c>
      <c r="D101" s="4">
        <v>1021</v>
      </c>
      <c r="E101" s="4">
        <v>1021</v>
      </c>
      <c r="F101" s="4">
        <v>284</v>
      </c>
      <c r="G101" s="4">
        <v>28707</v>
      </c>
    </row>
    <row r="102" spans="1:7">
      <c r="A102" s="4">
        <v>12741</v>
      </c>
      <c r="B102" s="5" t="s">
        <v>1118</v>
      </c>
      <c r="C102" s="4">
        <v>802</v>
      </c>
      <c r="D102" s="4">
        <v>124</v>
      </c>
      <c r="E102" s="4">
        <v>124</v>
      </c>
      <c r="F102" s="4">
        <v>286</v>
      </c>
      <c r="G102" s="4">
        <v>27550</v>
      </c>
    </row>
    <row r="103" spans="1:7">
      <c r="A103" s="4">
        <v>12741</v>
      </c>
      <c r="B103" s="5" t="s">
        <v>1118</v>
      </c>
      <c r="C103" s="4">
        <v>803</v>
      </c>
      <c r="D103" s="4">
        <v>140</v>
      </c>
      <c r="E103" s="4">
        <v>140</v>
      </c>
      <c r="F103" s="4">
        <v>292</v>
      </c>
      <c r="G103" s="4">
        <v>24425</v>
      </c>
    </row>
    <row r="104" spans="1:7">
      <c r="A104" s="4">
        <v>12741</v>
      </c>
      <c r="B104" s="5" t="s">
        <v>1118</v>
      </c>
      <c r="C104" s="4">
        <v>804</v>
      </c>
      <c r="D104" s="4">
        <v>379</v>
      </c>
      <c r="E104" s="4">
        <v>379</v>
      </c>
      <c r="F104" s="4">
        <v>276</v>
      </c>
      <c r="G104" s="4">
        <v>33913</v>
      </c>
    </row>
    <row r="105" spans="1:7">
      <c r="A105" s="4">
        <v>12741</v>
      </c>
      <c r="B105" s="5" t="s">
        <v>1118</v>
      </c>
      <c r="C105" s="4">
        <v>805</v>
      </c>
      <c r="D105" s="4">
        <v>18</v>
      </c>
      <c r="E105" s="4">
        <v>18</v>
      </c>
      <c r="F105" s="4">
        <v>231</v>
      </c>
      <c r="G105" s="4">
        <v>69246</v>
      </c>
    </row>
    <row r="106" spans="1:7">
      <c r="A106" s="4">
        <v>12742</v>
      </c>
      <c r="B106" s="5" t="s">
        <v>1119</v>
      </c>
      <c r="C106" s="4">
        <v>801</v>
      </c>
      <c r="D106" s="4">
        <v>265</v>
      </c>
      <c r="E106" s="4">
        <v>265</v>
      </c>
      <c r="F106" s="4">
        <v>236</v>
      </c>
      <c r="G106" s="4">
        <v>64880</v>
      </c>
    </row>
    <row r="107" spans="1:7">
      <c r="A107" s="4">
        <v>12742</v>
      </c>
      <c r="B107" s="5" t="s">
        <v>1119</v>
      </c>
      <c r="C107" s="4">
        <v>802</v>
      </c>
      <c r="D107" s="4">
        <v>25</v>
      </c>
      <c r="E107" s="4">
        <v>25</v>
      </c>
      <c r="F107" s="4">
        <v>280</v>
      </c>
      <c r="G107" s="4">
        <v>31200</v>
      </c>
    </row>
    <row r="108" spans="1:7">
      <c r="A108" s="4">
        <v>12742</v>
      </c>
      <c r="B108" s="5" t="s">
        <v>1119</v>
      </c>
      <c r="C108" s="4">
        <v>803</v>
      </c>
      <c r="D108" s="4">
        <v>30</v>
      </c>
      <c r="E108" s="4">
        <v>30</v>
      </c>
      <c r="F108" s="4">
        <v>237</v>
      </c>
      <c r="G108" s="4">
        <v>63518</v>
      </c>
    </row>
    <row r="109" spans="1:7">
      <c r="A109" s="4">
        <v>12742</v>
      </c>
      <c r="B109" s="5" t="s">
        <v>1119</v>
      </c>
      <c r="C109" s="4">
        <v>804</v>
      </c>
      <c r="D109" s="4">
        <v>20</v>
      </c>
      <c r="E109" s="4">
        <v>20</v>
      </c>
      <c r="F109" s="4">
        <v>213</v>
      </c>
      <c r="G109" s="4">
        <v>84908</v>
      </c>
    </row>
    <row r="110" spans="1:7">
      <c r="A110" s="4">
        <v>12743</v>
      </c>
      <c r="B110" s="5" t="s">
        <v>1120</v>
      </c>
      <c r="C110" s="4">
        <v>802</v>
      </c>
      <c r="D110" s="4">
        <v>356</v>
      </c>
      <c r="E110" s="4">
        <v>356</v>
      </c>
      <c r="F110" s="4">
        <v>307</v>
      </c>
      <c r="G110" s="4">
        <v>17550</v>
      </c>
    </row>
    <row r="111" spans="1:7">
      <c r="A111" s="4">
        <v>12743</v>
      </c>
      <c r="B111" s="5" t="s">
        <v>1120</v>
      </c>
      <c r="C111" s="4">
        <v>803</v>
      </c>
      <c r="D111" s="4">
        <v>452</v>
      </c>
      <c r="E111" s="4">
        <v>452</v>
      </c>
      <c r="F111" s="4">
        <v>300</v>
      </c>
      <c r="G111" s="4">
        <v>20747</v>
      </c>
    </row>
    <row r="112" spans="1:7">
      <c r="A112" s="4">
        <v>12743</v>
      </c>
      <c r="B112" s="5" t="s">
        <v>1120</v>
      </c>
      <c r="C112" s="4">
        <v>804</v>
      </c>
      <c r="D112" s="4">
        <v>921</v>
      </c>
      <c r="E112" s="4">
        <v>921</v>
      </c>
      <c r="F112" s="4">
        <v>272</v>
      </c>
      <c r="G112" s="4">
        <v>36489</v>
      </c>
    </row>
    <row r="113" spans="1:7">
      <c r="A113" s="4">
        <v>12743</v>
      </c>
      <c r="B113" s="5" t="s">
        <v>1120</v>
      </c>
      <c r="C113" s="4">
        <v>805</v>
      </c>
      <c r="D113" s="4">
        <v>47</v>
      </c>
      <c r="E113" s="4">
        <v>47</v>
      </c>
      <c r="F113" s="4">
        <v>223</v>
      </c>
      <c r="G113" s="4">
        <v>76232</v>
      </c>
    </row>
    <row r="114" spans="1:7">
      <c r="A114" s="4">
        <v>12743</v>
      </c>
      <c r="B114" s="5" t="s">
        <v>1120</v>
      </c>
      <c r="C114" s="4">
        <v>806</v>
      </c>
      <c r="D114" s="4">
        <v>199</v>
      </c>
      <c r="E114" s="4">
        <v>199</v>
      </c>
      <c r="F114" s="4">
        <v>261</v>
      </c>
      <c r="G114" s="4">
        <v>44475</v>
      </c>
    </row>
    <row r="115" spans="1:7">
      <c r="A115" s="4">
        <v>12749</v>
      </c>
      <c r="B115" s="5" t="s">
        <v>1121</v>
      </c>
      <c r="C115" s="4">
        <v>801</v>
      </c>
      <c r="D115" s="4">
        <v>2705</v>
      </c>
      <c r="E115" s="4">
        <v>2705</v>
      </c>
      <c r="F115" s="4">
        <v>191</v>
      </c>
      <c r="G115" s="4">
        <v>106377</v>
      </c>
    </row>
    <row r="116" spans="1:7">
      <c r="A116" s="4">
        <v>12749</v>
      </c>
      <c r="B116" s="5" t="s">
        <v>1121</v>
      </c>
      <c r="C116" s="4">
        <v>802</v>
      </c>
      <c r="D116" s="4">
        <v>45</v>
      </c>
      <c r="E116" s="4">
        <v>45</v>
      </c>
      <c r="F116" s="4">
        <v>170</v>
      </c>
      <c r="G116" s="4">
        <v>130479</v>
      </c>
    </row>
    <row r="117" spans="1:7">
      <c r="A117" s="4">
        <v>12765</v>
      </c>
      <c r="B117" s="5" t="s">
        <v>1122</v>
      </c>
      <c r="C117" s="4">
        <v>805</v>
      </c>
      <c r="D117" s="4">
        <v>100</v>
      </c>
      <c r="E117" s="4">
        <v>100</v>
      </c>
      <c r="F117" s="4">
        <v>230</v>
      </c>
      <c r="G117" s="4">
        <v>70002</v>
      </c>
    </row>
    <row r="118" spans="1:7">
      <c r="A118" s="4">
        <v>12765</v>
      </c>
      <c r="B118" s="5" t="s">
        <v>1122</v>
      </c>
      <c r="C118" s="4">
        <v>810</v>
      </c>
      <c r="D118" s="4">
        <v>30</v>
      </c>
      <c r="E118" s="4">
        <v>30</v>
      </c>
      <c r="F118" s="4">
        <v>231</v>
      </c>
      <c r="G118" s="4">
        <v>69027</v>
      </c>
    </row>
    <row r="119" spans="1:7">
      <c r="A119" s="4">
        <v>12765</v>
      </c>
      <c r="B119" s="5" t="s">
        <v>1122</v>
      </c>
      <c r="C119" s="4">
        <v>811</v>
      </c>
      <c r="D119" s="4">
        <v>40</v>
      </c>
      <c r="E119" s="4">
        <v>40</v>
      </c>
      <c r="F119" s="4">
        <v>242</v>
      </c>
      <c r="G119" s="4">
        <v>59394</v>
      </c>
    </row>
    <row r="120" spans="1:7">
      <c r="A120" s="4">
        <v>12765</v>
      </c>
      <c r="B120" s="5" t="s">
        <v>1122</v>
      </c>
      <c r="C120" s="4">
        <v>812</v>
      </c>
      <c r="D120" s="4">
        <v>80</v>
      </c>
      <c r="E120" s="4">
        <v>80</v>
      </c>
      <c r="F120" s="4">
        <v>229</v>
      </c>
      <c r="G120" s="4">
        <v>70852</v>
      </c>
    </row>
    <row r="121" spans="1:7">
      <c r="A121" s="4">
        <v>12770</v>
      </c>
      <c r="B121" s="5" t="s">
        <v>1123</v>
      </c>
      <c r="C121" s="4">
        <v>802</v>
      </c>
      <c r="D121" s="4">
        <v>362</v>
      </c>
      <c r="E121" s="4">
        <v>362</v>
      </c>
      <c r="F121" s="4">
        <v>234</v>
      </c>
      <c r="G121" s="4">
        <v>66177</v>
      </c>
    </row>
    <row r="122" spans="1:7">
      <c r="A122" s="4">
        <v>12770</v>
      </c>
      <c r="B122" s="5" t="s">
        <v>1123</v>
      </c>
      <c r="C122" s="4">
        <v>803</v>
      </c>
      <c r="D122" s="4">
        <v>295</v>
      </c>
      <c r="E122" s="4">
        <v>295</v>
      </c>
      <c r="F122" s="4">
        <v>232</v>
      </c>
      <c r="G122" s="4">
        <v>67916</v>
      </c>
    </row>
    <row r="123" spans="1:7">
      <c r="A123" s="4">
        <v>12770</v>
      </c>
      <c r="B123" s="5" t="s">
        <v>1123</v>
      </c>
      <c r="C123" s="4">
        <v>804</v>
      </c>
      <c r="D123" s="4">
        <v>205</v>
      </c>
      <c r="E123" s="4">
        <v>205</v>
      </c>
      <c r="F123" s="4">
        <v>230</v>
      </c>
      <c r="G123" s="4">
        <v>70022</v>
      </c>
    </row>
    <row r="124" spans="1:7">
      <c r="A124" s="4">
        <v>12770</v>
      </c>
      <c r="B124" s="5" t="s">
        <v>1123</v>
      </c>
      <c r="C124" s="4">
        <v>805</v>
      </c>
      <c r="D124" s="4">
        <v>35</v>
      </c>
      <c r="E124" s="4">
        <v>35</v>
      </c>
      <c r="F124" s="4">
        <v>224</v>
      </c>
      <c r="G124" s="4">
        <v>75644</v>
      </c>
    </row>
    <row r="125" spans="1:7">
      <c r="A125" s="4">
        <v>12771</v>
      </c>
      <c r="B125" s="5" t="s">
        <v>1124</v>
      </c>
      <c r="C125" s="4">
        <v>801</v>
      </c>
      <c r="D125" s="4">
        <v>926</v>
      </c>
      <c r="E125" s="4">
        <v>927</v>
      </c>
      <c r="F125" s="4">
        <v>225</v>
      </c>
      <c r="G125" s="4">
        <v>74364</v>
      </c>
    </row>
    <row r="126" spans="1:7">
      <c r="A126" s="4">
        <v>12772</v>
      </c>
      <c r="B126" s="5" t="s">
        <v>1125</v>
      </c>
      <c r="C126" s="4">
        <v>801</v>
      </c>
      <c r="D126" s="4">
        <v>500</v>
      </c>
      <c r="E126" s="4">
        <v>500</v>
      </c>
      <c r="F126" s="4">
        <v>232</v>
      </c>
      <c r="G126" s="4">
        <v>67790</v>
      </c>
    </row>
    <row r="127" spans="1:7">
      <c r="A127" s="4">
        <v>12772</v>
      </c>
      <c r="B127" s="5" t="s">
        <v>1125</v>
      </c>
      <c r="C127" s="4">
        <v>802</v>
      </c>
      <c r="D127" s="4">
        <v>419</v>
      </c>
      <c r="E127" s="4">
        <v>419</v>
      </c>
      <c r="F127" s="4">
        <v>245</v>
      </c>
      <c r="G127" s="4">
        <v>56898</v>
      </c>
    </row>
    <row r="128" spans="1:7">
      <c r="A128" s="4">
        <v>12772</v>
      </c>
      <c r="B128" s="5" t="s">
        <v>1125</v>
      </c>
      <c r="C128" s="4">
        <v>803</v>
      </c>
      <c r="D128" s="4">
        <v>120</v>
      </c>
      <c r="E128" s="4">
        <v>120</v>
      </c>
      <c r="F128" s="4">
        <v>230</v>
      </c>
      <c r="G128" s="4">
        <v>70169</v>
      </c>
    </row>
    <row r="129" spans="1:7">
      <c r="A129" s="4">
        <v>12772</v>
      </c>
      <c r="B129" s="5" t="s">
        <v>1125</v>
      </c>
      <c r="C129" s="4">
        <v>806</v>
      </c>
      <c r="D129" s="4">
        <v>55</v>
      </c>
      <c r="E129" s="4">
        <v>55</v>
      </c>
      <c r="F129" s="4">
        <v>217</v>
      </c>
      <c r="G129" s="4">
        <v>81838</v>
      </c>
    </row>
    <row r="130" spans="1:7">
      <c r="A130" s="4">
        <v>12772</v>
      </c>
      <c r="B130" s="5" t="s">
        <v>1125</v>
      </c>
      <c r="C130" s="4">
        <v>807</v>
      </c>
      <c r="D130" s="4">
        <v>361</v>
      </c>
      <c r="E130" s="4">
        <v>362</v>
      </c>
      <c r="F130" s="4">
        <v>238</v>
      </c>
      <c r="G130" s="4">
        <v>62712</v>
      </c>
    </row>
    <row r="131" spans="1:7">
      <c r="A131" s="4">
        <v>12772</v>
      </c>
      <c r="B131" s="5" t="s">
        <v>1125</v>
      </c>
      <c r="C131" s="4">
        <v>808</v>
      </c>
      <c r="D131" s="4">
        <v>205</v>
      </c>
      <c r="E131" s="4">
        <v>205</v>
      </c>
      <c r="F131" s="4">
        <v>223</v>
      </c>
      <c r="G131" s="4">
        <v>75884</v>
      </c>
    </row>
    <row r="132" spans="1:7">
      <c r="A132" s="4">
        <v>12772</v>
      </c>
      <c r="B132" s="5" t="s">
        <v>1125</v>
      </c>
      <c r="C132" s="4">
        <v>809</v>
      </c>
      <c r="D132" s="4">
        <v>30</v>
      </c>
      <c r="E132" s="4">
        <v>30</v>
      </c>
      <c r="F132" s="4">
        <v>206</v>
      </c>
      <c r="G132" s="4">
        <v>91410</v>
      </c>
    </row>
    <row r="133" spans="1:7">
      <c r="A133" s="4">
        <v>12953</v>
      </c>
      <c r="B133" s="5" t="s">
        <v>1126</v>
      </c>
      <c r="C133" s="4">
        <v>801</v>
      </c>
      <c r="D133" s="4">
        <v>185</v>
      </c>
      <c r="E133" s="4">
        <v>185</v>
      </c>
      <c r="F133" s="4">
        <v>263</v>
      </c>
      <c r="G133" s="4">
        <v>42469</v>
      </c>
    </row>
    <row r="134" spans="1:7">
      <c r="A134" s="4">
        <v>12953</v>
      </c>
      <c r="B134" s="5" t="s">
        <v>1126</v>
      </c>
      <c r="C134" s="4">
        <v>802</v>
      </c>
      <c r="D134" s="4">
        <v>160</v>
      </c>
      <c r="E134" s="4">
        <v>160</v>
      </c>
      <c r="F134" s="4">
        <v>257</v>
      </c>
      <c r="G134" s="4">
        <v>47491</v>
      </c>
    </row>
    <row r="135" spans="1:7">
      <c r="A135" s="4">
        <v>12953</v>
      </c>
      <c r="B135" s="5" t="s">
        <v>1126</v>
      </c>
      <c r="C135" s="4">
        <v>803</v>
      </c>
      <c r="D135" s="4">
        <v>240</v>
      </c>
      <c r="E135" s="4">
        <v>240</v>
      </c>
      <c r="F135" s="4">
        <v>252</v>
      </c>
      <c r="G135" s="4">
        <v>51367</v>
      </c>
    </row>
    <row r="136" spans="1:7">
      <c r="A136" s="4">
        <v>12953</v>
      </c>
      <c r="B136" s="5" t="s">
        <v>1126</v>
      </c>
      <c r="C136" s="4">
        <v>804</v>
      </c>
      <c r="D136" s="4">
        <v>150</v>
      </c>
      <c r="E136" s="4">
        <v>150</v>
      </c>
      <c r="F136" s="4">
        <v>242</v>
      </c>
      <c r="G136" s="4">
        <v>59829</v>
      </c>
    </row>
    <row r="137" spans="1:7">
      <c r="A137" s="4">
        <v>12954</v>
      </c>
      <c r="B137" s="5" t="s">
        <v>1127</v>
      </c>
      <c r="C137" s="4">
        <v>802</v>
      </c>
      <c r="D137" s="4">
        <v>1757</v>
      </c>
      <c r="E137" s="4">
        <v>1757</v>
      </c>
      <c r="F137" s="4">
        <v>219</v>
      </c>
      <c r="G137" s="4">
        <v>79572</v>
      </c>
    </row>
    <row r="138" spans="1:7">
      <c r="A138" s="4">
        <v>12954</v>
      </c>
      <c r="B138" s="5" t="s">
        <v>1127</v>
      </c>
      <c r="C138" s="4">
        <v>803</v>
      </c>
      <c r="D138" s="4">
        <v>30</v>
      </c>
      <c r="E138" s="4">
        <v>30</v>
      </c>
      <c r="F138" s="4">
        <v>210</v>
      </c>
      <c r="G138" s="4">
        <v>88185</v>
      </c>
    </row>
    <row r="139" spans="1:7">
      <c r="A139" s="4">
        <v>12956</v>
      </c>
      <c r="B139" s="5" t="s">
        <v>1128</v>
      </c>
      <c r="C139" s="4">
        <v>801</v>
      </c>
      <c r="D139" s="4">
        <v>448</v>
      </c>
      <c r="E139" s="4">
        <v>448</v>
      </c>
      <c r="F139" s="4">
        <v>222</v>
      </c>
      <c r="G139" s="4">
        <v>76680</v>
      </c>
    </row>
    <row r="140" spans="1:7">
      <c r="A140" s="4">
        <v>12957</v>
      </c>
      <c r="B140" s="5" t="s">
        <v>1129</v>
      </c>
      <c r="C140" s="4">
        <v>801</v>
      </c>
      <c r="D140" s="4">
        <v>152</v>
      </c>
      <c r="E140" s="4">
        <v>152</v>
      </c>
      <c r="F140" s="4">
        <v>370</v>
      </c>
      <c r="G140" s="4">
        <v>1718</v>
      </c>
    </row>
    <row r="141" spans="1:7">
      <c r="A141" s="4">
        <v>12957</v>
      </c>
      <c r="B141" s="5" t="s">
        <v>1129</v>
      </c>
      <c r="C141" s="4">
        <v>802</v>
      </c>
      <c r="D141" s="4">
        <v>125</v>
      </c>
      <c r="E141" s="4">
        <v>125</v>
      </c>
      <c r="F141" s="4">
        <v>365</v>
      </c>
      <c r="G141" s="4">
        <v>2298</v>
      </c>
    </row>
    <row r="142" spans="1:7">
      <c r="A142" s="4">
        <v>12957</v>
      </c>
      <c r="B142" s="5" t="s">
        <v>1129</v>
      </c>
      <c r="C142" s="4">
        <v>803</v>
      </c>
      <c r="D142" s="4">
        <v>297</v>
      </c>
      <c r="E142" s="4">
        <v>297</v>
      </c>
      <c r="F142" s="4">
        <v>359</v>
      </c>
      <c r="G142" s="4">
        <v>3189</v>
      </c>
    </row>
    <row r="143" spans="1:7">
      <c r="A143" s="4">
        <v>12957</v>
      </c>
      <c r="B143" s="5" t="s">
        <v>1129</v>
      </c>
      <c r="C143" s="4">
        <v>804</v>
      </c>
      <c r="D143" s="4">
        <v>300</v>
      </c>
      <c r="E143" s="4">
        <v>300</v>
      </c>
      <c r="F143" s="4">
        <v>355</v>
      </c>
      <c r="G143" s="4">
        <v>3874</v>
      </c>
    </row>
    <row r="144" spans="1:7">
      <c r="A144" s="4">
        <v>12957</v>
      </c>
      <c r="B144" s="5" t="s">
        <v>1129</v>
      </c>
      <c r="C144" s="4">
        <v>805</v>
      </c>
      <c r="D144" s="4">
        <v>15</v>
      </c>
      <c r="E144" s="4">
        <v>15</v>
      </c>
      <c r="F144" s="4">
        <v>354</v>
      </c>
      <c r="G144" s="4">
        <v>4018</v>
      </c>
    </row>
    <row r="145" spans="1:7">
      <c r="A145" s="4">
        <v>12957</v>
      </c>
      <c r="B145" s="5" t="s">
        <v>1129</v>
      </c>
      <c r="C145" s="4">
        <v>806</v>
      </c>
      <c r="D145" s="4">
        <v>16</v>
      </c>
      <c r="E145" s="4">
        <v>16</v>
      </c>
      <c r="F145" s="4">
        <v>362</v>
      </c>
      <c r="G145" s="4">
        <v>2798</v>
      </c>
    </row>
    <row r="146" spans="1:7">
      <c r="A146" s="4">
        <v>12957</v>
      </c>
      <c r="B146" s="5" t="s">
        <v>1129</v>
      </c>
      <c r="C146" s="4">
        <v>807</v>
      </c>
      <c r="D146" s="4">
        <v>47</v>
      </c>
      <c r="E146" s="4">
        <v>47</v>
      </c>
      <c r="F146" s="4">
        <v>355</v>
      </c>
      <c r="G146" s="4">
        <v>3916</v>
      </c>
    </row>
    <row r="147" spans="1:7">
      <c r="A147" s="4">
        <v>12957</v>
      </c>
      <c r="B147" s="5" t="s">
        <v>1129</v>
      </c>
      <c r="C147" s="4">
        <v>808</v>
      </c>
      <c r="D147" s="4">
        <v>30</v>
      </c>
      <c r="E147" s="4">
        <v>30</v>
      </c>
      <c r="F147" s="4">
        <v>362</v>
      </c>
      <c r="G147" s="4">
        <v>2715</v>
      </c>
    </row>
    <row r="148" spans="1:7">
      <c r="A148" s="4">
        <v>12957</v>
      </c>
      <c r="B148" s="5" t="s">
        <v>1129</v>
      </c>
      <c r="C148" s="4">
        <v>809</v>
      </c>
      <c r="D148" s="4">
        <v>8</v>
      </c>
      <c r="E148" s="4">
        <v>8</v>
      </c>
      <c r="F148" s="4">
        <v>231</v>
      </c>
      <c r="G148" s="4">
        <v>68788</v>
      </c>
    </row>
    <row r="149" spans="1:7">
      <c r="A149" s="4">
        <v>12958</v>
      </c>
      <c r="B149" s="5" t="s">
        <v>1130</v>
      </c>
      <c r="C149" s="4">
        <v>801</v>
      </c>
      <c r="D149" s="4">
        <v>30</v>
      </c>
      <c r="E149" s="4">
        <v>30</v>
      </c>
      <c r="F149" s="4">
        <v>309</v>
      </c>
      <c r="G149" s="4">
        <v>16713</v>
      </c>
    </row>
    <row r="150" spans="1:7">
      <c r="A150" s="4">
        <v>12958</v>
      </c>
      <c r="B150" s="5" t="s">
        <v>1130</v>
      </c>
      <c r="C150" s="4">
        <v>802</v>
      </c>
      <c r="D150" s="4">
        <v>30</v>
      </c>
      <c r="E150" s="4">
        <v>30</v>
      </c>
      <c r="F150" s="4">
        <v>282</v>
      </c>
      <c r="G150" s="4">
        <v>29821</v>
      </c>
    </row>
    <row r="151" spans="1:7">
      <c r="A151" s="4">
        <v>12958</v>
      </c>
      <c r="B151" s="5" t="s">
        <v>1130</v>
      </c>
      <c r="C151" s="4">
        <v>803</v>
      </c>
      <c r="D151" s="4">
        <v>10</v>
      </c>
      <c r="E151" s="4">
        <v>10</v>
      </c>
      <c r="F151" s="4">
        <v>251</v>
      </c>
      <c r="G151" s="4">
        <v>52309</v>
      </c>
    </row>
    <row r="152" spans="1:7">
      <c r="A152" s="4">
        <v>12958</v>
      </c>
      <c r="B152" s="5" t="s">
        <v>1130</v>
      </c>
      <c r="C152" s="4">
        <v>804</v>
      </c>
      <c r="D152" s="4">
        <v>30</v>
      </c>
      <c r="E152" s="4">
        <v>30</v>
      </c>
      <c r="F152" s="4">
        <v>231</v>
      </c>
      <c r="G152" s="4">
        <v>69118</v>
      </c>
    </row>
    <row r="153" spans="1:7">
      <c r="A153" s="4">
        <v>12958</v>
      </c>
      <c r="B153" s="5" t="s">
        <v>1130</v>
      </c>
      <c r="C153" s="4">
        <v>805</v>
      </c>
      <c r="D153" s="4">
        <v>255</v>
      </c>
      <c r="E153" s="4">
        <v>255</v>
      </c>
      <c r="F153" s="4">
        <v>262</v>
      </c>
      <c r="G153" s="4">
        <v>43409</v>
      </c>
    </row>
    <row r="154" spans="1:7">
      <c r="A154" s="4">
        <v>12958</v>
      </c>
      <c r="B154" s="5" t="s">
        <v>1130</v>
      </c>
      <c r="C154" s="4">
        <v>806</v>
      </c>
      <c r="D154" s="4">
        <v>67</v>
      </c>
      <c r="E154" s="4">
        <v>67</v>
      </c>
      <c r="F154" s="4">
        <v>241</v>
      </c>
      <c r="G154" s="4">
        <v>60721</v>
      </c>
    </row>
    <row r="155" spans="1:7">
      <c r="A155" s="4">
        <v>12958</v>
      </c>
      <c r="B155" s="5" t="s">
        <v>1130</v>
      </c>
      <c r="C155" s="4">
        <v>807</v>
      </c>
      <c r="D155" s="4">
        <v>232</v>
      </c>
      <c r="E155" s="4">
        <v>232</v>
      </c>
      <c r="F155" s="4">
        <v>241</v>
      </c>
      <c r="G155" s="4">
        <v>60332</v>
      </c>
    </row>
    <row r="156" spans="1:7">
      <c r="A156" s="4">
        <v>12958</v>
      </c>
      <c r="B156" s="5" t="s">
        <v>1130</v>
      </c>
      <c r="C156" s="4">
        <v>808</v>
      </c>
      <c r="D156" s="4">
        <v>210</v>
      </c>
      <c r="E156" s="4">
        <v>210</v>
      </c>
      <c r="F156" s="4">
        <v>269</v>
      </c>
      <c r="G156" s="4">
        <v>38468</v>
      </c>
    </row>
    <row r="157" spans="1:7">
      <c r="A157" s="4">
        <v>12958</v>
      </c>
      <c r="B157" s="5" t="s">
        <v>1130</v>
      </c>
      <c r="C157" s="4">
        <v>809</v>
      </c>
      <c r="D157" s="4">
        <v>236</v>
      </c>
      <c r="E157" s="4">
        <v>236</v>
      </c>
      <c r="F157" s="4">
        <v>242</v>
      </c>
      <c r="G157" s="4">
        <v>59797</v>
      </c>
    </row>
    <row r="158" spans="1:7">
      <c r="A158" s="4">
        <v>12958</v>
      </c>
      <c r="B158" s="5" t="s">
        <v>1130</v>
      </c>
      <c r="C158" s="4">
        <v>810</v>
      </c>
      <c r="D158" s="4">
        <v>45</v>
      </c>
      <c r="E158" s="4">
        <v>45</v>
      </c>
      <c r="F158" s="4">
        <v>237</v>
      </c>
      <c r="G158" s="4">
        <v>63901</v>
      </c>
    </row>
    <row r="159" spans="1:7">
      <c r="A159" s="4">
        <v>12958</v>
      </c>
      <c r="B159" s="5" t="s">
        <v>1130</v>
      </c>
      <c r="C159" s="4">
        <v>811</v>
      </c>
      <c r="D159" s="4">
        <v>10</v>
      </c>
      <c r="E159" s="4">
        <v>10</v>
      </c>
      <c r="F159" s="4">
        <v>244</v>
      </c>
      <c r="G159" s="4">
        <v>57935</v>
      </c>
    </row>
    <row r="160" spans="1:7">
      <c r="A160" s="4">
        <v>12959</v>
      </c>
      <c r="B160" s="5" t="s">
        <v>1131</v>
      </c>
      <c r="C160" s="4">
        <v>801</v>
      </c>
      <c r="D160" s="4">
        <v>2153</v>
      </c>
      <c r="E160" s="4">
        <v>2153</v>
      </c>
      <c r="F160" s="4">
        <v>314</v>
      </c>
      <c r="G160" s="4">
        <v>14982</v>
      </c>
    </row>
    <row r="161" spans="1:7">
      <c r="A161" s="4">
        <v>12959</v>
      </c>
      <c r="B161" s="5" t="s">
        <v>1131</v>
      </c>
      <c r="C161" s="4">
        <v>803</v>
      </c>
      <c r="D161" s="4">
        <v>135</v>
      </c>
      <c r="E161" s="4">
        <v>135</v>
      </c>
      <c r="F161" s="4">
        <v>318</v>
      </c>
      <c r="G161" s="4">
        <v>13550</v>
      </c>
    </row>
    <row r="162" spans="1:7">
      <c r="A162" s="4">
        <v>12960</v>
      </c>
      <c r="B162" s="5" t="s">
        <v>1132</v>
      </c>
      <c r="C162" s="4">
        <v>801</v>
      </c>
      <c r="D162" s="4">
        <v>49</v>
      </c>
      <c r="E162" s="4">
        <v>49</v>
      </c>
      <c r="F162" s="4">
        <v>272</v>
      </c>
      <c r="G162" s="4">
        <v>36499</v>
      </c>
    </row>
    <row r="163" spans="1:7">
      <c r="A163" s="4">
        <v>12961</v>
      </c>
      <c r="B163" s="5" t="s">
        <v>1133</v>
      </c>
      <c r="C163" s="4">
        <v>801</v>
      </c>
      <c r="D163" s="4">
        <v>543</v>
      </c>
      <c r="E163" s="4">
        <v>543</v>
      </c>
      <c r="F163" s="4">
        <v>176</v>
      </c>
      <c r="G163" s="4">
        <v>123065</v>
      </c>
    </row>
    <row r="164" spans="1:7">
      <c r="A164" s="4">
        <v>12962</v>
      </c>
      <c r="B164" s="5" t="s">
        <v>1134</v>
      </c>
      <c r="C164" s="4">
        <v>802</v>
      </c>
      <c r="D164" s="4">
        <v>415</v>
      </c>
      <c r="E164" s="4">
        <v>415</v>
      </c>
      <c r="F164" s="4">
        <v>224</v>
      </c>
      <c r="G164" s="4">
        <v>75058</v>
      </c>
    </row>
    <row r="165" spans="1:7">
      <c r="A165" s="4">
        <v>12962</v>
      </c>
      <c r="B165" s="5" t="s">
        <v>1134</v>
      </c>
      <c r="C165" s="4">
        <v>807</v>
      </c>
      <c r="D165" s="4">
        <v>20</v>
      </c>
      <c r="E165" s="4">
        <v>20</v>
      </c>
      <c r="F165" s="4">
        <v>247</v>
      </c>
      <c r="G165" s="4">
        <v>55749</v>
      </c>
    </row>
    <row r="166" spans="1:7">
      <c r="A166" s="4">
        <v>12962</v>
      </c>
      <c r="B166" s="5" t="s">
        <v>1134</v>
      </c>
      <c r="C166" s="4">
        <v>808</v>
      </c>
      <c r="D166" s="4">
        <v>80</v>
      </c>
      <c r="E166" s="4">
        <v>80</v>
      </c>
      <c r="F166" s="4">
        <v>235</v>
      </c>
      <c r="G166" s="4">
        <v>65803</v>
      </c>
    </row>
    <row r="167" spans="1:7">
      <c r="A167" s="4">
        <v>12962</v>
      </c>
      <c r="B167" s="5" t="s">
        <v>1134</v>
      </c>
      <c r="C167" s="4">
        <v>810</v>
      </c>
      <c r="D167" s="4">
        <v>30</v>
      </c>
      <c r="E167" s="4">
        <v>30</v>
      </c>
      <c r="F167" s="4">
        <v>219</v>
      </c>
      <c r="G167" s="4">
        <v>79757</v>
      </c>
    </row>
    <row r="168" spans="1:7">
      <c r="A168" s="4">
        <v>12962</v>
      </c>
      <c r="B168" s="5" t="s">
        <v>1134</v>
      </c>
      <c r="C168" s="4">
        <v>811</v>
      </c>
      <c r="D168" s="4">
        <v>20</v>
      </c>
      <c r="E168" s="4">
        <v>20</v>
      </c>
      <c r="F168" s="4">
        <v>224</v>
      </c>
      <c r="G168" s="4">
        <v>75214</v>
      </c>
    </row>
    <row r="169" spans="1:7">
      <c r="A169" s="4">
        <v>12962</v>
      </c>
      <c r="B169" s="5" t="s">
        <v>1134</v>
      </c>
      <c r="C169" s="4">
        <v>812</v>
      </c>
      <c r="D169" s="4">
        <v>1305</v>
      </c>
      <c r="E169" s="4">
        <v>1305</v>
      </c>
      <c r="F169" s="4">
        <v>235</v>
      </c>
      <c r="G169" s="4">
        <v>65732</v>
      </c>
    </row>
    <row r="170" spans="1:7">
      <c r="A170" s="4">
        <v>13707</v>
      </c>
      <c r="B170" s="5" t="s">
        <v>1135</v>
      </c>
      <c r="C170" s="4">
        <v>801</v>
      </c>
      <c r="D170" s="4">
        <v>430</v>
      </c>
      <c r="E170" s="4">
        <v>430</v>
      </c>
      <c r="F170" s="4">
        <v>239</v>
      </c>
      <c r="G170" s="4">
        <v>61848</v>
      </c>
    </row>
    <row r="171" spans="1:7">
      <c r="A171" s="4">
        <v>13707</v>
      </c>
      <c r="B171" s="5" t="s">
        <v>1135</v>
      </c>
      <c r="C171" s="4">
        <v>804</v>
      </c>
      <c r="D171" s="4">
        <v>268</v>
      </c>
      <c r="E171" s="4">
        <v>268</v>
      </c>
      <c r="F171" s="4">
        <v>200</v>
      </c>
      <c r="G171" s="4">
        <v>97106</v>
      </c>
    </row>
    <row r="172" spans="1:7">
      <c r="A172" s="4">
        <v>13707</v>
      </c>
      <c r="B172" s="5" t="s">
        <v>1135</v>
      </c>
      <c r="C172" s="4">
        <v>805</v>
      </c>
      <c r="D172" s="4">
        <v>53</v>
      </c>
      <c r="E172" s="4">
        <v>53</v>
      </c>
      <c r="F172" s="4">
        <v>228</v>
      </c>
      <c r="G172" s="4">
        <v>72107</v>
      </c>
    </row>
    <row r="173" spans="1:7">
      <c r="A173" s="4">
        <v>13707</v>
      </c>
      <c r="B173" s="5" t="s">
        <v>1135</v>
      </c>
      <c r="C173" s="4">
        <v>807</v>
      </c>
      <c r="D173" s="4">
        <v>23</v>
      </c>
      <c r="E173" s="4">
        <v>23</v>
      </c>
      <c r="F173" s="4">
        <v>267</v>
      </c>
      <c r="G173" s="4">
        <v>40040</v>
      </c>
    </row>
    <row r="174" spans="1:7">
      <c r="A174" s="4">
        <v>13707</v>
      </c>
      <c r="B174" s="5" t="s">
        <v>1135</v>
      </c>
      <c r="C174" s="4">
        <v>808</v>
      </c>
      <c r="D174" s="4">
        <v>181</v>
      </c>
      <c r="E174" s="4">
        <v>181</v>
      </c>
      <c r="F174" s="4">
        <v>256</v>
      </c>
      <c r="G174" s="4">
        <v>48264</v>
      </c>
    </row>
    <row r="175" spans="1:7">
      <c r="A175" s="4">
        <v>13708</v>
      </c>
      <c r="B175" s="5" t="s">
        <v>1136</v>
      </c>
      <c r="C175" s="4">
        <v>802</v>
      </c>
      <c r="D175" s="4">
        <v>12</v>
      </c>
      <c r="E175" s="4">
        <v>12</v>
      </c>
      <c r="F175" s="4">
        <v>297</v>
      </c>
      <c r="G175" s="4">
        <v>21985</v>
      </c>
    </row>
    <row r="176" spans="1:7">
      <c r="A176" s="4">
        <v>13708</v>
      </c>
      <c r="B176" s="5" t="s">
        <v>1136</v>
      </c>
      <c r="C176" s="4">
        <v>803</v>
      </c>
      <c r="D176" s="4">
        <v>10</v>
      </c>
      <c r="E176" s="4">
        <v>10</v>
      </c>
      <c r="F176" s="4">
        <v>275</v>
      </c>
      <c r="G176" s="4">
        <v>34195</v>
      </c>
    </row>
    <row r="177" spans="1:7">
      <c r="A177" s="4">
        <v>13708</v>
      </c>
      <c r="B177" s="5" t="s">
        <v>1136</v>
      </c>
      <c r="C177" s="4">
        <v>804</v>
      </c>
      <c r="D177" s="4">
        <v>50</v>
      </c>
      <c r="E177" s="4">
        <v>50</v>
      </c>
      <c r="F177" s="4">
        <v>276</v>
      </c>
      <c r="G177" s="4">
        <v>33745</v>
      </c>
    </row>
    <row r="178" spans="1:7">
      <c r="A178" s="4">
        <v>13709</v>
      </c>
      <c r="B178" s="5" t="s">
        <v>1137</v>
      </c>
      <c r="C178" s="4">
        <v>801</v>
      </c>
      <c r="D178" s="4">
        <v>226</v>
      </c>
      <c r="E178" s="4">
        <v>226</v>
      </c>
      <c r="F178" s="4">
        <v>245</v>
      </c>
      <c r="G178" s="4">
        <v>56835</v>
      </c>
    </row>
    <row r="179" spans="1:7">
      <c r="A179" s="4">
        <v>13709</v>
      </c>
      <c r="B179" s="5" t="s">
        <v>1137</v>
      </c>
      <c r="C179" s="4">
        <v>802</v>
      </c>
      <c r="D179" s="4">
        <v>466</v>
      </c>
      <c r="E179" s="4">
        <v>466</v>
      </c>
      <c r="F179" s="4">
        <v>264</v>
      </c>
      <c r="G179" s="4">
        <v>42033</v>
      </c>
    </row>
    <row r="180" spans="1:7">
      <c r="A180" s="4">
        <v>13709</v>
      </c>
      <c r="B180" s="5" t="s">
        <v>1137</v>
      </c>
      <c r="C180" s="4">
        <v>803</v>
      </c>
      <c r="D180" s="4">
        <v>105</v>
      </c>
      <c r="E180" s="4">
        <v>105</v>
      </c>
      <c r="F180" s="4">
        <v>230</v>
      </c>
      <c r="G180" s="4">
        <v>69854</v>
      </c>
    </row>
    <row r="181" spans="1:7">
      <c r="A181" s="4">
        <v>13710</v>
      </c>
      <c r="B181" s="5" t="s">
        <v>1138</v>
      </c>
      <c r="C181" s="4">
        <v>802</v>
      </c>
      <c r="D181" s="4">
        <v>100</v>
      </c>
      <c r="E181" s="4">
        <v>100</v>
      </c>
      <c r="F181" s="4">
        <v>249</v>
      </c>
      <c r="G181" s="4">
        <v>53703</v>
      </c>
    </row>
    <row r="182" spans="1:7">
      <c r="A182" s="4">
        <v>13710</v>
      </c>
      <c r="B182" s="5" t="s">
        <v>1138</v>
      </c>
      <c r="C182" s="4">
        <v>803</v>
      </c>
      <c r="D182" s="4">
        <v>50</v>
      </c>
      <c r="E182" s="4">
        <v>50</v>
      </c>
      <c r="F182" s="4">
        <v>266</v>
      </c>
      <c r="G182" s="4">
        <v>40481</v>
      </c>
    </row>
    <row r="183" spans="1:7">
      <c r="A183" s="4">
        <v>13711</v>
      </c>
      <c r="B183" s="5" t="s">
        <v>1139</v>
      </c>
      <c r="C183" s="4">
        <v>801</v>
      </c>
      <c r="D183" s="4">
        <v>427</v>
      </c>
      <c r="E183" s="4">
        <v>427</v>
      </c>
      <c r="F183" s="4">
        <v>242</v>
      </c>
      <c r="G183" s="4">
        <v>59628</v>
      </c>
    </row>
    <row r="184" spans="1:7">
      <c r="A184" s="4">
        <v>13711</v>
      </c>
      <c r="B184" s="5" t="s">
        <v>1139</v>
      </c>
      <c r="C184" s="4">
        <v>802</v>
      </c>
      <c r="D184" s="4">
        <v>745</v>
      </c>
      <c r="E184" s="4">
        <v>745</v>
      </c>
      <c r="F184" s="4">
        <v>250</v>
      </c>
      <c r="G184" s="4">
        <v>53257</v>
      </c>
    </row>
    <row r="185" spans="1:7">
      <c r="A185" s="4">
        <v>13711</v>
      </c>
      <c r="B185" s="5" t="s">
        <v>1139</v>
      </c>
      <c r="C185" s="4">
        <v>805</v>
      </c>
      <c r="D185" s="4">
        <v>84</v>
      </c>
      <c r="E185" s="4">
        <v>84</v>
      </c>
      <c r="F185" s="4">
        <v>227</v>
      </c>
      <c r="G185" s="4">
        <v>72823</v>
      </c>
    </row>
    <row r="186" spans="1:7">
      <c r="A186" s="4">
        <v>13711</v>
      </c>
      <c r="B186" s="5" t="s">
        <v>1139</v>
      </c>
      <c r="C186" s="4">
        <v>806</v>
      </c>
      <c r="D186" s="4">
        <v>10</v>
      </c>
      <c r="E186" s="4">
        <v>10</v>
      </c>
      <c r="F186" s="4">
        <v>217</v>
      </c>
      <c r="G186" s="4">
        <v>81323</v>
      </c>
    </row>
    <row r="187" spans="1:7">
      <c r="A187" s="4">
        <v>13711</v>
      </c>
      <c r="B187" s="5" t="s">
        <v>1139</v>
      </c>
      <c r="C187" s="4">
        <v>807</v>
      </c>
      <c r="D187" s="4">
        <v>9</v>
      </c>
      <c r="E187" s="4">
        <v>9</v>
      </c>
      <c r="F187" s="4">
        <v>332</v>
      </c>
      <c r="G187" s="4">
        <v>9312</v>
      </c>
    </row>
    <row r="188" spans="1:7">
      <c r="A188" s="4">
        <v>13711</v>
      </c>
      <c r="B188" s="5" t="s">
        <v>1139</v>
      </c>
      <c r="C188" s="4">
        <v>808</v>
      </c>
      <c r="D188" s="4">
        <v>20</v>
      </c>
      <c r="E188" s="4">
        <v>20</v>
      </c>
      <c r="F188" s="4">
        <v>318</v>
      </c>
      <c r="G188" s="4">
        <v>13569</v>
      </c>
    </row>
    <row r="189" spans="1:7">
      <c r="A189" s="4">
        <v>13711</v>
      </c>
      <c r="B189" s="5" t="s">
        <v>1139</v>
      </c>
      <c r="C189" s="4">
        <v>809</v>
      </c>
      <c r="D189" s="4">
        <v>20</v>
      </c>
      <c r="E189" s="4">
        <v>20</v>
      </c>
      <c r="F189" s="4">
        <v>275</v>
      </c>
      <c r="G189" s="4">
        <v>34661</v>
      </c>
    </row>
    <row r="190" spans="1:7">
      <c r="A190" s="4">
        <v>13711</v>
      </c>
      <c r="B190" s="5" t="s">
        <v>1139</v>
      </c>
      <c r="C190" s="4">
        <v>810</v>
      </c>
      <c r="D190" s="4">
        <v>25</v>
      </c>
      <c r="E190" s="4">
        <v>25</v>
      </c>
      <c r="F190" s="4">
        <v>232</v>
      </c>
      <c r="G190" s="4">
        <v>68607</v>
      </c>
    </row>
    <row r="191" spans="1:7">
      <c r="A191" s="4">
        <v>13711</v>
      </c>
      <c r="B191" s="5" t="s">
        <v>1139</v>
      </c>
      <c r="C191" s="4">
        <v>811</v>
      </c>
      <c r="D191" s="4">
        <v>16</v>
      </c>
      <c r="E191" s="4">
        <v>16</v>
      </c>
      <c r="F191" s="4">
        <v>217</v>
      </c>
      <c r="G191" s="4">
        <v>81221</v>
      </c>
    </row>
    <row r="192" spans="1:7">
      <c r="A192" s="4">
        <v>13712</v>
      </c>
      <c r="B192" s="5" t="s">
        <v>1140</v>
      </c>
      <c r="C192" s="4">
        <v>801</v>
      </c>
      <c r="D192" s="4">
        <v>160</v>
      </c>
      <c r="E192" s="4">
        <v>160</v>
      </c>
      <c r="F192" s="4">
        <v>223</v>
      </c>
      <c r="G192" s="4">
        <v>76303</v>
      </c>
    </row>
    <row r="193" spans="1:7">
      <c r="A193" s="4">
        <v>13712</v>
      </c>
      <c r="B193" s="5" t="s">
        <v>1140</v>
      </c>
      <c r="C193" s="4">
        <v>802</v>
      </c>
      <c r="D193" s="4">
        <v>200</v>
      </c>
      <c r="E193" s="4">
        <v>200</v>
      </c>
      <c r="F193" s="4">
        <v>222</v>
      </c>
      <c r="G193" s="4">
        <v>77073</v>
      </c>
    </row>
    <row r="194" spans="1:7">
      <c r="A194" s="4">
        <v>13712</v>
      </c>
      <c r="B194" s="5" t="s">
        <v>1140</v>
      </c>
      <c r="C194" s="4">
        <v>803</v>
      </c>
      <c r="D194" s="4">
        <v>301</v>
      </c>
      <c r="E194" s="4">
        <v>301</v>
      </c>
      <c r="F194" s="4">
        <v>232</v>
      </c>
      <c r="G194" s="4">
        <v>67767</v>
      </c>
    </row>
    <row r="195" spans="1:7">
      <c r="A195" s="4">
        <v>13712</v>
      </c>
      <c r="B195" s="5" t="s">
        <v>1140</v>
      </c>
      <c r="C195" s="4">
        <v>804</v>
      </c>
      <c r="D195" s="4">
        <v>383</v>
      </c>
      <c r="E195" s="4">
        <v>383</v>
      </c>
      <c r="F195" s="4">
        <v>223</v>
      </c>
      <c r="G195" s="4">
        <v>75861</v>
      </c>
    </row>
    <row r="196" spans="1:7">
      <c r="A196" s="4">
        <v>13712</v>
      </c>
      <c r="B196" s="5" t="s">
        <v>1140</v>
      </c>
      <c r="C196" s="4">
        <v>805</v>
      </c>
      <c r="D196" s="4">
        <v>353</v>
      </c>
      <c r="E196" s="4">
        <v>353</v>
      </c>
      <c r="F196" s="4">
        <v>230</v>
      </c>
      <c r="G196" s="4">
        <v>70367</v>
      </c>
    </row>
    <row r="197" spans="1:7">
      <c r="A197" s="4">
        <v>13712</v>
      </c>
      <c r="B197" s="5" t="s">
        <v>1140</v>
      </c>
      <c r="C197" s="4">
        <v>806</v>
      </c>
      <c r="D197" s="4">
        <v>350</v>
      </c>
      <c r="E197" s="4">
        <v>350</v>
      </c>
      <c r="F197" s="4">
        <v>219</v>
      </c>
      <c r="G197" s="4">
        <v>79873</v>
      </c>
    </row>
    <row r="198" spans="1:7">
      <c r="A198" s="4">
        <v>13712</v>
      </c>
      <c r="B198" s="5" t="s">
        <v>1140</v>
      </c>
      <c r="C198" s="4">
        <v>807</v>
      </c>
      <c r="D198" s="4">
        <v>203</v>
      </c>
      <c r="E198" s="4">
        <v>203</v>
      </c>
      <c r="F198" s="4">
        <v>220</v>
      </c>
      <c r="G198" s="4">
        <v>78476</v>
      </c>
    </row>
    <row r="199" spans="1:7">
      <c r="A199" s="4">
        <v>13712</v>
      </c>
      <c r="B199" s="5" t="s">
        <v>1140</v>
      </c>
      <c r="C199" s="4">
        <v>808</v>
      </c>
      <c r="D199" s="4">
        <v>190</v>
      </c>
      <c r="E199" s="4">
        <v>190</v>
      </c>
      <c r="F199" s="4">
        <v>218</v>
      </c>
      <c r="G199" s="4">
        <v>80280</v>
      </c>
    </row>
    <row r="200" spans="1:7">
      <c r="A200" s="4">
        <v>13713</v>
      </c>
      <c r="B200" s="5" t="s">
        <v>1141</v>
      </c>
      <c r="C200" s="4">
        <v>801</v>
      </c>
      <c r="D200" s="4">
        <v>265</v>
      </c>
      <c r="E200" s="4">
        <v>265</v>
      </c>
      <c r="F200" s="4">
        <v>322</v>
      </c>
      <c r="G200" s="4">
        <v>12165</v>
      </c>
    </row>
    <row r="201" spans="1:7">
      <c r="A201" s="4">
        <v>13713</v>
      </c>
      <c r="B201" s="5" t="s">
        <v>1141</v>
      </c>
      <c r="C201" s="4">
        <v>802</v>
      </c>
      <c r="D201" s="4">
        <v>205</v>
      </c>
      <c r="E201" s="4">
        <v>205</v>
      </c>
      <c r="F201" s="4">
        <v>313</v>
      </c>
      <c r="G201" s="4">
        <v>15289</v>
      </c>
    </row>
    <row r="202" spans="1:7">
      <c r="A202" s="4">
        <v>13713</v>
      </c>
      <c r="B202" s="5" t="s">
        <v>1141</v>
      </c>
      <c r="C202" s="4">
        <v>803</v>
      </c>
      <c r="D202" s="4">
        <v>10</v>
      </c>
      <c r="E202" s="4">
        <v>10</v>
      </c>
      <c r="F202" s="4">
        <v>312</v>
      </c>
      <c r="G202" s="4">
        <v>15468</v>
      </c>
    </row>
    <row r="203" spans="1:7">
      <c r="A203" s="4">
        <v>13713</v>
      </c>
      <c r="B203" s="5" t="s">
        <v>1141</v>
      </c>
      <c r="C203" s="4">
        <v>805</v>
      </c>
      <c r="D203" s="4">
        <v>20</v>
      </c>
      <c r="E203" s="4">
        <v>20</v>
      </c>
      <c r="F203" s="4">
        <v>325</v>
      </c>
      <c r="G203" s="4">
        <v>11169</v>
      </c>
    </row>
    <row r="204" spans="1:7">
      <c r="A204" s="4">
        <v>13715</v>
      </c>
      <c r="B204" s="5" t="s">
        <v>1142</v>
      </c>
      <c r="C204" s="4">
        <v>801</v>
      </c>
      <c r="D204" s="4">
        <v>1506</v>
      </c>
      <c r="E204" s="4">
        <v>1506</v>
      </c>
      <c r="F204" s="4">
        <v>160</v>
      </c>
      <c r="G204" s="4">
        <v>142740</v>
      </c>
    </row>
    <row r="205" spans="1:7">
      <c r="A205" s="4">
        <v>13715</v>
      </c>
      <c r="B205" s="5" t="s">
        <v>1142</v>
      </c>
      <c r="C205" s="4">
        <v>802</v>
      </c>
      <c r="D205" s="4">
        <v>72</v>
      </c>
      <c r="E205" s="4">
        <v>72</v>
      </c>
      <c r="F205" s="4">
        <v>158</v>
      </c>
      <c r="G205" s="4">
        <v>144955</v>
      </c>
    </row>
    <row r="206" spans="1:7">
      <c r="A206" s="4">
        <v>13715</v>
      </c>
      <c r="B206" s="5" t="s">
        <v>1142</v>
      </c>
      <c r="C206" s="4">
        <v>803</v>
      </c>
      <c r="D206" s="4">
        <v>82</v>
      </c>
      <c r="E206" s="4">
        <v>82</v>
      </c>
      <c r="F206" s="4">
        <v>161</v>
      </c>
      <c r="G206" s="4">
        <v>141786</v>
      </c>
    </row>
    <row r="207" spans="1:7">
      <c r="A207" s="4">
        <v>13715</v>
      </c>
      <c r="B207" s="5" t="s">
        <v>1142</v>
      </c>
      <c r="C207" s="4">
        <v>804</v>
      </c>
      <c r="D207" s="4">
        <v>70</v>
      </c>
      <c r="E207" s="4">
        <v>70</v>
      </c>
      <c r="F207" s="4">
        <v>157</v>
      </c>
      <c r="G207" s="4">
        <v>146212</v>
      </c>
    </row>
    <row r="208" spans="1:7">
      <c r="A208" s="4">
        <v>13715</v>
      </c>
      <c r="B208" s="5" t="s">
        <v>1142</v>
      </c>
      <c r="C208" s="4">
        <v>805</v>
      </c>
      <c r="D208" s="4">
        <v>38</v>
      </c>
      <c r="E208" s="4">
        <v>38</v>
      </c>
      <c r="F208" s="4">
        <v>153</v>
      </c>
      <c r="G208" s="4">
        <v>150976</v>
      </c>
    </row>
    <row r="209" spans="1:7">
      <c r="A209" s="4">
        <v>13715</v>
      </c>
      <c r="B209" s="5" t="s">
        <v>1142</v>
      </c>
      <c r="C209" s="4">
        <v>806</v>
      </c>
      <c r="D209" s="4">
        <v>20</v>
      </c>
      <c r="E209" s="4">
        <v>20</v>
      </c>
      <c r="F209" s="4">
        <v>146</v>
      </c>
      <c r="G209" s="4">
        <v>159699</v>
      </c>
    </row>
    <row r="210" spans="1:7">
      <c r="A210" s="4">
        <v>13716</v>
      </c>
      <c r="B210" s="5" t="s">
        <v>1143</v>
      </c>
      <c r="C210" s="4">
        <v>801</v>
      </c>
      <c r="D210" s="4">
        <v>1660</v>
      </c>
      <c r="E210" s="4">
        <v>1661</v>
      </c>
      <c r="F210" s="4">
        <v>167</v>
      </c>
      <c r="G210" s="4">
        <v>133861</v>
      </c>
    </row>
    <row r="211" spans="1:7">
      <c r="A211" s="4">
        <v>13716</v>
      </c>
      <c r="B211" s="5" t="s">
        <v>1143</v>
      </c>
      <c r="C211" s="4">
        <v>802</v>
      </c>
      <c r="D211" s="4">
        <v>340</v>
      </c>
      <c r="E211" s="4">
        <v>340</v>
      </c>
      <c r="F211" s="4">
        <v>168</v>
      </c>
      <c r="G211" s="4">
        <v>132513</v>
      </c>
    </row>
    <row r="212" spans="1:7">
      <c r="A212" s="4">
        <v>13717</v>
      </c>
      <c r="B212" s="5" t="s">
        <v>1144</v>
      </c>
      <c r="C212" s="4">
        <v>811</v>
      </c>
      <c r="D212" s="4">
        <v>175</v>
      </c>
      <c r="E212" s="4">
        <v>175</v>
      </c>
      <c r="F212" s="4">
        <v>218</v>
      </c>
      <c r="G212" s="4">
        <v>80364</v>
      </c>
    </row>
    <row r="213" spans="1:7">
      <c r="A213" s="4">
        <v>13717</v>
      </c>
      <c r="B213" s="5" t="s">
        <v>1144</v>
      </c>
      <c r="C213" s="4">
        <v>812</v>
      </c>
      <c r="D213" s="4">
        <v>30</v>
      </c>
      <c r="E213" s="4">
        <v>30</v>
      </c>
      <c r="F213" s="4">
        <v>188</v>
      </c>
      <c r="G213" s="4">
        <v>109105</v>
      </c>
    </row>
    <row r="214" spans="1:7">
      <c r="A214" s="4">
        <v>13718</v>
      </c>
      <c r="B214" s="5" t="s">
        <v>1145</v>
      </c>
      <c r="C214" s="4">
        <v>801</v>
      </c>
      <c r="D214" s="4">
        <v>1159</v>
      </c>
      <c r="E214" s="4">
        <v>1159</v>
      </c>
      <c r="F214" s="4">
        <v>195</v>
      </c>
      <c r="G214" s="4">
        <v>102541</v>
      </c>
    </row>
    <row r="215" spans="1:7">
      <c r="A215" s="4">
        <v>13719</v>
      </c>
      <c r="B215" s="5" t="s">
        <v>1196</v>
      </c>
      <c r="C215" s="4">
        <v>801</v>
      </c>
      <c r="D215" s="4">
        <v>30</v>
      </c>
      <c r="E215" s="4">
        <v>30</v>
      </c>
      <c r="F215" s="4">
        <v>215</v>
      </c>
      <c r="G215" s="4">
        <v>83353</v>
      </c>
    </row>
    <row r="216" spans="1:7">
      <c r="A216" s="4">
        <v>13721</v>
      </c>
      <c r="B216" s="5" t="s">
        <v>1146</v>
      </c>
      <c r="C216" s="4">
        <v>801</v>
      </c>
      <c r="D216" s="4">
        <v>30</v>
      </c>
      <c r="E216" s="4">
        <v>30</v>
      </c>
      <c r="F216" s="4">
        <v>206</v>
      </c>
      <c r="G216" s="4">
        <v>91427</v>
      </c>
    </row>
    <row r="217" spans="1:7">
      <c r="A217" s="4">
        <v>13810</v>
      </c>
      <c r="B217" s="5" t="s">
        <v>1147</v>
      </c>
      <c r="C217" s="4">
        <v>801</v>
      </c>
      <c r="D217" s="4">
        <v>50</v>
      </c>
      <c r="E217" s="4">
        <v>50</v>
      </c>
      <c r="F217" s="4">
        <v>321</v>
      </c>
      <c r="G217" s="4">
        <v>12524</v>
      </c>
    </row>
    <row r="218" spans="1:7">
      <c r="A218" s="4">
        <v>13810</v>
      </c>
      <c r="B218" s="5" t="s">
        <v>1147</v>
      </c>
      <c r="C218" s="4">
        <v>802</v>
      </c>
      <c r="D218" s="4">
        <v>150</v>
      </c>
      <c r="E218" s="4">
        <v>150</v>
      </c>
      <c r="F218" s="4">
        <v>274</v>
      </c>
      <c r="G218" s="4">
        <v>35040</v>
      </c>
    </row>
    <row r="219" spans="1:7">
      <c r="A219" s="4">
        <v>13810</v>
      </c>
      <c r="B219" s="5" t="s">
        <v>1147</v>
      </c>
      <c r="C219" s="4">
        <v>803</v>
      </c>
      <c r="D219" s="4">
        <v>60</v>
      </c>
      <c r="E219" s="4">
        <v>60</v>
      </c>
      <c r="F219" s="4">
        <v>231</v>
      </c>
      <c r="G219" s="4">
        <v>68906</v>
      </c>
    </row>
    <row r="220" spans="1:7">
      <c r="A220" s="4">
        <v>13912</v>
      </c>
      <c r="B220" s="5" t="s">
        <v>1148</v>
      </c>
      <c r="C220" s="4">
        <v>801</v>
      </c>
      <c r="D220" s="4">
        <v>800</v>
      </c>
      <c r="E220" s="4">
        <v>800</v>
      </c>
      <c r="F220" s="4">
        <v>184</v>
      </c>
      <c r="G220" s="4">
        <v>114103</v>
      </c>
    </row>
    <row r="221" spans="1:7">
      <c r="A221" s="4">
        <v>13919</v>
      </c>
      <c r="B221" s="5" t="s">
        <v>1149</v>
      </c>
      <c r="C221" s="4">
        <v>801</v>
      </c>
      <c r="D221" s="4">
        <v>309</v>
      </c>
      <c r="E221" s="4">
        <v>309</v>
      </c>
      <c r="F221" s="4">
        <v>296</v>
      </c>
      <c r="G221" s="4">
        <v>22412</v>
      </c>
    </row>
    <row r="222" spans="1:7">
      <c r="A222" s="4">
        <v>13919</v>
      </c>
      <c r="B222" s="5" t="s">
        <v>1149</v>
      </c>
      <c r="C222" s="4">
        <v>802</v>
      </c>
      <c r="D222" s="4">
        <v>214</v>
      </c>
      <c r="E222" s="4">
        <v>214</v>
      </c>
      <c r="F222" s="4">
        <v>295</v>
      </c>
      <c r="G222" s="4">
        <v>23245</v>
      </c>
    </row>
    <row r="223" spans="1:7">
      <c r="A223" s="4">
        <v>13919</v>
      </c>
      <c r="B223" s="5" t="s">
        <v>1149</v>
      </c>
      <c r="C223" s="4">
        <v>803</v>
      </c>
      <c r="D223" s="4">
        <v>176</v>
      </c>
      <c r="E223" s="4">
        <v>176</v>
      </c>
      <c r="F223" s="4">
        <v>296</v>
      </c>
      <c r="G223" s="4">
        <v>22575</v>
      </c>
    </row>
    <row r="224" spans="1:7">
      <c r="A224" s="4">
        <v>13919</v>
      </c>
      <c r="B224" s="5" t="s">
        <v>1149</v>
      </c>
      <c r="C224" s="4">
        <v>804</v>
      </c>
      <c r="D224" s="4">
        <v>138</v>
      </c>
      <c r="E224" s="4">
        <v>138</v>
      </c>
      <c r="F224" s="4">
        <v>306</v>
      </c>
      <c r="G224" s="4">
        <v>18150</v>
      </c>
    </row>
    <row r="225" spans="1:7">
      <c r="A225" s="4">
        <v>13919</v>
      </c>
      <c r="B225" s="5" t="s">
        <v>1149</v>
      </c>
      <c r="C225" s="4">
        <v>805</v>
      </c>
      <c r="D225" s="4">
        <v>28</v>
      </c>
      <c r="E225" s="4">
        <v>28</v>
      </c>
      <c r="F225" s="4">
        <v>296</v>
      </c>
      <c r="G225" s="4">
        <v>22793</v>
      </c>
    </row>
    <row r="226" spans="1:7">
      <c r="A226" s="4">
        <v>13919</v>
      </c>
      <c r="B226" s="5" t="s">
        <v>1149</v>
      </c>
      <c r="C226" s="4">
        <v>806</v>
      </c>
      <c r="D226" s="4">
        <v>158</v>
      </c>
      <c r="E226" s="4">
        <v>158</v>
      </c>
      <c r="F226" s="4">
        <v>270</v>
      </c>
      <c r="G226" s="4">
        <v>37606</v>
      </c>
    </row>
    <row r="227" spans="1:7">
      <c r="A227" s="4">
        <v>13919</v>
      </c>
      <c r="B227" s="5" t="s">
        <v>1149</v>
      </c>
      <c r="C227" s="4">
        <v>807</v>
      </c>
      <c r="D227" s="4">
        <v>40</v>
      </c>
      <c r="E227" s="4">
        <v>40</v>
      </c>
      <c r="F227" s="4">
        <v>221</v>
      </c>
      <c r="G227" s="4">
        <v>78006</v>
      </c>
    </row>
    <row r="228" spans="1:7">
      <c r="A228" s="4">
        <v>13919</v>
      </c>
      <c r="B228" s="5" t="s">
        <v>1149</v>
      </c>
      <c r="C228" s="4">
        <v>808</v>
      </c>
      <c r="D228" s="4">
        <v>34</v>
      </c>
      <c r="E228" s="4">
        <v>34</v>
      </c>
      <c r="F228" s="4">
        <v>287</v>
      </c>
      <c r="G228" s="4">
        <v>27431</v>
      </c>
    </row>
    <row r="229" spans="1:7">
      <c r="A229" s="4">
        <v>13919</v>
      </c>
      <c r="B229" s="5" t="s">
        <v>1149</v>
      </c>
      <c r="C229" s="4">
        <v>809</v>
      </c>
      <c r="D229" s="4">
        <v>39</v>
      </c>
      <c r="E229" s="4">
        <v>39</v>
      </c>
      <c r="F229" s="4">
        <v>289</v>
      </c>
      <c r="G229" s="4">
        <v>26221</v>
      </c>
    </row>
    <row r="230" spans="1:7">
      <c r="A230" s="4">
        <v>13927</v>
      </c>
      <c r="B230" s="5" t="s">
        <v>1150</v>
      </c>
      <c r="C230" s="4">
        <v>801</v>
      </c>
      <c r="D230" s="4">
        <v>1715</v>
      </c>
      <c r="E230" s="4">
        <v>1715</v>
      </c>
      <c r="F230" s="4">
        <v>155</v>
      </c>
      <c r="G230" s="4">
        <v>148517</v>
      </c>
    </row>
    <row r="231" spans="1:7">
      <c r="A231" s="4">
        <v>13927</v>
      </c>
      <c r="B231" s="5" t="s">
        <v>1150</v>
      </c>
      <c r="C231" s="4">
        <v>802</v>
      </c>
      <c r="D231" s="4">
        <v>785</v>
      </c>
      <c r="E231" s="4">
        <v>785</v>
      </c>
      <c r="F231" s="4">
        <v>155</v>
      </c>
      <c r="G231" s="4">
        <v>149262</v>
      </c>
    </row>
    <row r="232" spans="1:7">
      <c r="A232" s="4">
        <v>13928</v>
      </c>
      <c r="B232" s="5" t="s">
        <v>1151</v>
      </c>
      <c r="C232" s="4">
        <v>801</v>
      </c>
      <c r="D232" s="4">
        <v>1250</v>
      </c>
      <c r="E232" s="4">
        <v>1250</v>
      </c>
      <c r="F232" s="4">
        <v>164</v>
      </c>
      <c r="G232" s="4">
        <v>137068</v>
      </c>
    </row>
    <row r="233" spans="1:7">
      <c r="A233" s="4">
        <v>13928</v>
      </c>
      <c r="B233" s="5" t="s">
        <v>1151</v>
      </c>
      <c r="C233" s="4">
        <v>802</v>
      </c>
      <c r="D233" s="4">
        <v>2630</v>
      </c>
      <c r="E233" s="4">
        <v>2630</v>
      </c>
      <c r="F233" s="4">
        <v>163</v>
      </c>
      <c r="G233" s="4">
        <v>138358</v>
      </c>
    </row>
    <row r="234" spans="1:7">
      <c r="A234" s="4">
        <v>13929</v>
      </c>
      <c r="B234" s="5" t="s">
        <v>1152</v>
      </c>
      <c r="C234" s="4">
        <v>801</v>
      </c>
      <c r="D234" s="4">
        <v>240</v>
      </c>
      <c r="E234" s="4">
        <v>240</v>
      </c>
      <c r="F234" s="4">
        <v>318</v>
      </c>
      <c r="G234" s="4">
        <v>13481</v>
      </c>
    </row>
    <row r="235" spans="1:7">
      <c r="A235" s="4">
        <v>13930</v>
      </c>
      <c r="B235" s="5" t="s">
        <v>1153</v>
      </c>
      <c r="C235" s="4">
        <v>801</v>
      </c>
      <c r="D235" s="4">
        <v>1151</v>
      </c>
      <c r="E235" s="4">
        <v>1151</v>
      </c>
      <c r="F235" s="4">
        <v>268</v>
      </c>
      <c r="G235" s="4">
        <v>39169</v>
      </c>
    </row>
    <row r="236" spans="1:7">
      <c r="A236" s="4">
        <v>13930</v>
      </c>
      <c r="B236" s="5" t="s">
        <v>1153</v>
      </c>
      <c r="C236" s="4">
        <v>802</v>
      </c>
      <c r="D236" s="4">
        <v>20</v>
      </c>
      <c r="E236" s="4">
        <v>20</v>
      </c>
      <c r="F236" s="4">
        <v>213</v>
      </c>
      <c r="G236" s="4">
        <v>85718</v>
      </c>
    </row>
    <row r="237" spans="1:7">
      <c r="A237" s="4">
        <v>13930</v>
      </c>
      <c r="B237" s="5" t="s">
        <v>1153</v>
      </c>
      <c r="C237" s="4">
        <v>803</v>
      </c>
      <c r="D237" s="4">
        <v>451</v>
      </c>
      <c r="E237" s="4">
        <v>451</v>
      </c>
      <c r="F237" s="4">
        <v>254</v>
      </c>
      <c r="G237" s="4">
        <v>50022</v>
      </c>
    </row>
    <row r="238" spans="1:7">
      <c r="A238" s="4">
        <v>13930</v>
      </c>
      <c r="B238" s="5" t="s">
        <v>1153</v>
      </c>
      <c r="C238" s="4">
        <v>806</v>
      </c>
      <c r="D238" s="4">
        <v>30</v>
      </c>
      <c r="E238" s="4">
        <v>30</v>
      </c>
      <c r="F238" s="4">
        <v>229</v>
      </c>
      <c r="G238" s="4">
        <v>70822</v>
      </c>
    </row>
    <row r="239" spans="1:7">
      <c r="A239" s="4">
        <v>13943</v>
      </c>
      <c r="B239" s="5" t="s">
        <v>1154</v>
      </c>
      <c r="C239" s="4">
        <v>801</v>
      </c>
      <c r="D239" s="4">
        <v>199</v>
      </c>
      <c r="E239" s="4">
        <v>199</v>
      </c>
      <c r="F239" s="4">
        <v>299</v>
      </c>
      <c r="G239" s="4">
        <v>21275</v>
      </c>
    </row>
    <row r="240" spans="1:7">
      <c r="A240" s="4">
        <v>13943</v>
      </c>
      <c r="B240" s="5" t="s">
        <v>1154</v>
      </c>
      <c r="C240" s="4">
        <v>802</v>
      </c>
      <c r="D240" s="4">
        <v>46</v>
      </c>
      <c r="E240" s="4">
        <v>46</v>
      </c>
      <c r="F240" s="4">
        <v>312</v>
      </c>
      <c r="G240" s="4">
        <v>15493</v>
      </c>
    </row>
    <row r="241" spans="1:7">
      <c r="A241" s="4">
        <v>13943</v>
      </c>
      <c r="B241" s="5" t="s">
        <v>1154</v>
      </c>
      <c r="C241" s="4">
        <v>803</v>
      </c>
      <c r="D241" s="4">
        <v>200</v>
      </c>
      <c r="E241" s="4">
        <v>200</v>
      </c>
      <c r="F241" s="4">
        <v>286</v>
      </c>
      <c r="G241" s="4">
        <v>27778</v>
      </c>
    </row>
    <row r="242" spans="1:7">
      <c r="A242" s="4">
        <v>13943</v>
      </c>
      <c r="B242" s="5" t="s">
        <v>1154</v>
      </c>
      <c r="C242" s="4">
        <v>804</v>
      </c>
      <c r="D242" s="4">
        <v>39</v>
      </c>
      <c r="E242" s="4">
        <v>39</v>
      </c>
      <c r="F242" s="4">
        <v>309</v>
      </c>
      <c r="G242" s="4">
        <v>16698</v>
      </c>
    </row>
    <row r="243" spans="1:7">
      <c r="A243" s="4">
        <v>13943</v>
      </c>
      <c r="B243" s="5" t="s">
        <v>1154</v>
      </c>
      <c r="C243" s="4">
        <v>805</v>
      </c>
      <c r="D243" s="4">
        <v>112</v>
      </c>
      <c r="E243" s="4">
        <v>112</v>
      </c>
      <c r="F243" s="4">
        <v>292</v>
      </c>
      <c r="G243" s="4">
        <v>24352</v>
      </c>
    </row>
    <row r="244" spans="1:7">
      <c r="A244" s="4">
        <v>13943</v>
      </c>
      <c r="B244" s="5" t="s">
        <v>1154</v>
      </c>
      <c r="C244" s="4">
        <v>806</v>
      </c>
      <c r="D244" s="4">
        <v>151</v>
      </c>
      <c r="E244" s="4">
        <v>151</v>
      </c>
      <c r="F244" s="4">
        <v>314</v>
      </c>
      <c r="G244" s="4">
        <v>14865</v>
      </c>
    </row>
    <row r="245" spans="1:7">
      <c r="A245" s="4">
        <v>13943</v>
      </c>
      <c r="B245" s="5" t="s">
        <v>1154</v>
      </c>
      <c r="C245" s="4">
        <v>807</v>
      </c>
      <c r="D245" s="4">
        <v>47</v>
      </c>
      <c r="E245" s="4">
        <v>47</v>
      </c>
      <c r="F245" s="4">
        <v>301</v>
      </c>
      <c r="G245" s="4">
        <v>20004</v>
      </c>
    </row>
    <row r="246" spans="1:7">
      <c r="A246" s="4">
        <v>13943</v>
      </c>
      <c r="B246" s="5" t="s">
        <v>1154</v>
      </c>
      <c r="C246" s="4">
        <v>808</v>
      </c>
      <c r="D246" s="4">
        <v>56</v>
      </c>
      <c r="E246" s="4">
        <v>56</v>
      </c>
      <c r="F246" s="4">
        <v>302</v>
      </c>
      <c r="G246" s="4">
        <v>19837</v>
      </c>
    </row>
    <row r="247" spans="1:7">
      <c r="A247" s="4">
        <v>13943</v>
      </c>
      <c r="B247" s="5" t="s">
        <v>1154</v>
      </c>
      <c r="C247" s="4">
        <v>809</v>
      </c>
      <c r="D247" s="4">
        <v>31</v>
      </c>
      <c r="E247" s="4">
        <v>31</v>
      </c>
      <c r="F247" s="4">
        <v>332</v>
      </c>
      <c r="G247" s="4">
        <v>9089</v>
      </c>
    </row>
    <row r="248" spans="1:7">
      <c r="A248" s="4">
        <v>14063</v>
      </c>
      <c r="B248" s="5" t="s">
        <v>1155</v>
      </c>
      <c r="C248" s="4">
        <v>804</v>
      </c>
      <c r="D248" s="4">
        <v>1768</v>
      </c>
      <c r="E248" s="4">
        <v>1768</v>
      </c>
      <c r="F248" s="4">
        <v>297</v>
      </c>
      <c r="G248" s="4">
        <v>22008</v>
      </c>
    </row>
    <row r="249" spans="1:7">
      <c r="A249" s="4">
        <v>14063</v>
      </c>
      <c r="B249" s="5" t="s">
        <v>1155</v>
      </c>
      <c r="C249" s="4">
        <v>805</v>
      </c>
      <c r="D249" s="4">
        <v>362</v>
      </c>
      <c r="E249" s="4">
        <v>362</v>
      </c>
      <c r="F249" s="4">
        <v>285</v>
      </c>
      <c r="G249" s="4">
        <v>28174</v>
      </c>
    </row>
    <row r="250" spans="1:7">
      <c r="A250" s="4">
        <v>14065</v>
      </c>
      <c r="B250" s="5" t="s">
        <v>1156</v>
      </c>
      <c r="C250" s="4">
        <v>802</v>
      </c>
      <c r="D250" s="4">
        <v>50</v>
      </c>
      <c r="E250" s="4">
        <v>50</v>
      </c>
      <c r="F250" s="4">
        <v>252</v>
      </c>
      <c r="G250" s="4">
        <v>51564</v>
      </c>
    </row>
    <row r="251" spans="1:7">
      <c r="A251" s="4">
        <v>14065</v>
      </c>
      <c r="B251" s="5" t="s">
        <v>1156</v>
      </c>
      <c r="C251" s="4">
        <v>803</v>
      </c>
      <c r="D251" s="4">
        <v>50</v>
      </c>
      <c r="E251" s="4">
        <v>50</v>
      </c>
      <c r="F251" s="4">
        <v>272</v>
      </c>
      <c r="G251" s="4">
        <v>36258</v>
      </c>
    </row>
    <row r="252" spans="1:7">
      <c r="A252" s="4">
        <v>14065</v>
      </c>
      <c r="B252" s="5" t="s">
        <v>1156</v>
      </c>
      <c r="C252" s="4">
        <v>804</v>
      </c>
      <c r="D252" s="4">
        <v>170</v>
      </c>
      <c r="E252" s="4">
        <v>170</v>
      </c>
      <c r="F252" s="4">
        <v>266</v>
      </c>
      <c r="G252" s="4">
        <v>40227</v>
      </c>
    </row>
    <row r="253" spans="1:7">
      <c r="A253" s="4">
        <v>14065</v>
      </c>
      <c r="B253" s="5" t="s">
        <v>1156</v>
      </c>
      <c r="C253" s="4">
        <v>805</v>
      </c>
      <c r="D253" s="4">
        <v>210</v>
      </c>
      <c r="E253" s="4">
        <v>210</v>
      </c>
      <c r="F253" s="4">
        <v>266</v>
      </c>
      <c r="G253" s="4">
        <v>40476</v>
      </c>
    </row>
    <row r="254" spans="1:7">
      <c r="A254" s="4">
        <v>14065</v>
      </c>
      <c r="B254" s="5" t="s">
        <v>1156</v>
      </c>
      <c r="C254" s="4">
        <v>806</v>
      </c>
      <c r="D254" s="4">
        <v>130</v>
      </c>
      <c r="E254" s="4">
        <v>130</v>
      </c>
      <c r="F254" s="4">
        <v>243</v>
      </c>
      <c r="G254" s="4">
        <v>58472</v>
      </c>
    </row>
    <row r="255" spans="1:7">
      <c r="A255" s="4">
        <v>14065</v>
      </c>
      <c r="B255" s="5" t="s">
        <v>1156</v>
      </c>
      <c r="C255" s="4">
        <v>807</v>
      </c>
      <c r="D255" s="4">
        <v>428</v>
      </c>
      <c r="E255" s="4">
        <v>428</v>
      </c>
      <c r="F255" s="4">
        <v>245</v>
      </c>
      <c r="G255" s="4">
        <v>56853</v>
      </c>
    </row>
    <row r="256" spans="1:7">
      <c r="A256" s="4">
        <v>14065</v>
      </c>
      <c r="B256" s="5" t="s">
        <v>1156</v>
      </c>
      <c r="C256" s="4">
        <v>808</v>
      </c>
      <c r="D256" s="4">
        <v>47</v>
      </c>
      <c r="E256" s="4">
        <v>47</v>
      </c>
      <c r="F256" s="4">
        <v>263</v>
      </c>
      <c r="G256" s="4">
        <v>42959</v>
      </c>
    </row>
    <row r="257" spans="1:7">
      <c r="A257" s="4">
        <v>14065</v>
      </c>
      <c r="B257" s="5" t="s">
        <v>1156</v>
      </c>
      <c r="C257" s="4">
        <v>809</v>
      </c>
      <c r="D257" s="4">
        <v>40</v>
      </c>
      <c r="E257" s="4">
        <v>28</v>
      </c>
      <c r="F257" s="4">
        <v>120</v>
      </c>
      <c r="G257" s="4">
        <v>186347</v>
      </c>
    </row>
    <row r="258" spans="1:7">
      <c r="A258" s="4">
        <v>14065</v>
      </c>
      <c r="B258" s="5" t="s">
        <v>1156</v>
      </c>
      <c r="C258" s="4">
        <v>810</v>
      </c>
      <c r="D258" s="4">
        <v>147</v>
      </c>
      <c r="E258" s="4">
        <v>147</v>
      </c>
      <c r="F258" s="4">
        <v>243</v>
      </c>
      <c r="G258" s="4">
        <v>58388</v>
      </c>
    </row>
    <row r="259" spans="1:7">
      <c r="A259" s="4">
        <v>14066</v>
      </c>
      <c r="B259" s="5" t="s">
        <v>1157</v>
      </c>
      <c r="C259" s="4">
        <v>801</v>
      </c>
      <c r="D259" s="4">
        <v>134</v>
      </c>
      <c r="E259" s="4">
        <v>134</v>
      </c>
      <c r="F259" s="4">
        <v>306</v>
      </c>
      <c r="G259" s="4">
        <v>18248</v>
      </c>
    </row>
    <row r="260" spans="1:7">
      <c r="A260" s="4">
        <v>14066</v>
      </c>
      <c r="B260" s="5" t="s">
        <v>1157</v>
      </c>
      <c r="C260" s="4">
        <v>802</v>
      </c>
      <c r="D260" s="4">
        <v>99</v>
      </c>
      <c r="E260" s="4">
        <v>99</v>
      </c>
      <c r="F260" s="4">
        <v>296</v>
      </c>
      <c r="G260" s="4">
        <v>22705</v>
      </c>
    </row>
    <row r="261" spans="1:7">
      <c r="A261" s="4">
        <v>14066</v>
      </c>
      <c r="B261" s="5" t="s">
        <v>1157</v>
      </c>
      <c r="C261" s="4">
        <v>803</v>
      </c>
      <c r="D261" s="4">
        <v>145</v>
      </c>
      <c r="E261" s="4">
        <v>145</v>
      </c>
      <c r="F261" s="4">
        <v>288</v>
      </c>
      <c r="G261" s="4">
        <v>26450</v>
      </c>
    </row>
    <row r="262" spans="1:7">
      <c r="A262" s="4">
        <v>14066</v>
      </c>
      <c r="B262" s="5" t="s">
        <v>1157</v>
      </c>
      <c r="C262" s="4">
        <v>804</v>
      </c>
      <c r="D262" s="4">
        <v>30</v>
      </c>
      <c r="E262" s="4">
        <v>30</v>
      </c>
      <c r="F262" s="4">
        <v>284</v>
      </c>
      <c r="G262" s="4">
        <v>28847</v>
      </c>
    </row>
    <row r="263" spans="1:7">
      <c r="A263" s="4">
        <v>14066</v>
      </c>
      <c r="B263" s="5" t="s">
        <v>1157</v>
      </c>
      <c r="C263" s="4">
        <v>805</v>
      </c>
      <c r="D263" s="4">
        <v>160</v>
      </c>
      <c r="E263" s="4">
        <v>160</v>
      </c>
      <c r="F263" s="4">
        <v>284</v>
      </c>
      <c r="G263" s="4">
        <v>28681</v>
      </c>
    </row>
    <row r="264" spans="1:7">
      <c r="A264" s="4">
        <v>14066</v>
      </c>
      <c r="B264" s="5" t="s">
        <v>1157</v>
      </c>
      <c r="C264" s="4">
        <v>806</v>
      </c>
      <c r="D264" s="4">
        <v>30</v>
      </c>
      <c r="E264" s="4">
        <v>30</v>
      </c>
      <c r="F264" s="4">
        <v>217</v>
      </c>
      <c r="G264" s="4">
        <v>81862</v>
      </c>
    </row>
    <row r="265" spans="1:7">
      <c r="A265" s="4">
        <v>14123</v>
      </c>
      <c r="B265" s="5" t="s">
        <v>1158</v>
      </c>
      <c r="C265" s="4">
        <v>801</v>
      </c>
      <c r="D265" s="4">
        <v>700</v>
      </c>
      <c r="E265" s="4">
        <v>700</v>
      </c>
      <c r="F265" s="4">
        <v>174</v>
      </c>
      <c r="G265" s="4">
        <v>124492</v>
      </c>
    </row>
    <row r="266" spans="1:7">
      <c r="A266" s="4">
        <v>14125</v>
      </c>
      <c r="B266" s="5" t="s">
        <v>1159</v>
      </c>
      <c r="C266" s="4">
        <v>801</v>
      </c>
      <c r="D266" s="4">
        <v>2300</v>
      </c>
      <c r="E266" s="4">
        <v>2300</v>
      </c>
      <c r="F266" s="4">
        <v>188</v>
      </c>
      <c r="G266" s="4">
        <v>109737</v>
      </c>
    </row>
    <row r="267" spans="1:7">
      <c r="A267" s="4">
        <v>14126</v>
      </c>
      <c r="B267" s="5" t="s">
        <v>1160</v>
      </c>
      <c r="C267" s="4">
        <v>801</v>
      </c>
      <c r="D267" s="4">
        <v>2127</v>
      </c>
      <c r="E267" s="4">
        <v>2127</v>
      </c>
      <c r="F267" s="4">
        <v>151</v>
      </c>
      <c r="G267" s="4">
        <v>154212</v>
      </c>
    </row>
    <row r="268" spans="1:7">
      <c r="A268" s="4">
        <v>14136</v>
      </c>
      <c r="B268" s="5" t="s">
        <v>1162</v>
      </c>
      <c r="C268" s="4">
        <v>801</v>
      </c>
      <c r="D268" s="4">
        <v>1600</v>
      </c>
      <c r="E268" s="4">
        <v>1600</v>
      </c>
      <c r="F268" s="4">
        <v>211</v>
      </c>
      <c r="G268" s="4">
        <v>87111</v>
      </c>
    </row>
    <row r="269" spans="1:7">
      <c r="A269" s="4">
        <v>14263</v>
      </c>
      <c r="B269" s="5" t="s">
        <v>1163</v>
      </c>
      <c r="C269" s="4">
        <v>802</v>
      </c>
      <c r="D269" s="4">
        <v>110</v>
      </c>
      <c r="E269" s="4">
        <v>110</v>
      </c>
      <c r="F269" s="4">
        <v>324</v>
      </c>
      <c r="G269" s="4">
        <v>11393</v>
      </c>
    </row>
    <row r="270" spans="1:7">
      <c r="A270" s="4">
        <v>14263</v>
      </c>
      <c r="B270" s="5" t="s">
        <v>1163</v>
      </c>
      <c r="C270" s="4">
        <v>803</v>
      </c>
      <c r="D270" s="4">
        <v>190</v>
      </c>
      <c r="E270" s="4">
        <v>191</v>
      </c>
      <c r="F270" s="4">
        <v>328</v>
      </c>
      <c r="G270" s="4">
        <v>10192</v>
      </c>
    </row>
    <row r="271" spans="1:7">
      <c r="A271" s="4">
        <v>14263</v>
      </c>
      <c r="B271" s="5" t="s">
        <v>1163</v>
      </c>
      <c r="C271" s="4">
        <v>804</v>
      </c>
      <c r="D271" s="4">
        <v>180</v>
      </c>
      <c r="E271" s="4">
        <v>180</v>
      </c>
      <c r="F271" s="4">
        <v>321</v>
      </c>
      <c r="G271" s="4">
        <v>12507</v>
      </c>
    </row>
    <row r="272" spans="1:7">
      <c r="A272" s="4">
        <v>14263</v>
      </c>
      <c r="B272" s="5" t="s">
        <v>1163</v>
      </c>
      <c r="C272" s="4">
        <v>807</v>
      </c>
      <c r="D272" s="4">
        <v>5</v>
      </c>
      <c r="E272" s="4">
        <v>5</v>
      </c>
      <c r="F272" s="4">
        <v>335</v>
      </c>
      <c r="G272" s="4">
        <v>8391</v>
      </c>
    </row>
    <row r="273" spans="1:7">
      <c r="A273" s="4">
        <v>14263</v>
      </c>
      <c r="B273" s="5" t="s">
        <v>1163</v>
      </c>
      <c r="C273" s="4">
        <v>808</v>
      </c>
      <c r="D273" s="4">
        <v>60</v>
      </c>
      <c r="E273" s="4">
        <v>60</v>
      </c>
      <c r="F273" s="4">
        <v>216</v>
      </c>
      <c r="G273" s="4">
        <v>82043</v>
      </c>
    </row>
    <row r="274" spans="1:7">
      <c r="A274" s="4">
        <v>14263</v>
      </c>
      <c r="B274" s="5" t="s">
        <v>1163</v>
      </c>
      <c r="C274" s="4">
        <v>811</v>
      </c>
      <c r="D274" s="4">
        <v>5</v>
      </c>
      <c r="E274" s="4">
        <v>5</v>
      </c>
      <c r="F274" s="4">
        <v>318</v>
      </c>
      <c r="G274" s="4">
        <v>13454</v>
      </c>
    </row>
    <row r="275" spans="1:7">
      <c r="A275" s="4">
        <v>14263</v>
      </c>
      <c r="B275" s="5" t="s">
        <v>1163</v>
      </c>
      <c r="C275" s="4">
        <v>812</v>
      </c>
      <c r="D275" s="4">
        <v>30</v>
      </c>
      <c r="E275" s="4">
        <v>30</v>
      </c>
      <c r="F275" s="4">
        <v>243</v>
      </c>
      <c r="G275" s="4">
        <v>58866</v>
      </c>
    </row>
    <row r="276" spans="1:7">
      <c r="A276" s="4">
        <v>14265</v>
      </c>
      <c r="B276" s="5" t="s">
        <v>1164</v>
      </c>
      <c r="C276" s="4">
        <v>801</v>
      </c>
      <c r="D276" s="4">
        <v>2850</v>
      </c>
      <c r="E276" s="4">
        <v>2850</v>
      </c>
      <c r="F276" s="4">
        <v>176</v>
      </c>
      <c r="G276" s="4">
        <v>122360</v>
      </c>
    </row>
    <row r="277" spans="1:7">
      <c r="A277" s="4">
        <v>14265</v>
      </c>
      <c r="B277" s="5" t="s">
        <v>1164</v>
      </c>
      <c r="C277" s="4">
        <v>802</v>
      </c>
      <c r="D277" s="4">
        <v>450</v>
      </c>
      <c r="E277" s="4">
        <v>450</v>
      </c>
      <c r="F277" s="4">
        <v>155</v>
      </c>
      <c r="G277" s="4">
        <v>149500</v>
      </c>
    </row>
    <row r="278" spans="1:7">
      <c r="A278" s="4">
        <v>14266</v>
      </c>
      <c r="B278" s="5" t="s">
        <v>1165</v>
      </c>
      <c r="C278" s="4">
        <v>801</v>
      </c>
      <c r="D278" s="4">
        <v>320</v>
      </c>
      <c r="E278" s="4">
        <v>320</v>
      </c>
      <c r="F278" s="4">
        <v>167</v>
      </c>
      <c r="G278" s="4">
        <v>133905</v>
      </c>
    </row>
    <row r="279" spans="1:7">
      <c r="A279" s="4">
        <v>14266</v>
      </c>
      <c r="B279" s="5" t="s">
        <v>1165</v>
      </c>
      <c r="C279" s="4">
        <v>802</v>
      </c>
      <c r="D279" s="4">
        <v>600</v>
      </c>
      <c r="E279" s="4">
        <v>600</v>
      </c>
      <c r="F279" s="4">
        <v>157</v>
      </c>
      <c r="G279" s="4">
        <v>147033</v>
      </c>
    </row>
    <row r="280" spans="1:7">
      <c r="A280" s="4">
        <v>14266</v>
      </c>
      <c r="B280" s="5" t="s">
        <v>1165</v>
      </c>
      <c r="C280" s="4">
        <v>803</v>
      </c>
      <c r="D280" s="4">
        <v>80</v>
      </c>
      <c r="E280" s="4">
        <v>80</v>
      </c>
      <c r="F280" s="4">
        <v>160</v>
      </c>
      <c r="G280" s="4">
        <v>142381</v>
      </c>
    </row>
    <row r="281" spans="1:7">
      <c r="A281" s="4">
        <v>14266</v>
      </c>
      <c r="B281" s="5" t="s">
        <v>1165</v>
      </c>
      <c r="C281" s="4">
        <v>804</v>
      </c>
      <c r="D281" s="4">
        <v>1700</v>
      </c>
      <c r="E281" s="4">
        <v>1700</v>
      </c>
      <c r="F281" s="4">
        <v>148</v>
      </c>
      <c r="G281" s="4">
        <v>158005</v>
      </c>
    </row>
    <row r="282" spans="1:7">
      <c r="A282" s="4">
        <v>14268</v>
      </c>
      <c r="B282" s="5" t="s">
        <v>1166</v>
      </c>
      <c r="C282" s="4">
        <v>801</v>
      </c>
      <c r="D282" s="4">
        <v>1345</v>
      </c>
      <c r="E282" s="4">
        <v>1345</v>
      </c>
      <c r="F282" s="4">
        <v>168</v>
      </c>
      <c r="G282" s="4">
        <v>132231</v>
      </c>
    </row>
    <row r="283" spans="1:7">
      <c r="A283" s="4">
        <v>14268</v>
      </c>
      <c r="B283" s="5" t="s">
        <v>1166</v>
      </c>
      <c r="C283" s="4">
        <v>802</v>
      </c>
      <c r="D283" s="4">
        <v>155</v>
      </c>
      <c r="E283" s="4">
        <v>155</v>
      </c>
      <c r="F283" s="4">
        <v>156</v>
      </c>
      <c r="G283" s="4">
        <v>147474</v>
      </c>
    </row>
    <row r="284" spans="1:7">
      <c r="A284" s="4">
        <v>14311</v>
      </c>
      <c r="B284" s="5" t="s">
        <v>1167</v>
      </c>
      <c r="C284" s="4">
        <v>801</v>
      </c>
      <c r="D284" s="4">
        <v>309</v>
      </c>
      <c r="E284" s="4">
        <v>309</v>
      </c>
      <c r="F284" s="4">
        <v>237</v>
      </c>
      <c r="G284" s="4">
        <v>63901</v>
      </c>
    </row>
    <row r="285" spans="1:7">
      <c r="A285" s="4">
        <v>14311</v>
      </c>
      <c r="B285" s="5" t="s">
        <v>1167</v>
      </c>
      <c r="C285" s="4">
        <v>802</v>
      </c>
      <c r="D285" s="4">
        <v>299</v>
      </c>
      <c r="E285" s="4">
        <v>299</v>
      </c>
      <c r="F285" s="4">
        <v>245</v>
      </c>
      <c r="G285" s="4">
        <v>57474</v>
      </c>
    </row>
    <row r="286" spans="1:7">
      <c r="A286" s="4">
        <v>14311</v>
      </c>
      <c r="B286" s="5" t="s">
        <v>1167</v>
      </c>
      <c r="C286" s="4">
        <v>803</v>
      </c>
      <c r="D286" s="4">
        <v>98</v>
      </c>
      <c r="E286" s="4">
        <v>98</v>
      </c>
      <c r="F286" s="4">
        <v>223</v>
      </c>
      <c r="G286" s="4">
        <v>76102</v>
      </c>
    </row>
    <row r="287" spans="1:7">
      <c r="A287" s="4">
        <v>14311</v>
      </c>
      <c r="B287" s="5" t="s">
        <v>1167</v>
      </c>
      <c r="C287" s="4">
        <v>804</v>
      </c>
      <c r="D287" s="4">
        <v>45</v>
      </c>
      <c r="E287" s="4">
        <v>45</v>
      </c>
      <c r="F287" s="4">
        <v>237</v>
      </c>
      <c r="G287" s="4">
        <v>63560</v>
      </c>
    </row>
    <row r="288" spans="1:7">
      <c r="A288" s="4">
        <v>14362</v>
      </c>
      <c r="B288" s="5" t="s">
        <v>1168</v>
      </c>
      <c r="C288" s="4">
        <v>801</v>
      </c>
      <c r="D288" s="4">
        <v>560</v>
      </c>
      <c r="E288" s="4">
        <v>560</v>
      </c>
      <c r="F288" s="4">
        <v>154</v>
      </c>
      <c r="G288" s="4">
        <v>149792</v>
      </c>
    </row>
    <row r="289" spans="1:7">
      <c r="A289" s="4">
        <v>14362</v>
      </c>
      <c r="B289" s="5" t="s">
        <v>1168</v>
      </c>
      <c r="C289" s="4">
        <v>802</v>
      </c>
      <c r="D289" s="4">
        <v>400</v>
      </c>
      <c r="E289" s="4">
        <v>400</v>
      </c>
      <c r="F289" s="4">
        <v>150</v>
      </c>
      <c r="G289" s="4">
        <v>155109</v>
      </c>
    </row>
    <row r="290" spans="1:7">
      <c r="A290" s="4">
        <v>14362</v>
      </c>
      <c r="B290" s="5" t="s">
        <v>1168</v>
      </c>
      <c r="C290" s="4">
        <v>803</v>
      </c>
      <c r="D290" s="4">
        <v>240</v>
      </c>
      <c r="E290" s="4">
        <v>240</v>
      </c>
      <c r="F290" s="4">
        <v>159</v>
      </c>
      <c r="G290" s="4">
        <v>143379</v>
      </c>
    </row>
    <row r="291" spans="1:7">
      <c r="A291" s="4">
        <v>14363</v>
      </c>
      <c r="B291" s="5" t="s">
        <v>1169</v>
      </c>
      <c r="C291" s="4">
        <v>801</v>
      </c>
      <c r="D291" s="4">
        <v>1034</v>
      </c>
      <c r="E291" s="4">
        <v>1034</v>
      </c>
      <c r="F291" s="4">
        <v>169</v>
      </c>
      <c r="G291" s="4">
        <v>130929</v>
      </c>
    </row>
    <row r="292" spans="1:7">
      <c r="A292" s="4">
        <v>14363</v>
      </c>
      <c r="B292" s="5" t="s">
        <v>1169</v>
      </c>
      <c r="C292" s="4">
        <v>802</v>
      </c>
      <c r="D292" s="4">
        <v>760</v>
      </c>
      <c r="E292" s="4">
        <v>760</v>
      </c>
      <c r="F292" s="4">
        <v>166</v>
      </c>
      <c r="G292" s="4">
        <v>135345</v>
      </c>
    </row>
    <row r="293" spans="1:7">
      <c r="A293" s="4">
        <v>14363</v>
      </c>
      <c r="B293" s="5" t="s">
        <v>1169</v>
      </c>
      <c r="C293" s="4">
        <v>803</v>
      </c>
      <c r="D293" s="4">
        <v>966</v>
      </c>
      <c r="E293" s="4">
        <v>966</v>
      </c>
      <c r="F293" s="4">
        <v>159</v>
      </c>
      <c r="G293" s="4">
        <v>144318</v>
      </c>
    </row>
    <row r="294" spans="1:7">
      <c r="A294" s="4">
        <v>14363</v>
      </c>
      <c r="B294" s="5" t="s">
        <v>1169</v>
      </c>
      <c r="C294" s="4">
        <v>804</v>
      </c>
      <c r="D294" s="4">
        <v>20</v>
      </c>
      <c r="E294" s="4">
        <v>20</v>
      </c>
      <c r="F294" s="4">
        <v>167</v>
      </c>
      <c r="G294" s="4">
        <v>133987</v>
      </c>
    </row>
    <row r="295" spans="1:7">
      <c r="A295" s="4">
        <v>14407</v>
      </c>
      <c r="B295" s="5" t="s">
        <v>1170</v>
      </c>
      <c r="C295" s="4">
        <v>801</v>
      </c>
      <c r="D295" s="4">
        <v>375</v>
      </c>
      <c r="E295" s="4">
        <v>375</v>
      </c>
      <c r="F295" s="4">
        <v>201</v>
      </c>
      <c r="G295" s="4">
        <v>96462</v>
      </c>
    </row>
    <row r="296" spans="1:7">
      <c r="A296" s="4">
        <v>14407</v>
      </c>
      <c r="B296" s="5" t="s">
        <v>1170</v>
      </c>
      <c r="C296" s="4">
        <v>802</v>
      </c>
      <c r="D296" s="4">
        <v>59</v>
      </c>
      <c r="E296" s="4">
        <v>59</v>
      </c>
      <c r="F296" s="4">
        <v>241</v>
      </c>
      <c r="G296" s="4">
        <v>60841</v>
      </c>
    </row>
    <row r="297" spans="1:7">
      <c r="A297" s="4">
        <v>14407</v>
      </c>
      <c r="B297" s="5" t="s">
        <v>1170</v>
      </c>
      <c r="C297" s="4">
        <v>803</v>
      </c>
      <c r="D297" s="4">
        <v>158</v>
      </c>
      <c r="E297" s="4">
        <v>158</v>
      </c>
      <c r="F297" s="4">
        <v>231</v>
      </c>
      <c r="G297" s="4">
        <v>69443</v>
      </c>
    </row>
    <row r="298" spans="1:7">
      <c r="A298" s="4">
        <v>14407</v>
      </c>
      <c r="B298" s="5" t="s">
        <v>1170</v>
      </c>
      <c r="C298" s="4">
        <v>804</v>
      </c>
      <c r="D298" s="4">
        <v>15</v>
      </c>
      <c r="E298" s="4">
        <v>15</v>
      </c>
      <c r="F298" s="4">
        <v>229</v>
      </c>
      <c r="G298" s="4">
        <v>71024</v>
      </c>
    </row>
    <row r="299" spans="1:7">
      <c r="A299" s="4">
        <v>14407</v>
      </c>
      <c r="B299" s="5" t="s">
        <v>1170</v>
      </c>
      <c r="C299" s="4">
        <v>805</v>
      </c>
      <c r="D299" s="4">
        <v>20</v>
      </c>
      <c r="E299" s="4">
        <v>20</v>
      </c>
      <c r="F299" s="4">
        <v>195</v>
      </c>
      <c r="G299" s="4">
        <v>102790</v>
      </c>
    </row>
    <row r="300" spans="1:7">
      <c r="A300" s="4">
        <v>14408</v>
      </c>
      <c r="B300" s="5" t="s">
        <v>1171</v>
      </c>
      <c r="C300" s="4">
        <v>801</v>
      </c>
      <c r="D300" s="4">
        <v>385</v>
      </c>
      <c r="E300" s="4">
        <v>385</v>
      </c>
      <c r="F300" s="4">
        <v>254</v>
      </c>
      <c r="G300" s="4">
        <v>50024</v>
      </c>
    </row>
    <row r="301" spans="1:7">
      <c r="A301" s="4">
        <v>14408</v>
      </c>
      <c r="B301" s="5" t="s">
        <v>1171</v>
      </c>
      <c r="C301" s="4">
        <v>802</v>
      </c>
      <c r="D301" s="4">
        <v>926</v>
      </c>
      <c r="E301" s="4">
        <v>926</v>
      </c>
      <c r="F301" s="4">
        <v>224</v>
      </c>
      <c r="G301" s="4">
        <v>75449</v>
      </c>
    </row>
    <row r="302" spans="1:7">
      <c r="A302" s="4">
        <v>14427</v>
      </c>
      <c r="B302" s="5" t="s">
        <v>1172</v>
      </c>
      <c r="C302" s="4">
        <v>801</v>
      </c>
      <c r="D302" s="4">
        <v>1262</v>
      </c>
      <c r="E302" s="4">
        <v>1262</v>
      </c>
      <c r="F302" s="4">
        <v>179</v>
      </c>
      <c r="G302" s="4">
        <v>118707</v>
      </c>
    </row>
    <row r="303" spans="1:7">
      <c r="A303" s="4">
        <v>14509</v>
      </c>
      <c r="B303" s="5" t="s">
        <v>1173</v>
      </c>
      <c r="C303" s="4">
        <v>801</v>
      </c>
      <c r="D303" s="4">
        <v>1047</v>
      </c>
      <c r="E303" s="4">
        <v>1047</v>
      </c>
      <c r="F303" s="4">
        <v>239</v>
      </c>
      <c r="G303" s="4">
        <v>62034</v>
      </c>
    </row>
    <row r="304" spans="1:7">
      <c r="A304" s="4">
        <v>14509</v>
      </c>
      <c r="B304" s="5" t="s">
        <v>1173</v>
      </c>
      <c r="C304" s="4">
        <v>802</v>
      </c>
      <c r="D304" s="4">
        <v>225</v>
      </c>
      <c r="E304" s="4">
        <v>225</v>
      </c>
      <c r="F304" s="4">
        <v>241</v>
      </c>
      <c r="G304" s="4">
        <v>60490</v>
      </c>
    </row>
    <row r="305" spans="1:7">
      <c r="A305" s="4">
        <v>14509</v>
      </c>
      <c r="B305" s="5" t="s">
        <v>1173</v>
      </c>
      <c r="C305" s="4">
        <v>803</v>
      </c>
      <c r="D305" s="4">
        <v>290</v>
      </c>
      <c r="E305" s="4">
        <v>290</v>
      </c>
      <c r="F305" s="4">
        <v>256</v>
      </c>
      <c r="G305" s="4">
        <v>48237</v>
      </c>
    </row>
    <row r="306" spans="1:7">
      <c r="A306" s="4">
        <v>14509</v>
      </c>
      <c r="B306" s="5" t="s">
        <v>1173</v>
      </c>
      <c r="C306" s="4">
        <v>804</v>
      </c>
      <c r="D306" s="4">
        <v>250</v>
      </c>
      <c r="E306" s="4">
        <v>250</v>
      </c>
      <c r="F306" s="4">
        <v>257</v>
      </c>
      <c r="G306" s="4">
        <v>47351</v>
      </c>
    </row>
    <row r="307" spans="1:7">
      <c r="A307" s="4">
        <v>14509</v>
      </c>
      <c r="B307" s="5" t="s">
        <v>1173</v>
      </c>
      <c r="C307" s="4">
        <v>805</v>
      </c>
      <c r="D307" s="4">
        <v>353</v>
      </c>
      <c r="E307" s="4">
        <v>353</v>
      </c>
      <c r="F307" s="4">
        <v>238</v>
      </c>
      <c r="G307" s="4">
        <v>63252</v>
      </c>
    </row>
    <row r="308" spans="1:7">
      <c r="A308" s="4">
        <v>14509</v>
      </c>
      <c r="B308" s="5" t="s">
        <v>1173</v>
      </c>
      <c r="C308" s="4">
        <v>806</v>
      </c>
      <c r="D308" s="4">
        <v>230</v>
      </c>
      <c r="E308" s="4">
        <v>230</v>
      </c>
      <c r="F308" s="4">
        <v>261</v>
      </c>
      <c r="G308" s="4">
        <v>44551</v>
      </c>
    </row>
    <row r="309" spans="1:7">
      <c r="A309" s="4">
        <v>14509</v>
      </c>
      <c r="B309" s="5" t="s">
        <v>1173</v>
      </c>
      <c r="C309" s="4">
        <v>807</v>
      </c>
      <c r="D309" s="4">
        <v>25</v>
      </c>
      <c r="E309" s="4">
        <v>25</v>
      </c>
      <c r="F309" s="4">
        <v>217</v>
      </c>
      <c r="G309" s="4">
        <v>81204</v>
      </c>
    </row>
    <row r="310" spans="1:7">
      <c r="A310" s="4">
        <v>14510</v>
      </c>
      <c r="B310" s="5" t="s">
        <v>1174</v>
      </c>
      <c r="C310" s="4">
        <v>801</v>
      </c>
      <c r="D310" s="4">
        <v>355</v>
      </c>
      <c r="E310" s="4">
        <v>355</v>
      </c>
      <c r="F310" s="4">
        <v>236</v>
      </c>
      <c r="G310" s="4">
        <v>64302</v>
      </c>
    </row>
    <row r="311" spans="1:7">
      <c r="A311" s="4">
        <v>14510</v>
      </c>
      <c r="B311" s="5" t="s">
        <v>1174</v>
      </c>
      <c r="C311" s="4">
        <v>803</v>
      </c>
      <c r="D311" s="4">
        <v>180</v>
      </c>
      <c r="E311" s="4">
        <v>180</v>
      </c>
      <c r="F311" s="4">
        <v>247</v>
      </c>
      <c r="G311" s="4">
        <v>55473</v>
      </c>
    </row>
    <row r="312" spans="1:7">
      <c r="A312" s="4">
        <v>14510</v>
      </c>
      <c r="B312" s="5" t="s">
        <v>1174</v>
      </c>
      <c r="C312" s="4">
        <v>804</v>
      </c>
      <c r="D312" s="4">
        <v>350</v>
      </c>
      <c r="E312" s="4">
        <v>350</v>
      </c>
      <c r="F312" s="4">
        <v>225</v>
      </c>
      <c r="G312" s="4">
        <v>74833</v>
      </c>
    </row>
    <row r="313" spans="1:7">
      <c r="A313" s="4">
        <v>14510</v>
      </c>
      <c r="B313" s="5" t="s">
        <v>1174</v>
      </c>
      <c r="C313" s="4">
        <v>805</v>
      </c>
      <c r="D313" s="4">
        <v>170</v>
      </c>
      <c r="E313" s="4">
        <v>170</v>
      </c>
      <c r="F313" s="4">
        <v>243</v>
      </c>
      <c r="G313" s="4">
        <v>58582</v>
      </c>
    </row>
    <row r="314" spans="1:7">
      <c r="A314" s="4">
        <v>14510</v>
      </c>
      <c r="B314" s="5" t="s">
        <v>1174</v>
      </c>
      <c r="C314" s="4">
        <v>806</v>
      </c>
      <c r="D314" s="4">
        <v>135</v>
      </c>
      <c r="E314" s="4">
        <v>135</v>
      </c>
      <c r="F314" s="4">
        <v>236</v>
      </c>
      <c r="G314" s="4">
        <v>64684</v>
      </c>
    </row>
    <row r="315" spans="1:7">
      <c r="A315" s="4">
        <v>14511</v>
      </c>
      <c r="B315" s="5" t="s">
        <v>1175</v>
      </c>
      <c r="C315" s="4">
        <v>801</v>
      </c>
      <c r="D315" s="4">
        <v>810</v>
      </c>
      <c r="E315" s="4">
        <v>810</v>
      </c>
      <c r="F315" s="4">
        <v>163</v>
      </c>
      <c r="G315" s="4">
        <v>138845</v>
      </c>
    </row>
    <row r="316" spans="1:7">
      <c r="A316" s="4">
        <v>14511</v>
      </c>
      <c r="B316" s="5" t="s">
        <v>1175</v>
      </c>
      <c r="C316" s="4">
        <v>802</v>
      </c>
      <c r="D316" s="4">
        <v>40</v>
      </c>
      <c r="E316" s="4">
        <v>40</v>
      </c>
      <c r="F316" s="4">
        <v>147</v>
      </c>
      <c r="G316" s="4">
        <v>158772</v>
      </c>
    </row>
    <row r="317" spans="1:7">
      <c r="A317" s="4">
        <v>14556</v>
      </c>
      <c r="B317" s="5" t="s">
        <v>1176</v>
      </c>
      <c r="C317" s="4">
        <v>801</v>
      </c>
      <c r="D317" s="4">
        <v>850</v>
      </c>
      <c r="E317" s="4">
        <v>850</v>
      </c>
      <c r="F317" s="4">
        <v>230</v>
      </c>
      <c r="G317" s="4">
        <v>69789</v>
      </c>
    </row>
    <row r="318" spans="1:7">
      <c r="A318" s="4">
        <v>14556</v>
      </c>
      <c r="B318" s="5" t="s">
        <v>1176</v>
      </c>
      <c r="C318" s="4">
        <v>802</v>
      </c>
      <c r="D318" s="4">
        <v>50</v>
      </c>
      <c r="E318" s="4">
        <v>50</v>
      </c>
      <c r="F318" s="4">
        <v>221</v>
      </c>
      <c r="G318" s="4">
        <v>77637</v>
      </c>
    </row>
    <row r="319" spans="1:7">
      <c r="A319" s="4">
        <v>14572</v>
      </c>
      <c r="B319" s="5" t="s">
        <v>1177</v>
      </c>
      <c r="C319" s="4">
        <v>801</v>
      </c>
      <c r="D319" s="4">
        <v>1131</v>
      </c>
      <c r="E319" s="4">
        <v>1132</v>
      </c>
      <c r="F319" s="4">
        <v>149</v>
      </c>
      <c r="G319" s="4">
        <v>156298</v>
      </c>
    </row>
    <row r="320" spans="1:7">
      <c r="A320" s="4">
        <v>14587</v>
      </c>
      <c r="B320" s="5" t="s">
        <v>1178</v>
      </c>
      <c r="C320" s="4">
        <v>801</v>
      </c>
      <c r="D320" s="4">
        <v>54</v>
      </c>
      <c r="E320" s="4">
        <v>54</v>
      </c>
      <c r="F320" s="4">
        <v>227</v>
      </c>
      <c r="G320" s="4">
        <v>72381</v>
      </c>
    </row>
    <row r="321" spans="1:7">
      <c r="A321" s="4">
        <v>14587</v>
      </c>
      <c r="B321" s="5" t="s">
        <v>1178</v>
      </c>
      <c r="C321" s="4">
        <v>802</v>
      </c>
      <c r="D321" s="4">
        <v>13</v>
      </c>
      <c r="E321" s="4">
        <v>13</v>
      </c>
      <c r="F321" s="4">
        <v>244</v>
      </c>
      <c r="G321" s="4">
        <v>57998</v>
      </c>
    </row>
    <row r="322" spans="1:7">
      <c r="A322" s="4">
        <v>14587</v>
      </c>
      <c r="B322" s="5" t="s">
        <v>1178</v>
      </c>
      <c r="C322" s="4">
        <v>803</v>
      </c>
      <c r="D322" s="4">
        <v>27</v>
      </c>
      <c r="E322" s="4">
        <v>27</v>
      </c>
      <c r="F322" s="4">
        <v>214</v>
      </c>
      <c r="G322" s="4">
        <v>83939</v>
      </c>
    </row>
    <row r="323" spans="1:7">
      <c r="A323" s="4">
        <v>14587</v>
      </c>
      <c r="B323" s="5" t="s">
        <v>1178</v>
      </c>
      <c r="C323" s="4">
        <v>804</v>
      </c>
      <c r="D323" s="4">
        <v>12</v>
      </c>
      <c r="E323" s="4">
        <v>12</v>
      </c>
      <c r="F323" s="4">
        <v>236</v>
      </c>
      <c r="G323" s="4">
        <v>65037</v>
      </c>
    </row>
    <row r="324" spans="1:7">
      <c r="A324" s="4">
        <v>14587</v>
      </c>
      <c r="B324" s="5" t="s">
        <v>1178</v>
      </c>
      <c r="C324" s="4">
        <v>805</v>
      </c>
      <c r="D324" s="4">
        <v>82</v>
      </c>
      <c r="E324" s="4">
        <v>82</v>
      </c>
      <c r="F324" s="4">
        <v>249</v>
      </c>
      <c r="G324" s="4">
        <v>54023</v>
      </c>
    </row>
    <row r="325" spans="1:7">
      <c r="A325" s="4">
        <v>14587</v>
      </c>
      <c r="B325" s="5" t="s">
        <v>1178</v>
      </c>
      <c r="C325" s="4">
        <v>806</v>
      </c>
      <c r="D325" s="4">
        <v>71</v>
      </c>
      <c r="E325" s="4">
        <v>71</v>
      </c>
      <c r="F325" s="4">
        <v>212</v>
      </c>
      <c r="G325" s="4">
        <v>86423</v>
      </c>
    </row>
    <row r="326" spans="1:7">
      <c r="A326" s="4">
        <v>14587</v>
      </c>
      <c r="B326" s="5" t="s">
        <v>1178</v>
      </c>
      <c r="C326" s="4">
        <v>807</v>
      </c>
      <c r="D326" s="4">
        <v>15</v>
      </c>
      <c r="E326" s="4">
        <v>15</v>
      </c>
      <c r="F326" s="4">
        <v>218</v>
      </c>
      <c r="G326" s="4">
        <v>80507</v>
      </c>
    </row>
    <row r="327" spans="1:7">
      <c r="A327" s="4">
        <v>14587</v>
      </c>
      <c r="B327" s="5" t="s">
        <v>1178</v>
      </c>
      <c r="C327" s="4">
        <v>808</v>
      </c>
      <c r="D327" s="4">
        <v>226</v>
      </c>
      <c r="E327" s="4">
        <v>226</v>
      </c>
      <c r="F327" s="4">
        <v>221</v>
      </c>
      <c r="G327" s="4">
        <v>78201</v>
      </c>
    </row>
    <row r="328" spans="1:7">
      <c r="A328" s="4">
        <v>14587</v>
      </c>
      <c r="B328" s="5" t="s">
        <v>1178</v>
      </c>
      <c r="C328" s="4">
        <v>809</v>
      </c>
      <c r="D328" s="4">
        <v>75</v>
      </c>
      <c r="E328" s="4">
        <v>75</v>
      </c>
      <c r="F328" s="4">
        <v>224</v>
      </c>
      <c r="G328" s="4">
        <v>74943</v>
      </c>
    </row>
    <row r="329" spans="1:7">
      <c r="A329" s="4">
        <v>14587</v>
      </c>
      <c r="B329" s="5" t="s">
        <v>1178</v>
      </c>
      <c r="C329" s="4">
        <v>810</v>
      </c>
      <c r="D329" s="4">
        <v>112</v>
      </c>
      <c r="E329" s="4">
        <v>112</v>
      </c>
      <c r="F329" s="4">
        <v>210</v>
      </c>
      <c r="G329" s="4">
        <v>87688</v>
      </c>
    </row>
    <row r="330" spans="1:7">
      <c r="A330" s="4">
        <v>14587</v>
      </c>
      <c r="B330" s="5" t="s">
        <v>1178</v>
      </c>
      <c r="C330" s="4">
        <v>811</v>
      </c>
      <c r="D330" s="4">
        <v>15</v>
      </c>
      <c r="E330" s="4">
        <v>15</v>
      </c>
      <c r="F330" s="4">
        <v>195</v>
      </c>
      <c r="G330" s="4">
        <v>102105</v>
      </c>
    </row>
    <row r="331" spans="1:7">
      <c r="A331" s="4">
        <v>14587</v>
      </c>
      <c r="B331" s="5" t="s">
        <v>1178</v>
      </c>
      <c r="C331" s="4">
        <v>812</v>
      </c>
      <c r="D331" s="4">
        <v>15</v>
      </c>
      <c r="E331" s="4">
        <v>8</v>
      </c>
      <c r="F331" s="4">
        <v>177</v>
      </c>
      <c r="G331" s="4">
        <v>121774</v>
      </c>
    </row>
    <row r="332" spans="1:7">
      <c r="A332" s="4">
        <v>14587</v>
      </c>
      <c r="B332" s="5" t="s">
        <v>1178</v>
      </c>
      <c r="C332" s="4">
        <v>813</v>
      </c>
      <c r="D332" s="4">
        <v>31</v>
      </c>
      <c r="E332" s="4">
        <v>31</v>
      </c>
      <c r="F332" s="4">
        <v>215</v>
      </c>
      <c r="G332" s="4">
        <v>83275</v>
      </c>
    </row>
    <row r="333" spans="1:7">
      <c r="A333" s="4">
        <v>14587</v>
      </c>
      <c r="B333" s="5" t="s">
        <v>1178</v>
      </c>
      <c r="C333" s="4">
        <v>814</v>
      </c>
      <c r="D333" s="4">
        <v>25</v>
      </c>
      <c r="E333" s="4">
        <v>25</v>
      </c>
      <c r="F333" s="4">
        <v>205</v>
      </c>
      <c r="G333" s="4">
        <v>92736</v>
      </c>
    </row>
    <row r="334" spans="1:7">
      <c r="A334" s="4">
        <v>14587</v>
      </c>
      <c r="B334" s="5" t="s">
        <v>1178</v>
      </c>
      <c r="C334" s="4">
        <v>815</v>
      </c>
      <c r="D334" s="4">
        <v>41</v>
      </c>
      <c r="E334" s="4">
        <v>41</v>
      </c>
      <c r="F334" s="4">
        <v>213</v>
      </c>
      <c r="G334" s="4">
        <v>85450</v>
      </c>
    </row>
    <row r="335" spans="1:7">
      <c r="A335" s="4">
        <v>14587</v>
      </c>
      <c r="B335" s="5" t="s">
        <v>1178</v>
      </c>
      <c r="C335" s="4">
        <v>816</v>
      </c>
      <c r="D335" s="4">
        <v>6</v>
      </c>
      <c r="E335" s="4">
        <v>6</v>
      </c>
      <c r="F335" s="4">
        <v>230</v>
      </c>
      <c r="G335" s="4">
        <v>69528</v>
      </c>
    </row>
    <row r="336" spans="1:7">
      <c r="A336" s="4">
        <v>14592</v>
      </c>
      <c r="B336" s="5" t="s">
        <v>1179</v>
      </c>
      <c r="C336" s="4">
        <v>801</v>
      </c>
      <c r="D336" s="4">
        <v>245</v>
      </c>
      <c r="E336" s="4">
        <v>245</v>
      </c>
      <c r="F336" s="4">
        <v>287</v>
      </c>
      <c r="G336" s="4">
        <v>27438</v>
      </c>
    </row>
    <row r="337" spans="1:7">
      <c r="A337" s="4">
        <v>14592</v>
      </c>
      <c r="B337" s="5" t="s">
        <v>1179</v>
      </c>
      <c r="C337" s="4">
        <v>802</v>
      </c>
      <c r="D337" s="4">
        <v>128</v>
      </c>
      <c r="E337" s="4">
        <v>128</v>
      </c>
      <c r="F337" s="4">
        <v>233</v>
      </c>
      <c r="G337" s="4">
        <v>67583</v>
      </c>
    </row>
    <row r="338" spans="1:7">
      <c r="A338" s="4">
        <v>14592</v>
      </c>
      <c r="B338" s="5" t="s">
        <v>1179</v>
      </c>
      <c r="C338" s="4">
        <v>803</v>
      </c>
      <c r="D338" s="4">
        <v>87</v>
      </c>
      <c r="E338" s="4">
        <v>87</v>
      </c>
      <c r="F338" s="4">
        <v>212</v>
      </c>
      <c r="G338" s="4">
        <v>85867</v>
      </c>
    </row>
    <row r="339" spans="1:7">
      <c r="A339" s="4">
        <v>14609</v>
      </c>
      <c r="B339" s="5" t="s">
        <v>1180</v>
      </c>
      <c r="C339" s="4">
        <v>801</v>
      </c>
      <c r="D339" s="4">
        <v>760</v>
      </c>
      <c r="E339" s="4">
        <v>760</v>
      </c>
      <c r="F339" s="4">
        <v>250</v>
      </c>
      <c r="G339" s="4">
        <v>52609</v>
      </c>
    </row>
    <row r="340" spans="1:7">
      <c r="A340" s="4">
        <v>14610</v>
      </c>
      <c r="B340" s="5" t="s">
        <v>1181</v>
      </c>
      <c r="C340" s="4">
        <v>801</v>
      </c>
      <c r="D340" s="4">
        <v>60</v>
      </c>
      <c r="E340" s="4">
        <v>60</v>
      </c>
      <c r="F340" s="4">
        <v>284</v>
      </c>
      <c r="G340" s="4">
        <v>28730</v>
      </c>
    </row>
    <row r="341" spans="1:7">
      <c r="A341" s="4">
        <v>14610</v>
      </c>
      <c r="B341" s="5" t="s">
        <v>1181</v>
      </c>
      <c r="C341" s="4">
        <v>802</v>
      </c>
      <c r="D341" s="4">
        <v>1340</v>
      </c>
      <c r="E341" s="4">
        <v>1340</v>
      </c>
      <c r="F341" s="4">
        <v>236</v>
      </c>
      <c r="G341" s="4">
        <v>64954</v>
      </c>
    </row>
    <row r="342" spans="1:7">
      <c r="A342" s="4">
        <v>14638</v>
      </c>
      <c r="B342" s="5" t="s">
        <v>1182</v>
      </c>
      <c r="C342" s="4">
        <v>801</v>
      </c>
      <c r="D342" s="4">
        <v>285</v>
      </c>
      <c r="E342" s="4">
        <v>285</v>
      </c>
      <c r="F342" s="4">
        <v>224</v>
      </c>
      <c r="G342" s="4">
        <v>75203</v>
      </c>
    </row>
    <row r="343" spans="1:7">
      <c r="A343" s="4">
        <v>14638</v>
      </c>
      <c r="B343" s="5" t="s">
        <v>1182</v>
      </c>
      <c r="C343" s="4">
        <v>802</v>
      </c>
      <c r="D343" s="4">
        <v>995</v>
      </c>
      <c r="E343" s="4">
        <v>995</v>
      </c>
      <c r="F343" s="4">
        <v>219</v>
      </c>
      <c r="G343" s="4">
        <v>79673</v>
      </c>
    </row>
    <row r="344" spans="1:7">
      <c r="A344" s="4">
        <v>14664</v>
      </c>
      <c r="B344" s="5" t="s">
        <v>1183</v>
      </c>
      <c r="C344" s="4">
        <v>801</v>
      </c>
      <c r="D344" s="4">
        <v>55</v>
      </c>
      <c r="E344" s="4">
        <v>55</v>
      </c>
      <c r="F344" s="4">
        <v>225</v>
      </c>
      <c r="G344" s="4">
        <v>74291</v>
      </c>
    </row>
    <row r="345" spans="1:7">
      <c r="A345" s="4">
        <v>14664</v>
      </c>
      <c r="B345" s="5" t="s">
        <v>1183</v>
      </c>
      <c r="C345" s="4">
        <v>802</v>
      </c>
      <c r="D345" s="4">
        <v>55</v>
      </c>
      <c r="E345" s="4">
        <v>55</v>
      </c>
      <c r="F345" s="4">
        <v>213</v>
      </c>
      <c r="G345" s="4">
        <v>85188</v>
      </c>
    </row>
    <row r="346" spans="1:7">
      <c r="A346" s="4">
        <v>14664</v>
      </c>
      <c r="B346" s="5" t="s">
        <v>1183</v>
      </c>
      <c r="C346" s="4">
        <v>803</v>
      </c>
      <c r="D346" s="4">
        <v>60</v>
      </c>
      <c r="E346" s="4">
        <v>60</v>
      </c>
      <c r="F346" s="4">
        <v>227</v>
      </c>
      <c r="G346" s="4">
        <v>72294</v>
      </c>
    </row>
    <row r="347" spans="1:7">
      <c r="A347" s="4">
        <v>14664</v>
      </c>
      <c r="B347" s="5" t="s">
        <v>1183</v>
      </c>
      <c r="C347" s="4">
        <v>804</v>
      </c>
      <c r="D347" s="4">
        <v>77</v>
      </c>
      <c r="E347" s="4">
        <v>77</v>
      </c>
      <c r="F347" s="4">
        <v>221</v>
      </c>
      <c r="G347" s="4">
        <v>77896</v>
      </c>
    </row>
    <row r="348" spans="1:7">
      <c r="A348" s="4">
        <v>14667</v>
      </c>
      <c r="B348" s="5" t="s">
        <v>1184</v>
      </c>
      <c r="C348" s="4">
        <v>801</v>
      </c>
      <c r="D348" s="4">
        <v>1226</v>
      </c>
      <c r="E348" s="4">
        <v>1226</v>
      </c>
      <c r="F348" s="4">
        <v>246</v>
      </c>
      <c r="G348" s="4">
        <v>55959</v>
      </c>
    </row>
    <row r="349" spans="1:7">
      <c r="A349" s="4">
        <v>14667</v>
      </c>
      <c r="B349" s="5" t="s">
        <v>1184</v>
      </c>
      <c r="C349" s="4">
        <v>802</v>
      </c>
      <c r="D349" s="4">
        <v>608</v>
      </c>
      <c r="E349" s="4">
        <v>608</v>
      </c>
      <c r="F349" s="4">
        <v>250</v>
      </c>
      <c r="G349" s="4">
        <v>53028</v>
      </c>
    </row>
    <row r="350" spans="1:7">
      <c r="A350" s="4">
        <v>14667</v>
      </c>
      <c r="B350" s="5" t="s">
        <v>1184</v>
      </c>
      <c r="C350" s="4">
        <v>804</v>
      </c>
      <c r="D350" s="4">
        <v>124</v>
      </c>
      <c r="E350" s="4">
        <v>124</v>
      </c>
      <c r="F350" s="4">
        <v>233</v>
      </c>
      <c r="G350" s="4">
        <v>67651</v>
      </c>
    </row>
    <row r="351" spans="1:7">
      <c r="A351" s="4">
        <v>14667</v>
      </c>
      <c r="B351" s="5" t="s">
        <v>1184</v>
      </c>
      <c r="C351" s="4">
        <v>805</v>
      </c>
      <c r="D351" s="4">
        <v>272</v>
      </c>
      <c r="E351" s="4">
        <v>272</v>
      </c>
      <c r="F351" s="4">
        <v>191</v>
      </c>
      <c r="G351" s="4">
        <v>106645</v>
      </c>
    </row>
    <row r="352" spans="1:7">
      <c r="A352" s="4">
        <v>14667</v>
      </c>
      <c r="B352" s="5" t="s">
        <v>1184</v>
      </c>
      <c r="C352" s="4">
        <v>806</v>
      </c>
      <c r="D352" s="4">
        <v>120</v>
      </c>
      <c r="E352" s="4">
        <v>120</v>
      </c>
      <c r="F352" s="4">
        <v>253</v>
      </c>
      <c r="G352" s="4">
        <v>50898</v>
      </c>
    </row>
    <row r="353" spans="1:7">
      <c r="A353" s="4">
        <v>14756</v>
      </c>
      <c r="B353" s="5" t="s">
        <v>1185</v>
      </c>
      <c r="C353" s="4">
        <v>801</v>
      </c>
      <c r="D353" s="4">
        <v>195</v>
      </c>
      <c r="E353" s="4">
        <v>195</v>
      </c>
      <c r="F353" s="4">
        <v>290</v>
      </c>
      <c r="G353" s="4">
        <v>25385</v>
      </c>
    </row>
    <row r="354" spans="1:7">
      <c r="A354" s="4">
        <v>14756</v>
      </c>
      <c r="B354" s="5" t="s">
        <v>1185</v>
      </c>
      <c r="C354" s="4">
        <v>802</v>
      </c>
      <c r="D354" s="4">
        <v>70</v>
      </c>
      <c r="E354" s="4">
        <v>57</v>
      </c>
      <c r="F354" s="4">
        <v>139</v>
      </c>
      <c r="G354" s="4">
        <v>168408</v>
      </c>
    </row>
    <row r="355" spans="1:7">
      <c r="A355" s="4">
        <v>14756</v>
      </c>
      <c r="B355" s="5" t="s">
        <v>1185</v>
      </c>
      <c r="C355" s="4">
        <v>803</v>
      </c>
      <c r="D355" s="4">
        <v>50</v>
      </c>
      <c r="E355" s="4">
        <v>50</v>
      </c>
      <c r="F355" s="4">
        <v>217</v>
      </c>
      <c r="G355" s="4">
        <v>81708</v>
      </c>
    </row>
    <row r="356" spans="1:7">
      <c r="A356" s="4">
        <v>14756</v>
      </c>
      <c r="B356" s="5" t="s">
        <v>1185</v>
      </c>
      <c r="C356" s="4">
        <v>804</v>
      </c>
      <c r="D356" s="4">
        <v>50</v>
      </c>
      <c r="E356" s="4">
        <v>50</v>
      </c>
      <c r="F356" s="4">
        <v>236</v>
      </c>
      <c r="G356" s="4">
        <v>64982</v>
      </c>
    </row>
    <row r="357" spans="1:7">
      <c r="A357" s="4">
        <v>14756</v>
      </c>
      <c r="B357" s="5" t="s">
        <v>1185</v>
      </c>
      <c r="C357" s="4">
        <v>805</v>
      </c>
      <c r="D357" s="4">
        <v>20</v>
      </c>
      <c r="E357" s="4">
        <v>20</v>
      </c>
      <c r="F357" s="4">
        <v>223</v>
      </c>
      <c r="G357" s="4">
        <v>75992</v>
      </c>
    </row>
    <row r="358" spans="1:7">
      <c r="A358" s="4">
        <v>14756</v>
      </c>
      <c r="B358" s="5" t="s">
        <v>1185</v>
      </c>
      <c r="C358" s="4">
        <v>806</v>
      </c>
      <c r="D358" s="4">
        <v>50</v>
      </c>
      <c r="E358" s="4">
        <v>50</v>
      </c>
      <c r="F358" s="4">
        <v>205</v>
      </c>
      <c r="G358" s="4">
        <v>93010</v>
      </c>
    </row>
    <row r="359" spans="1:7">
      <c r="A359" s="4">
        <v>14757</v>
      </c>
      <c r="B359" s="5" t="s">
        <v>1186</v>
      </c>
      <c r="C359" s="4">
        <v>801</v>
      </c>
      <c r="D359" s="4">
        <v>555</v>
      </c>
      <c r="E359" s="4">
        <v>555</v>
      </c>
      <c r="F359" s="4">
        <v>210</v>
      </c>
      <c r="G359" s="4">
        <v>88098</v>
      </c>
    </row>
    <row r="360" spans="1:7">
      <c r="A360" s="4">
        <v>14757</v>
      </c>
      <c r="B360" s="5" t="s">
        <v>1186</v>
      </c>
      <c r="C360" s="4">
        <v>802</v>
      </c>
      <c r="D360" s="4">
        <v>110</v>
      </c>
      <c r="E360" s="4">
        <v>110</v>
      </c>
      <c r="F360" s="4">
        <v>158</v>
      </c>
      <c r="G360" s="4">
        <v>145322</v>
      </c>
    </row>
    <row r="361" spans="1:7">
      <c r="A361" s="4">
        <v>14757</v>
      </c>
      <c r="B361" s="5" t="s">
        <v>1186</v>
      </c>
      <c r="C361" s="4">
        <v>803</v>
      </c>
      <c r="D361" s="4">
        <v>20</v>
      </c>
      <c r="E361" s="4">
        <v>20</v>
      </c>
      <c r="F361" s="4">
        <v>211</v>
      </c>
      <c r="G361" s="4">
        <v>87511</v>
      </c>
    </row>
    <row r="362" spans="1:7">
      <c r="A362" s="4">
        <v>14757</v>
      </c>
      <c r="B362" s="5" t="s">
        <v>1186</v>
      </c>
      <c r="C362" s="4">
        <v>804</v>
      </c>
      <c r="D362" s="4">
        <v>120</v>
      </c>
      <c r="E362" s="4">
        <v>120</v>
      </c>
      <c r="F362" s="4">
        <v>206</v>
      </c>
      <c r="G362" s="4">
        <v>91759</v>
      </c>
    </row>
    <row r="363" spans="1:7">
      <c r="A363" s="4">
        <v>14758</v>
      </c>
      <c r="B363" s="5" t="s">
        <v>1187</v>
      </c>
      <c r="C363" s="4">
        <v>801</v>
      </c>
      <c r="D363" s="4">
        <v>300</v>
      </c>
      <c r="E363" s="4">
        <v>300</v>
      </c>
      <c r="F363" s="4">
        <v>229</v>
      </c>
      <c r="G363" s="4">
        <v>70749</v>
      </c>
    </row>
    <row r="364" spans="1:7">
      <c r="A364" s="4">
        <v>14758</v>
      </c>
      <c r="B364" s="5" t="s">
        <v>1187</v>
      </c>
      <c r="C364" s="4">
        <v>802</v>
      </c>
      <c r="D364" s="4">
        <v>300</v>
      </c>
      <c r="E364" s="4">
        <v>300</v>
      </c>
      <c r="F364" s="4">
        <v>232</v>
      </c>
      <c r="G364" s="4">
        <v>67829</v>
      </c>
    </row>
    <row r="365" spans="1:7">
      <c r="A365" s="4">
        <v>14758</v>
      </c>
      <c r="B365" s="5" t="s">
        <v>1187</v>
      </c>
      <c r="C365" s="4">
        <v>803</v>
      </c>
      <c r="D365" s="4">
        <v>300</v>
      </c>
      <c r="E365" s="4">
        <v>300</v>
      </c>
      <c r="F365" s="4">
        <v>231</v>
      </c>
      <c r="G365" s="4">
        <v>68752</v>
      </c>
    </row>
    <row r="366" spans="1:7">
      <c r="A366" s="4">
        <v>14758</v>
      </c>
      <c r="B366" s="5" t="s">
        <v>1187</v>
      </c>
      <c r="C366" s="4">
        <v>804</v>
      </c>
      <c r="D366" s="4">
        <v>300</v>
      </c>
      <c r="E366" s="4">
        <v>300</v>
      </c>
      <c r="F366" s="4">
        <v>228</v>
      </c>
      <c r="G366" s="4">
        <v>71928</v>
      </c>
    </row>
    <row r="367" spans="1:7">
      <c r="A367" s="4">
        <v>14758</v>
      </c>
      <c r="B367" s="5" t="s">
        <v>1187</v>
      </c>
      <c r="C367" s="4">
        <v>805</v>
      </c>
      <c r="D367" s="4">
        <v>300</v>
      </c>
      <c r="E367" s="4">
        <v>300</v>
      </c>
      <c r="F367" s="4">
        <v>219</v>
      </c>
      <c r="G367" s="4">
        <v>79683</v>
      </c>
    </row>
    <row r="368" spans="1:7">
      <c r="A368" s="4">
        <v>14759</v>
      </c>
      <c r="B368" s="5" t="s">
        <v>1188</v>
      </c>
      <c r="C368" s="4">
        <v>801</v>
      </c>
      <c r="D368" s="4">
        <v>700</v>
      </c>
      <c r="E368" s="4">
        <v>700</v>
      </c>
      <c r="F368" s="4">
        <v>239</v>
      </c>
      <c r="G368" s="4">
        <v>62095</v>
      </c>
    </row>
    <row r="369" spans="1:7">
      <c r="A369" s="4">
        <v>14760</v>
      </c>
      <c r="B369" s="5" t="s">
        <v>1189</v>
      </c>
      <c r="C369" s="4">
        <v>801</v>
      </c>
      <c r="D369" s="4">
        <v>390</v>
      </c>
      <c r="E369" s="4">
        <v>390</v>
      </c>
      <c r="F369" s="4">
        <v>235</v>
      </c>
      <c r="G369" s="4">
        <v>65724</v>
      </c>
    </row>
    <row r="370" spans="1:7">
      <c r="A370" s="4">
        <v>14760</v>
      </c>
      <c r="B370" s="5" t="s">
        <v>1189</v>
      </c>
      <c r="C370" s="4">
        <v>802</v>
      </c>
      <c r="D370" s="4">
        <v>124</v>
      </c>
      <c r="E370" s="4">
        <v>124</v>
      </c>
      <c r="F370" s="4">
        <v>246</v>
      </c>
      <c r="G370" s="4">
        <v>56454</v>
      </c>
    </row>
    <row r="371" spans="1:7">
      <c r="A371" s="4">
        <v>14760</v>
      </c>
      <c r="B371" s="5" t="s">
        <v>1189</v>
      </c>
      <c r="C371" s="4">
        <v>803</v>
      </c>
      <c r="D371" s="4">
        <v>53</v>
      </c>
      <c r="E371" s="4">
        <v>53</v>
      </c>
      <c r="F371" s="4">
        <v>248</v>
      </c>
      <c r="G371" s="4">
        <v>54374</v>
      </c>
    </row>
    <row r="372" spans="1:7">
      <c r="A372" s="4">
        <v>14761</v>
      </c>
      <c r="B372" s="5" t="s">
        <v>1190</v>
      </c>
      <c r="C372" s="4">
        <v>801</v>
      </c>
      <c r="D372" s="4">
        <v>838</v>
      </c>
      <c r="E372" s="4">
        <v>838</v>
      </c>
      <c r="F372" s="4">
        <v>147</v>
      </c>
      <c r="G372" s="4">
        <v>159015</v>
      </c>
    </row>
    <row r="373" spans="1:7">
      <c r="A373" s="4">
        <v>14761</v>
      </c>
      <c r="B373" s="5" t="s">
        <v>1190</v>
      </c>
      <c r="C373" s="4">
        <v>802</v>
      </c>
      <c r="D373" s="4">
        <v>120</v>
      </c>
      <c r="E373" s="4">
        <v>120</v>
      </c>
      <c r="F373" s="4">
        <v>172</v>
      </c>
      <c r="G373" s="4">
        <v>127132</v>
      </c>
    </row>
    <row r="374" spans="1:7">
      <c r="A374" s="4">
        <v>14761</v>
      </c>
      <c r="B374" s="5" t="s">
        <v>1190</v>
      </c>
      <c r="C374" s="4">
        <v>803</v>
      </c>
      <c r="D374" s="4">
        <v>198</v>
      </c>
      <c r="E374" s="4">
        <v>198</v>
      </c>
      <c r="F374" s="4">
        <v>161</v>
      </c>
      <c r="G374" s="4">
        <v>141771</v>
      </c>
    </row>
    <row r="375" spans="1:7">
      <c r="A375" s="4">
        <v>14761</v>
      </c>
      <c r="B375" s="5" t="s">
        <v>1190</v>
      </c>
      <c r="C375" s="4">
        <v>804</v>
      </c>
      <c r="D375" s="4">
        <v>60</v>
      </c>
      <c r="E375" s="4">
        <v>60</v>
      </c>
      <c r="F375" s="4">
        <v>152</v>
      </c>
      <c r="G375" s="4">
        <v>153328</v>
      </c>
    </row>
    <row r="376" spans="1:7">
      <c r="A376" s="4">
        <v>14761</v>
      </c>
      <c r="B376" s="5" t="s">
        <v>1190</v>
      </c>
      <c r="C376" s="4">
        <v>805</v>
      </c>
      <c r="D376" s="4">
        <v>30</v>
      </c>
      <c r="E376" s="4">
        <v>30</v>
      </c>
      <c r="F376" s="4">
        <v>149</v>
      </c>
      <c r="G376" s="4">
        <v>156049</v>
      </c>
    </row>
    <row r="377" spans="1:7">
      <c r="A377" s="4">
        <v>14761</v>
      </c>
      <c r="B377" s="5" t="s">
        <v>1190</v>
      </c>
      <c r="C377" s="4">
        <v>806</v>
      </c>
      <c r="D377" s="4">
        <v>30</v>
      </c>
      <c r="E377" s="4">
        <v>30</v>
      </c>
      <c r="F377" s="4">
        <v>147</v>
      </c>
      <c r="G377" s="4">
        <v>159487</v>
      </c>
    </row>
    <row r="378" spans="1:7">
      <c r="A378" s="4">
        <v>14761</v>
      </c>
      <c r="B378" s="5" t="s">
        <v>1190</v>
      </c>
      <c r="C378" s="4">
        <v>807</v>
      </c>
      <c r="D378" s="4">
        <v>50</v>
      </c>
      <c r="E378" s="4">
        <v>50</v>
      </c>
      <c r="F378" s="4">
        <v>145</v>
      </c>
      <c r="G378" s="4">
        <v>161397</v>
      </c>
    </row>
    <row r="379" spans="1:7">
      <c r="A379" s="4">
        <v>14845</v>
      </c>
      <c r="B379" s="5" t="s">
        <v>1191</v>
      </c>
      <c r="C379" s="4">
        <v>801</v>
      </c>
      <c r="D379" s="4">
        <v>75</v>
      </c>
      <c r="E379" s="4">
        <v>75</v>
      </c>
      <c r="F379" s="4">
        <v>350</v>
      </c>
      <c r="G379" s="4">
        <v>4670</v>
      </c>
    </row>
    <row r="380" spans="1:7">
      <c r="A380" s="4">
        <v>14845</v>
      </c>
      <c r="B380" s="5" t="s">
        <v>1191</v>
      </c>
      <c r="C380" s="4">
        <v>802</v>
      </c>
      <c r="D380" s="4">
        <v>75</v>
      </c>
      <c r="E380" s="4">
        <v>75</v>
      </c>
      <c r="F380" s="4">
        <v>343</v>
      </c>
      <c r="G380" s="4">
        <v>6252</v>
      </c>
    </row>
    <row r="381" spans="1:7">
      <c r="A381" s="4">
        <v>14845</v>
      </c>
      <c r="B381" s="5" t="s">
        <v>1191</v>
      </c>
      <c r="C381" s="4">
        <v>803</v>
      </c>
      <c r="D381" s="4">
        <v>75</v>
      </c>
      <c r="E381" s="4">
        <v>75</v>
      </c>
      <c r="F381" s="4">
        <v>343</v>
      </c>
      <c r="G381" s="4">
        <v>6212</v>
      </c>
    </row>
    <row r="382" spans="1:7">
      <c r="A382" s="4">
        <v>14845</v>
      </c>
      <c r="B382" s="5" t="s">
        <v>1191</v>
      </c>
      <c r="C382" s="4">
        <v>804</v>
      </c>
      <c r="D382" s="4">
        <v>75</v>
      </c>
      <c r="E382" s="4">
        <v>75</v>
      </c>
      <c r="F382" s="4">
        <v>301</v>
      </c>
      <c r="G382" s="4">
        <v>20310</v>
      </c>
    </row>
    <row r="383" spans="1:7">
      <c r="A383" s="4">
        <v>14845</v>
      </c>
      <c r="B383" s="5" t="s">
        <v>1191</v>
      </c>
      <c r="C383" s="4">
        <v>805</v>
      </c>
      <c r="D383" s="4">
        <v>75</v>
      </c>
      <c r="E383" s="4">
        <v>75</v>
      </c>
      <c r="F383" s="4">
        <v>317</v>
      </c>
      <c r="G383" s="4">
        <v>13961</v>
      </c>
    </row>
    <row r="384" spans="1:7">
      <c r="A384" s="4">
        <v>50853</v>
      </c>
      <c r="B384" s="5" t="s">
        <v>1192</v>
      </c>
      <c r="C384" s="4">
        <v>801</v>
      </c>
      <c r="D384" s="4">
        <v>237</v>
      </c>
      <c r="E384" s="4">
        <v>237</v>
      </c>
      <c r="F384" s="4">
        <v>216</v>
      </c>
      <c r="G384" s="4">
        <v>82411</v>
      </c>
    </row>
    <row r="385" spans="1:7">
      <c r="A385" s="4">
        <v>50853</v>
      </c>
      <c r="B385" s="5" t="s">
        <v>1192</v>
      </c>
      <c r="C385" s="4">
        <v>802</v>
      </c>
      <c r="D385" s="4">
        <v>53</v>
      </c>
      <c r="E385" s="4">
        <v>53</v>
      </c>
      <c r="F385" s="4">
        <v>212</v>
      </c>
      <c r="G385" s="4">
        <v>86289</v>
      </c>
    </row>
    <row r="386" spans="1:7">
      <c r="A386" s="4">
        <v>50853</v>
      </c>
      <c r="B386" s="5" t="s">
        <v>1192</v>
      </c>
      <c r="C386" s="4">
        <v>803</v>
      </c>
      <c r="D386" s="4">
        <v>6</v>
      </c>
      <c r="E386" s="4">
        <v>6</v>
      </c>
      <c r="F386" s="4">
        <v>217</v>
      </c>
      <c r="G386" s="4">
        <v>81493</v>
      </c>
    </row>
    <row r="387" spans="1:7">
      <c r="A387" s="4">
        <v>50853</v>
      </c>
      <c r="B387" s="5" t="s">
        <v>1192</v>
      </c>
      <c r="C387" s="4">
        <v>804</v>
      </c>
      <c r="D387" s="4">
        <v>24</v>
      </c>
      <c r="E387" s="4">
        <v>24</v>
      </c>
      <c r="F387" s="4">
        <v>213</v>
      </c>
      <c r="G387" s="4">
        <v>85201</v>
      </c>
    </row>
    <row r="388" spans="1:7">
      <c r="A388" s="4">
        <v>50853</v>
      </c>
      <c r="B388" s="5" t="s">
        <v>1192</v>
      </c>
      <c r="C388" s="4">
        <v>805</v>
      </c>
      <c r="D388" s="4">
        <v>14</v>
      </c>
      <c r="E388" s="4">
        <v>14</v>
      </c>
      <c r="F388" s="4">
        <v>200</v>
      </c>
      <c r="G388" s="4">
        <v>97576</v>
      </c>
    </row>
    <row r="389" spans="1:7">
      <c r="A389" s="4">
        <v>50853</v>
      </c>
      <c r="B389" s="5" t="s">
        <v>1192</v>
      </c>
      <c r="C389" s="4">
        <v>806</v>
      </c>
      <c r="D389" s="4">
        <v>108</v>
      </c>
      <c r="E389" s="4">
        <v>108</v>
      </c>
      <c r="F389" s="4">
        <v>225</v>
      </c>
      <c r="G389" s="4">
        <v>74781</v>
      </c>
    </row>
    <row r="390" spans="1:7">
      <c r="A390" s="4">
        <v>50853</v>
      </c>
      <c r="B390" s="5" t="s">
        <v>1192</v>
      </c>
      <c r="C390" s="4">
        <v>807</v>
      </c>
      <c r="D390" s="4">
        <v>26</v>
      </c>
      <c r="E390" s="4">
        <v>26</v>
      </c>
      <c r="F390" s="4">
        <v>222</v>
      </c>
      <c r="G390" s="4">
        <v>77153</v>
      </c>
    </row>
    <row r="391" spans="1:7">
      <c r="A391" s="4">
        <v>50853</v>
      </c>
      <c r="B391" s="5" t="s">
        <v>1192</v>
      </c>
      <c r="C391" s="4">
        <v>808</v>
      </c>
      <c r="D391" s="4">
        <v>56</v>
      </c>
      <c r="E391" s="4">
        <v>56</v>
      </c>
      <c r="F391" s="4">
        <v>222</v>
      </c>
      <c r="G391" s="4">
        <v>76796</v>
      </c>
    </row>
    <row r="392" spans="1:7">
      <c r="A392" s="4">
        <v>50853</v>
      </c>
      <c r="B392" s="5" t="s">
        <v>1192</v>
      </c>
      <c r="C392" s="4">
        <v>809</v>
      </c>
      <c r="D392" s="4">
        <v>108</v>
      </c>
      <c r="E392" s="4">
        <v>108</v>
      </c>
      <c r="F392" s="4">
        <v>221</v>
      </c>
      <c r="G392" s="4">
        <v>78393</v>
      </c>
    </row>
    <row r="393" spans="1:7">
      <c r="A393" s="4">
        <v>50853</v>
      </c>
      <c r="B393" s="5" t="s">
        <v>1192</v>
      </c>
      <c r="C393" s="4">
        <v>810</v>
      </c>
      <c r="D393" s="4">
        <v>44</v>
      </c>
      <c r="E393" s="4">
        <v>44</v>
      </c>
      <c r="F393" s="4">
        <v>218</v>
      </c>
      <c r="G393" s="4">
        <v>80305</v>
      </c>
    </row>
    <row r="394" spans="1:7">
      <c r="A394" s="4">
        <v>50853</v>
      </c>
      <c r="B394" s="5" t="s">
        <v>1192</v>
      </c>
      <c r="C394" s="4">
        <v>811</v>
      </c>
      <c r="D394" s="4">
        <v>29</v>
      </c>
      <c r="E394" s="4">
        <v>29</v>
      </c>
      <c r="F394" s="4">
        <v>218</v>
      </c>
      <c r="G394" s="4">
        <v>80685</v>
      </c>
    </row>
    <row r="395" spans="1:7">
      <c r="A395" s="4">
        <v>50853</v>
      </c>
      <c r="B395" s="5" t="s">
        <v>1192</v>
      </c>
      <c r="C395" s="4">
        <v>812</v>
      </c>
      <c r="D395" s="4">
        <v>9</v>
      </c>
      <c r="E395" s="4">
        <v>9</v>
      </c>
      <c r="F395" s="4">
        <v>177</v>
      </c>
      <c r="G395" s="4">
        <v>122009</v>
      </c>
    </row>
  </sheetData>
  <sheetProtection formatCells="0" insertHyperlinks="0" autoFilter="0"/>
  <mergeCells count="1">
    <mergeCell ref="A1:G1"/>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commentList sheetStid="6">
    <comment s:ref="C2" rgbClr="FF0000">
      <item id="{f8259f3e-874e-47bf-8f3f-af472c7d2444}" isNormal="1">
        <s:text>
          <s:r>
            <s:t xml:space="preserve">LEN:
在下列填写志愿标号如：
11、12、13、14、15、……
可自动生成专业初选表</s:t>
          </s:r>
        </s:text>
      </item>
    </comment>
  </commentList>
</comments>
</file>

<file path=customXml/item2.xml><?xml version="1.0" encoding="utf-8"?>
<woProps xmlns="https://web.wps.cn/et/2018/main" xmlns:s="http://schemas.openxmlformats.org/spreadsheetml/2006/main">
  <woSheetsProps>
    <woSheetProps sheetStid="4" interlineOnOff="0" interlineColor="0" isDbSheet="0" isDashBoardSheet="0"/>
    <woSheetProps sheetStid="6" interlineOnOff="0" interlineColor="0" isDbSheet="0" isDashBoardSheet="0"/>
    <woSheetProps sheetStid="2" interlineOnOff="0" interlineColor="0" isDbSheet="0" isDashBoardSheet="0"/>
    <woSheetProps sheetStid="3" interlineOnOff="0" interlineColor="0" isDbSheet="0" isDashBoardSheet="0"/>
    <woSheetProps sheetStid="10" interlineOnOff="0" interlineColor="0" isDbSheet="0" isDashBoardSheet="0"/>
    <woSheetProps sheetStid="9" interlineOnOff="0" interlineColor="0" isDbSheet="0" isDashBoardSheet="0"/>
    <woSheetProps sheetStid="8" interlineOnOff="0" interlineColor="0" isDbSheet="0" isDashBoardSheet="0"/>
    <woSheetProps sheetStid="7"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4" master=""/>
  <rangeList sheetStid="6" master="">
    <arrUserId title="区域2" rangeCreator="" othersAccessPermission="edit"/>
    <arrUserId title="区域4" rangeCreator="" othersAccessPermission="edit"/>
  </rangeList>
  <rangeList sheetStid="2" master="">
    <arrUserId title="区域2" rangeCreator="" othersAccessPermission="edit"/>
    <arrUserId title="区域4" rangeCreator="" othersAccessPermission="edit"/>
    <arrUserId title="区域2_1" rangeCreator="" othersAccessPermission="edit"/>
    <arrUserId title="区域2_1_1" rangeCreator="" othersAccessPermission="edit"/>
  </rangeList>
  <rangeList sheetStid="3" master=""/>
  <rangeList sheetStid="10" master=""/>
  <rangeList sheetStid="9" master=""/>
  <rangeList sheetStid="8" master=""/>
  <rangeList sheetStid="7" master=""/>
</allowEditUser>
</file>

<file path=customXml/item4.xml><?xml version="1.0" encoding="utf-8"?>
<pixelators xmlns="https://web.wps.cn/et/2018/main" xmlns:s="http://schemas.openxmlformats.org/spreadsheetml/2006/main">
  <pixelatorList sheetStid="4"/>
  <pixelatorList sheetStid="6"/>
  <pixelatorList sheetStid="2"/>
  <pixelatorList sheetStid="3"/>
  <pixelatorList sheetStid="10"/>
  <pixelatorList sheetStid="9"/>
  <pixelatorList sheetStid="8"/>
  <pixelatorList sheetStid="7"/>
  <pixelatorList sheetStid="11"/>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8</vt:i4>
      </vt:variant>
    </vt:vector>
  </HeadingPairs>
  <TitlesOfParts>
    <vt:vector size="8" baseType="lpstr">
      <vt:lpstr>高考志愿填报指南</vt:lpstr>
      <vt:lpstr>院校录取信息表</vt:lpstr>
      <vt:lpstr>自动生成专业初选表</vt:lpstr>
      <vt:lpstr>自动生成最终志愿表</vt:lpstr>
      <vt:lpstr>广东省2024年普通高校春季依据学考录取普通类投档情况 </vt:lpstr>
      <vt:lpstr>广东省2025年普通高校春季依据学考录取普通类投档情况 </vt:lpstr>
      <vt:lpstr>广东省2024年普通高校春季“3+证书”录取专科投档情况</vt:lpstr>
      <vt:lpstr>广东省2025年普通高校春季“3+证书”录取专科投档情况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开心就笑</cp:lastModifiedBy>
  <dcterms:created xsi:type="dcterms:W3CDTF">2023-05-12T19:15:00Z</dcterms:created>
  <dcterms:modified xsi:type="dcterms:W3CDTF">2026-02-03T22:59:00Z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3CF0CEE0DB004EB7A85940C79043A644_13</vt:lpwstr>
  </property>
  <property fmtid="{D5CDD505-2E9C-101B-9397-08002B2CF9AE}" pid="4" name="CalculationRule">
    <vt:i4>0</vt:i4>
  </property>
</Properties>
</file>